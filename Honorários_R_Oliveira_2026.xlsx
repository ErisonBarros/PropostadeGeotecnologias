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ownloads\PROPOSTA\"/>
    </mc:Choice>
  </mc:AlternateContent>
  <xr:revisionPtr revIDLastSave="0" documentId="8_{687C75D3-4E77-4DEC-8BEE-62D1133905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imulador" sheetId="1" r:id="rId1"/>
    <sheet name="Tabela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7" i="1"/>
  <c r="I6" i="1"/>
  <c r="I5" i="1"/>
  <c r="I4" i="1"/>
  <c r="I3" i="1"/>
  <c r="I2" i="1"/>
  <c r="B7" i="1"/>
  <c r="B8" i="1" s="1"/>
  <c r="B10" i="1" l="1"/>
  <c r="B11" i="1"/>
  <c r="B12" i="1"/>
</calcChain>
</file>

<file path=xl/sharedStrings.xml><?xml version="1.0" encoding="utf-8"?>
<sst xmlns="http://schemas.openxmlformats.org/spreadsheetml/2006/main" count="103" uniqueCount="94">
  <si>
    <t>Simulador Estratégico de Honorários - R. Oliveira 2026</t>
  </si>
  <si>
    <t>Valor Base do Serviço (R$):</t>
  </si>
  <si>
    <t>Margem Estratégica (%):</t>
  </si>
  <si>
    <t>Desconto Aplicado (%):</t>
  </si>
  <si>
    <t>Valor com Margem:</t>
  </si>
  <si>
    <t>Valor Final com Desconto:</t>
  </si>
  <si>
    <t>Entrada (40%):</t>
  </si>
  <si>
    <t>Protocolo (30%):</t>
  </si>
  <si>
    <t>Entrega (30%):</t>
  </si>
  <si>
    <t>Política de Descontos e Pacotes Premium (Estratégia 2026)</t>
  </si>
  <si>
    <t>Desconto máximo padrão: até 8% (pagamento à vista)</t>
  </si>
  <si>
    <t>Parcelado mantém valor integral</t>
  </si>
  <si>
    <t>Projetos acima de R$ 20.000 → desconto estratégico sob análise</t>
  </si>
  <si>
    <t>Inclui: análise jurídica + técnica + acompanhamento registral</t>
  </si>
  <si>
    <t>CIB + CCIR + CAR + ITR + Certificação</t>
  </si>
  <si>
    <t>3% a 8% do VGV</t>
  </si>
  <si>
    <t>Com gestão completa do processo</t>
  </si>
  <si>
    <t>Pacotes Premium</t>
  </si>
  <si>
    <t>Pacote Regularização Total</t>
  </si>
  <si>
    <t>Ticket mínimo: R$ 10.000</t>
  </si>
  <si>
    <t>Pacote Rural Completo</t>
  </si>
  <si>
    <t>R$ 3.500 a R$ 6.000</t>
  </si>
  <si>
    <t>Implantação de Loteamento</t>
  </si>
  <si>
    <t>Categoria do terreno</t>
  </si>
  <si>
    <t>Faixa de honorários por hectare (R$)</t>
  </si>
  <si>
    <t>Terreno simples / plano, fácil acesso</t>
  </si>
  <si>
    <t>R$ 1.200 – R$ 1.800 / ha</t>
  </si>
  <si>
    <t>R$ 1.800 – R$ 2.200 / ha</t>
  </si>
  <si>
    <t>R$ 2.200 – R$ 2.800 / ha</t>
  </si>
  <si>
    <t>Terreno de média complexidade (vegetação moderada, leve relevo)</t>
  </si>
  <si>
    <t>Terreno complexo (matagal denso, acesso difícil, relevo acentuado)</t>
  </si>
  <si>
    <t>Serviços de georreferenciamento (imóveis rurais)</t>
  </si>
  <si>
    <t>Serviço</t>
  </si>
  <si>
    <t>Complexidade (P/M/G)</t>
  </si>
  <si>
    <t>Valor Base (R$)</t>
  </si>
  <si>
    <t>Área (ha ou m² se aplicável)</t>
  </si>
  <si>
    <t>Multiplicador Complexidade</t>
  </si>
  <si>
    <t>Valor Calculado (R$)</t>
  </si>
  <si>
    <t>REURB - Núcleo Pequeno</t>
  </si>
  <si>
    <t>P</t>
  </si>
  <si>
    <t>REURB - Núcleo Médio</t>
  </si>
  <si>
    <t>M</t>
  </si>
  <si>
    <t>Desmembramento Urbano</t>
  </si>
  <si>
    <t>Remembramento / Unificação</t>
  </si>
  <si>
    <t>Holding Patrimonial (Integralização de Imóveis)</t>
  </si>
  <si>
    <t>G</t>
  </si>
  <si>
    <t>Inventário com Imóvel (Extrajudicial)</t>
  </si>
  <si>
    <t>Georreferenciamento Rural</t>
  </si>
  <si>
    <t>SERVIÇO</t>
  </si>
  <si>
    <t>HONORÁRIOS (R$)</t>
  </si>
  <si>
    <t>Regularização Rural Completa (CIB+CCIR+CAR+ITR)</t>
  </si>
  <si>
    <t>2.500 – 4.000</t>
  </si>
  <si>
    <t>Georreferenciamento Rural (SIGEF)</t>
  </si>
  <si>
    <t>8.000 – 25.000</t>
  </si>
  <si>
    <t>Retificação Extrajudicial Urbana</t>
  </si>
  <si>
    <t>6.000 – 15.000</t>
  </si>
  <si>
    <t>Parcelamento / Desdobro</t>
  </si>
  <si>
    <t>4.000 – 8.000</t>
  </si>
  <si>
    <t>Remembramento</t>
  </si>
  <si>
    <t>3.500 – 7.000</t>
  </si>
  <si>
    <t>Regularização Urbana Completa</t>
  </si>
  <si>
    <t>8.000 – 20.000</t>
  </si>
  <si>
    <t>Regularização Terreno de Marinha</t>
  </si>
  <si>
    <t>Estudo para Loteamento</t>
  </si>
  <si>
    <t>15.000 – 50.000</t>
  </si>
  <si>
    <t>Implantação de Loteamento/Condomínio</t>
  </si>
  <si>
    <t>3% – 8% do VGV</t>
  </si>
  <si>
    <t>Aerolevantamento até 10 ha</t>
  </si>
  <si>
    <t>Taxa de Estudo de Viabilidade: R$ 1.500 a R$ 3.000 (abatido no contrato)</t>
  </si>
  <si>
    <t>Condição padrão: 40% entrada / 30% protocolo / 30% entrega</t>
  </si>
  <si>
    <t>Projetos premium: Ticket mínimo R$ 10.000</t>
  </si>
  <si>
    <t>Desconto máximo estratégico: até 8% mediante pagamento à vista</t>
  </si>
  <si>
    <t>P (Baixa)</t>
  </si>
  <si>
    <t>M (Média)</t>
  </si>
  <si>
    <t>G (Alta)</t>
  </si>
  <si>
    <t>Observações Estratégicas</t>
  </si>
  <si>
    <t>Diagnóstico Imobiliário</t>
  </si>
  <si>
    <t>Inclui checklist e plano de ação</t>
  </si>
  <si>
    <t>Retificação de Área Urbana</t>
  </si>
  <si>
    <t>R$ 12.000+</t>
  </si>
  <si>
    <t>Pode variar conforme confrontantes</t>
  </si>
  <si>
    <t>Usucapião Extrajudicial</t>
  </si>
  <si>
    <t>R$ 40.000+</t>
  </si>
  <si>
    <t>Sem incluir custas cartoriais</t>
  </si>
  <si>
    <t>R$ 180/ha</t>
  </si>
  <si>
    <t>R$ 120/ha</t>
  </si>
  <si>
    <t>R$ 70/ha</t>
  </si>
  <si>
    <t>Taxa mínima R$ 3.000 a R$ 8.000</t>
  </si>
  <si>
    <t>Regularização SPU</t>
  </si>
  <si>
    <t>R$ 18.000+</t>
  </si>
  <si>
    <t>Depende do regime (ocupação/aforamento)</t>
  </si>
  <si>
    <t>Constituição de Condomínio</t>
  </si>
  <si>
    <t>Inclui minuta e trâmite registral</t>
  </si>
  <si>
    <t>Documento institucional contendo parâmetros estratégicos de precificação para serviços de regularização imobiliária. Valores não incluem custas, emolumentos, tributos, ART/RRT, deslocamentos extraordinários ou despesas de terceiros.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</si>
</sst>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b/>
      <sz val="12"/>
      <color theme="1"/>
      <name val="Century Gothic"/>
      <family val="1"/>
    </font>
    <font>
      <b/>
      <sz val="12"/>
      <name val="Century Gothic"/>
      <family val="1"/>
    </font>
    <font>
      <sz val="10"/>
      <color theme="1"/>
      <name val="Helvetica"/>
      <family val="2"/>
    </font>
    <font>
      <sz val="12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4E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3" fillId="3" borderId="0" xfId="0" applyFont="1" applyFill="1"/>
    <xf numFmtId="164" fontId="3" fillId="3" borderId="0" xfId="0" applyNumberFormat="1" applyFont="1" applyFill="1"/>
    <xf numFmtId="0" fontId="3" fillId="4" borderId="0" xfId="0" applyFont="1" applyFill="1"/>
    <xf numFmtId="0" fontId="3" fillId="5" borderId="0" xfId="0" applyFont="1" applyFill="1"/>
    <xf numFmtId="164" fontId="3" fillId="5" borderId="0" xfId="0" applyNumberFormat="1" applyFont="1" applyFill="1"/>
    <xf numFmtId="0" fontId="2" fillId="0" borderId="0" xfId="0" applyFont="1"/>
    <xf numFmtId="0" fontId="0" fillId="6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0" borderId="0" xfId="0" applyAlignment="1">
      <alignment horizontal="right"/>
    </xf>
    <xf numFmtId="0" fontId="0" fillId="11" borderId="0" xfId="0" applyFill="1"/>
    <xf numFmtId="0" fontId="0" fillId="11" borderId="0" xfId="0" applyFill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9"/>
    </xf>
    <xf numFmtId="0" fontId="1" fillId="0" borderId="1" xfId="0" applyFont="1" applyBorder="1" applyAlignment="1">
      <alignment horizontal="left" vertical="center" wrapText="1" indent="8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7" fillId="12" borderId="2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 indent="1"/>
    </xf>
    <xf numFmtId="6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showGridLines="0" topLeftCell="A6" zoomScale="120" zoomScaleNormal="120" workbookViewId="0">
      <selection activeCell="D12" sqref="D12"/>
    </sheetView>
  </sheetViews>
  <sheetFormatPr defaultColWidth="8.77734375" defaultRowHeight="14.4" x14ac:dyDescent="0.3"/>
  <cols>
    <col min="1" max="1" width="42.44140625" bestFit="1" customWidth="1"/>
    <col min="2" max="2" width="12.77734375" customWidth="1"/>
    <col min="3" max="3" width="4.6640625" customWidth="1"/>
    <col min="4" max="4" width="52.77734375" bestFit="1" customWidth="1"/>
    <col min="5" max="5" width="28.77734375" bestFit="1" customWidth="1"/>
    <col min="6" max="6" width="13.109375" bestFit="1" customWidth="1"/>
    <col min="7" max="7" width="14.77734375" customWidth="1"/>
    <col min="8" max="8" width="15.109375" customWidth="1"/>
    <col min="9" max="9" width="13.109375" bestFit="1" customWidth="1"/>
  </cols>
  <sheetData>
    <row r="1" spans="1:9" ht="58.05" customHeight="1" x14ac:dyDescent="0.3">
      <c r="A1" s="34" t="s">
        <v>0</v>
      </c>
      <c r="B1" s="34"/>
      <c r="C1" s="32"/>
      <c r="D1" s="14" t="s">
        <v>32</v>
      </c>
      <c r="E1" s="15" t="s">
        <v>33</v>
      </c>
      <c r="F1" s="15" t="s">
        <v>34</v>
      </c>
      <c r="G1" s="15" t="s">
        <v>35</v>
      </c>
      <c r="H1" s="15" t="s">
        <v>36</v>
      </c>
      <c r="I1" s="15" t="s">
        <v>37</v>
      </c>
    </row>
    <row r="2" spans="1:9" ht="15.6" x14ac:dyDescent="0.3">
      <c r="A2" s="1"/>
      <c r="B2" s="1"/>
      <c r="D2" s="16" t="s">
        <v>38</v>
      </c>
      <c r="E2" s="17" t="s">
        <v>39</v>
      </c>
      <c r="F2" s="18">
        <v>15000</v>
      </c>
      <c r="G2" s="17"/>
      <c r="H2" s="17">
        <v>1</v>
      </c>
      <c r="I2" s="19">
        <f>F2*IF(G2="",1,G2)*H2</f>
        <v>15000</v>
      </c>
    </row>
    <row r="3" spans="1:9" ht="15.6" x14ac:dyDescent="0.3">
      <c r="A3" s="2" t="s">
        <v>1</v>
      </c>
      <c r="B3" s="3">
        <v>1000</v>
      </c>
      <c r="D3" s="16" t="s">
        <v>40</v>
      </c>
      <c r="E3" s="17" t="s">
        <v>41</v>
      </c>
      <c r="F3" s="18">
        <v>45000</v>
      </c>
      <c r="G3" s="17"/>
      <c r="H3" s="17">
        <v>1.2</v>
      </c>
      <c r="I3" s="19">
        <f t="shared" ref="I3:I8" si="0">F3*IF(G3="",1,G3)*H3</f>
        <v>54000</v>
      </c>
    </row>
    <row r="4" spans="1:9" ht="15.6" x14ac:dyDescent="0.3">
      <c r="A4" s="2" t="s">
        <v>2</v>
      </c>
      <c r="B4" s="2">
        <v>20</v>
      </c>
      <c r="D4" s="16" t="s">
        <v>42</v>
      </c>
      <c r="E4" s="17" t="s">
        <v>41</v>
      </c>
      <c r="F4" s="18">
        <v>8000</v>
      </c>
      <c r="G4" s="17"/>
      <c r="H4" s="17">
        <v>1.2</v>
      </c>
      <c r="I4" s="19">
        <f t="shared" si="0"/>
        <v>9600</v>
      </c>
    </row>
    <row r="5" spans="1:9" ht="15.6" x14ac:dyDescent="0.3">
      <c r="A5" s="2" t="s">
        <v>3</v>
      </c>
      <c r="B5" s="2">
        <v>0</v>
      </c>
      <c r="D5" s="16" t="s">
        <v>43</v>
      </c>
      <c r="E5" s="17" t="s">
        <v>39</v>
      </c>
      <c r="F5" s="18">
        <v>6000</v>
      </c>
      <c r="G5" s="17"/>
      <c r="H5" s="17">
        <v>1</v>
      </c>
      <c r="I5" s="19">
        <f t="shared" si="0"/>
        <v>6000</v>
      </c>
    </row>
    <row r="6" spans="1:9" ht="15.6" x14ac:dyDescent="0.3">
      <c r="A6" s="1"/>
      <c r="B6" s="1"/>
      <c r="D6" s="16" t="s">
        <v>44</v>
      </c>
      <c r="E6" s="17" t="s">
        <v>45</v>
      </c>
      <c r="F6" s="18">
        <v>25000</v>
      </c>
      <c r="G6" s="17"/>
      <c r="H6" s="17">
        <v>1.5</v>
      </c>
      <c r="I6" s="19">
        <f t="shared" si="0"/>
        <v>37500</v>
      </c>
    </row>
    <row r="7" spans="1:9" ht="15.6" x14ac:dyDescent="0.3">
      <c r="A7" s="4" t="s">
        <v>4</v>
      </c>
      <c r="B7" s="4">
        <f>B3*(1+B4/100)</f>
        <v>1200</v>
      </c>
      <c r="D7" s="16" t="s">
        <v>46</v>
      </c>
      <c r="E7" s="17" t="s">
        <v>41</v>
      </c>
      <c r="F7" s="18">
        <v>12000</v>
      </c>
      <c r="G7" s="17"/>
      <c r="H7" s="17">
        <v>1.2</v>
      </c>
      <c r="I7" s="19">
        <f t="shared" si="0"/>
        <v>14400</v>
      </c>
    </row>
    <row r="8" spans="1:9" ht="15.6" x14ac:dyDescent="0.3">
      <c r="A8" s="4" t="s">
        <v>5</v>
      </c>
      <c r="B8" s="4">
        <f>B7*(1-B5/100)</f>
        <v>1200</v>
      </c>
      <c r="D8" s="16" t="s">
        <v>47</v>
      </c>
      <c r="E8" s="17" t="s">
        <v>39</v>
      </c>
      <c r="F8" s="18">
        <v>3000</v>
      </c>
      <c r="G8" s="17">
        <v>10</v>
      </c>
      <c r="H8" s="17">
        <v>1</v>
      </c>
      <c r="I8" s="19">
        <f t="shared" si="0"/>
        <v>30000</v>
      </c>
    </row>
    <row r="9" spans="1:9" ht="15.6" x14ac:dyDescent="0.3">
      <c r="A9" s="1"/>
      <c r="B9" s="1"/>
    </row>
    <row r="10" spans="1:9" ht="15.6" x14ac:dyDescent="0.3">
      <c r="A10" s="5" t="s">
        <v>6</v>
      </c>
      <c r="B10" s="6">
        <f>B8*0.4</f>
        <v>480</v>
      </c>
    </row>
    <row r="11" spans="1:9" ht="15.6" x14ac:dyDescent="0.3">
      <c r="A11" s="5" t="s">
        <v>7</v>
      </c>
      <c r="B11" s="6">
        <f>B8*0.3</f>
        <v>360</v>
      </c>
    </row>
    <row r="12" spans="1:9" ht="15.6" x14ac:dyDescent="0.3">
      <c r="A12" s="5" t="s">
        <v>8</v>
      </c>
      <c r="B12" s="6">
        <f>B8*0.3</f>
        <v>360</v>
      </c>
    </row>
    <row r="13" spans="1:9" ht="15.6" x14ac:dyDescent="0.3">
      <c r="A13" s="1"/>
      <c r="B13" s="1"/>
    </row>
    <row r="17" spans="1:7" ht="15.6" x14ac:dyDescent="0.3">
      <c r="A17" s="35" t="s">
        <v>9</v>
      </c>
      <c r="B17" s="35"/>
      <c r="C17" s="7"/>
      <c r="D17" s="36" t="s">
        <v>31</v>
      </c>
      <c r="E17" s="36"/>
      <c r="F17" s="7"/>
      <c r="G17" s="7"/>
    </row>
    <row r="18" spans="1:7" x14ac:dyDescent="0.3">
      <c r="D18" s="12" t="s">
        <v>23</v>
      </c>
      <c r="E18" s="13" t="s">
        <v>24</v>
      </c>
    </row>
    <row r="19" spans="1:7" x14ac:dyDescent="0.3">
      <c r="A19" t="s">
        <v>10</v>
      </c>
      <c r="D19" t="s">
        <v>25</v>
      </c>
      <c r="E19" s="11" t="s">
        <v>26</v>
      </c>
    </row>
    <row r="20" spans="1:7" x14ac:dyDescent="0.3">
      <c r="A20" t="s">
        <v>11</v>
      </c>
      <c r="D20" t="s">
        <v>29</v>
      </c>
      <c r="E20" s="11" t="s">
        <v>27</v>
      </c>
    </row>
    <row r="21" spans="1:7" x14ac:dyDescent="0.3">
      <c r="A21" t="s">
        <v>12</v>
      </c>
      <c r="D21" t="s">
        <v>30</v>
      </c>
      <c r="E21" s="11" t="s">
        <v>28</v>
      </c>
    </row>
    <row r="23" spans="1:7" x14ac:dyDescent="0.3">
      <c r="A23" t="s">
        <v>17</v>
      </c>
    </row>
    <row r="25" spans="1:7" x14ac:dyDescent="0.3">
      <c r="A25" s="8" t="s">
        <v>18</v>
      </c>
    </row>
    <row r="26" spans="1:7" x14ac:dyDescent="0.3">
      <c r="A26" t="s">
        <v>13</v>
      </c>
    </row>
    <row r="27" spans="1:7" x14ac:dyDescent="0.3">
      <c r="A27" t="s">
        <v>19</v>
      </c>
    </row>
    <row r="29" spans="1:7" x14ac:dyDescent="0.3">
      <c r="A29" s="9" t="s">
        <v>20</v>
      </c>
    </row>
    <row r="30" spans="1:7" x14ac:dyDescent="0.3">
      <c r="A30" t="s">
        <v>14</v>
      </c>
    </row>
    <row r="31" spans="1:7" x14ac:dyDescent="0.3">
      <c r="A31" t="s">
        <v>21</v>
      </c>
    </row>
    <row r="33" spans="1:1" x14ac:dyDescent="0.3">
      <c r="A33" s="10" t="s">
        <v>22</v>
      </c>
    </row>
    <row r="34" spans="1:1" x14ac:dyDescent="0.3">
      <c r="A34" t="s">
        <v>15</v>
      </c>
    </row>
    <row r="35" spans="1:1" x14ac:dyDescent="0.3">
      <c r="A35" t="s">
        <v>16</v>
      </c>
    </row>
  </sheetData>
  <mergeCells count="3">
    <mergeCell ref="A1:B1"/>
    <mergeCell ref="A17:B17"/>
    <mergeCell ref="D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687B-0DAF-E94B-B910-4F0BC409E531}">
  <dimension ref="A1:H17"/>
  <sheetViews>
    <sheetView showGridLines="0" tabSelected="1" workbookViewId="0">
      <selection activeCell="B2" sqref="B2"/>
    </sheetView>
  </sheetViews>
  <sheetFormatPr defaultColWidth="11.5546875" defaultRowHeight="14.4" x14ac:dyDescent="0.3"/>
  <cols>
    <col min="1" max="1" width="45.77734375" customWidth="1"/>
    <col min="2" max="2" width="30.77734375" customWidth="1"/>
    <col min="4" max="7" width="30.77734375" customWidth="1"/>
    <col min="8" max="8" width="42.77734375" customWidth="1"/>
  </cols>
  <sheetData>
    <row r="1" spans="1:8" ht="30" customHeight="1" thickBot="1" x14ac:dyDescent="0.35">
      <c r="A1" s="23" t="s">
        <v>48</v>
      </c>
      <c r="B1" s="23" t="s">
        <v>49</v>
      </c>
      <c r="D1" s="26" t="s">
        <v>32</v>
      </c>
      <c r="E1" s="27" t="s">
        <v>72</v>
      </c>
      <c r="F1" s="27" t="s">
        <v>73</v>
      </c>
      <c r="G1" s="27" t="s">
        <v>74</v>
      </c>
      <c r="H1" s="27" t="s">
        <v>75</v>
      </c>
    </row>
    <row r="2" spans="1:8" ht="30" customHeight="1" thickBot="1" x14ac:dyDescent="0.35">
      <c r="A2" s="20" t="s">
        <v>50</v>
      </c>
      <c r="B2" s="21" t="s">
        <v>51</v>
      </c>
      <c r="D2" s="28" t="s">
        <v>76</v>
      </c>
      <c r="E2" s="29">
        <v>800</v>
      </c>
      <c r="F2" s="29">
        <v>1500</v>
      </c>
      <c r="G2" s="29">
        <v>2500</v>
      </c>
      <c r="H2" s="30" t="s">
        <v>77</v>
      </c>
    </row>
    <row r="3" spans="1:8" ht="30" customHeight="1" thickBot="1" x14ac:dyDescent="0.35">
      <c r="A3" s="20" t="s">
        <v>52</v>
      </c>
      <c r="B3" s="21" t="s">
        <v>53</v>
      </c>
      <c r="D3" s="28" t="s">
        <v>78</v>
      </c>
      <c r="E3" s="29">
        <v>4000</v>
      </c>
      <c r="F3" s="29">
        <v>8000</v>
      </c>
      <c r="G3" s="31" t="s">
        <v>79</v>
      </c>
      <c r="H3" s="30" t="s">
        <v>80</v>
      </c>
    </row>
    <row r="4" spans="1:8" ht="30" customHeight="1" thickBot="1" x14ac:dyDescent="0.35">
      <c r="A4" s="20" t="s">
        <v>54</v>
      </c>
      <c r="B4" s="21" t="s">
        <v>55</v>
      </c>
      <c r="D4" s="28" t="s">
        <v>81</v>
      </c>
      <c r="E4" s="29">
        <v>8000</v>
      </c>
      <c r="F4" s="29">
        <v>18000</v>
      </c>
      <c r="G4" s="31" t="s">
        <v>82</v>
      </c>
      <c r="H4" s="30" t="s">
        <v>83</v>
      </c>
    </row>
    <row r="5" spans="1:8" ht="30" customHeight="1" thickBot="1" x14ac:dyDescent="0.35">
      <c r="A5" s="20" t="s">
        <v>56</v>
      </c>
      <c r="B5" s="21" t="s">
        <v>57</v>
      </c>
      <c r="D5" s="28" t="s">
        <v>47</v>
      </c>
      <c r="E5" s="31" t="s">
        <v>84</v>
      </c>
      <c r="F5" s="31" t="s">
        <v>85</v>
      </c>
      <c r="G5" s="31" t="s">
        <v>86</v>
      </c>
      <c r="H5" s="30" t="s">
        <v>87</v>
      </c>
    </row>
    <row r="6" spans="1:8" ht="30" customHeight="1" thickBot="1" x14ac:dyDescent="0.35">
      <c r="A6" s="20" t="s">
        <v>58</v>
      </c>
      <c r="B6" s="21" t="s">
        <v>59</v>
      </c>
      <c r="D6" s="28" t="s">
        <v>88</v>
      </c>
      <c r="E6" s="29">
        <v>2500</v>
      </c>
      <c r="F6" s="29">
        <v>6000</v>
      </c>
      <c r="G6" s="31" t="s">
        <v>89</v>
      </c>
      <c r="H6" s="30" t="s">
        <v>90</v>
      </c>
    </row>
    <row r="7" spans="1:8" ht="30" customHeight="1" thickBot="1" x14ac:dyDescent="0.35">
      <c r="A7" s="20" t="s">
        <v>60</v>
      </c>
      <c r="B7" s="21" t="s">
        <v>61</v>
      </c>
      <c r="D7" s="28" t="s">
        <v>91</v>
      </c>
      <c r="E7" s="29">
        <v>6000</v>
      </c>
      <c r="F7" s="29">
        <v>15000</v>
      </c>
      <c r="G7" s="31" t="s">
        <v>82</v>
      </c>
      <c r="H7" s="30" t="s">
        <v>92</v>
      </c>
    </row>
    <row r="8" spans="1:8" ht="30" customHeight="1" x14ac:dyDescent="0.3">
      <c r="A8" s="20" t="s">
        <v>62</v>
      </c>
      <c r="B8" s="21" t="s">
        <v>61</v>
      </c>
    </row>
    <row r="9" spans="1:8" ht="30" customHeight="1" x14ac:dyDescent="0.3">
      <c r="A9" s="20" t="s">
        <v>63</v>
      </c>
      <c r="B9" s="21" t="s">
        <v>64</v>
      </c>
    </row>
    <row r="10" spans="1:8" ht="30" customHeight="1" x14ac:dyDescent="0.3">
      <c r="A10" s="20" t="s">
        <v>65</v>
      </c>
      <c r="B10" s="22" t="s">
        <v>66</v>
      </c>
    </row>
    <row r="11" spans="1:8" ht="30" customHeight="1" x14ac:dyDescent="0.3">
      <c r="A11" s="20" t="s">
        <v>67</v>
      </c>
      <c r="B11" s="21" t="s">
        <v>51</v>
      </c>
    </row>
    <row r="14" spans="1:8" ht="30" customHeight="1" x14ac:dyDescent="0.3">
      <c r="A14" s="24" t="s">
        <v>68</v>
      </c>
      <c r="B14" s="25"/>
      <c r="D14" s="33" t="s">
        <v>93</v>
      </c>
      <c r="E14" s="33"/>
      <c r="F14" s="33"/>
    </row>
    <row r="15" spans="1:8" ht="30" customHeight="1" x14ac:dyDescent="0.3">
      <c r="A15" s="24" t="s">
        <v>69</v>
      </c>
      <c r="B15" s="25"/>
      <c r="D15" s="33"/>
      <c r="E15" s="33"/>
      <c r="F15" s="33"/>
    </row>
    <row r="16" spans="1:8" ht="30" customHeight="1" x14ac:dyDescent="0.3">
      <c r="A16" s="24" t="s">
        <v>70</v>
      </c>
      <c r="B16" s="25"/>
      <c r="D16" s="33"/>
      <c r="E16" s="33"/>
      <c r="F16" s="33"/>
    </row>
    <row r="17" spans="1:2" ht="30" customHeight="1" x14ac:dyDescent="0.3">
      <c r="A17" s="24" t="s">
        <v>71</v>
      </c>
      <c r="B17" s="25"/>
    </row>
  </sheetData>
  <mergeCells count="1">
    <mergeCell ref="D14:F1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Simulador</vt:lpstr>
      <vt:lpstr>Tabelas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Erison Barros</cp:lastModifiedBy>
  <dcterms:created xsi:type="dcterms:W3CDTF">2026-02-21T03:40:14Z</dcterms:created>
  <dcterms:modified xsi:type="dcterms:W3CDTF">2026-03-03T15:38:46Z</dcterms:modified>
</cp:coreProperties>
</file>