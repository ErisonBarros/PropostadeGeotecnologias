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34" documentId="8_{097FB3BA-93A7-4ED1-9251-34A25A023699}" xr6:coauthVersionLast="47" xr6:coauthVersionMax="47" xr10:uidLastSave="{7129DE03-C361-4CAD-828F-3BE6755433BE}"/>
  <bookViews>
    <workbookView xWindow="-108" yWindow="-108" windowWidth="23256" windowHeight="1245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8" i="1" l="1"/>
  <c r="H21" i="1" s="1"/>
  <c r="F2" i="1"/>
  <c r="F3" i="1"/>
  <c r="F4" i="1"/>
  <c r="F5" i="1"/>
  <c r="F6" i="1" s="1"/>
  <c r="F7" i="1" s="1"/>
  <c r="H24" i="1" l="1"/>
  <c r="G24" i="1" s="1"/>
  <c r="F24" i="1" s="1"/>
  <c r="E24" i="1" s="1"/>
  <c r="D24" i="1" s="1"/>
  <c r="C24" i="1" s="1"/>
  <c r="H18" i="1"/>
  <c r="G18" i="1" s="1"/>
  <c r="F18" i="1" s="1"/>
  <c r="E18" i="1" s="1"/>
  <c r="D18" i="1" s="1"/>
  <c r="C18" i="1" s="1"/>
  <c r="H13" i="1"/>
  <c r="G13" i="1" s="1"/>
  <c r="F13" i="1" s="1"/>
  <c r="E13" i="1" s="1"/>
  <c r="D13" i="1" s="1"/>
  <c r="C13" i="1" s="1"/>
  <c r="H16" i="1"/>
  <c r="G16" i="1" s="1"/>
  <c r="F16" i="1" s="1"/>
  <c r="E16" i="1" s="1"/>
  <c r="D16" i="1" s="1"/>
  <c r="C16" i="1" s="1"/>
  <c r="H17" i="1"/>
  <c r="G17" i="1" s="1"/>
  <c r="F17" i="1" s="1"/>
  <c r="E17" i="1" s="1"/>
  <c r="D17" i="1" s="1"/>
  <c r="C17" i="1" s="1"/>
  <c r="H14" i="1"/>
  <c r="G14" i="1" s="1"/>
  <c r="F14" i="1" s="1"/>
  <c r="E14" i="1" s="1"/>
  <c r="D14" i="1" s="1"/>
  <c r="C14" i="1" s="1"/>
  <c r="G21" i="1"/>
  <c r="F21" i="1" s="1"/>
  <c r="E21" i="1" s="1"/>
  <c r="D21" i="1" s="1"/>
  <c r="C21" i="1" s="1"/>
  <c r="H20" i="1"/>
  <c r="G20" i="1" s="1"/>
  <c r="F20" i="1" s="1"/>
  <c r="E20" i="1" s="1"/>
  <c r="D20" i="1" s="1"/>
  <c r="C20" i="1" s="1"/>
  <c r="H19" i="1"/>
  <c r="G19" i="1" s="1"/>
  <c r="F19" i="1" s="1"/>
  <c r="E19" i="1" s="1"/>
  <c r="D19" i="1" s="1"/>
  <c r="C19" i="1" s="1"/>
  <c r="H15" i="1"/>
  <c r="G15" i="1" s="1"/>
  <c r="F15" i="1" s="1"/>
  <c r="E15" i="1" s="1"/>
  <c r="D15" i="1" s="1"/>
  <c r="C15" i="1" s="1"/>
  <c r="H22" i="1"/>
  <c r="G22" i="1" s="1"/>
  <c r="F22" i="1" s="1"/>
  <c r="E22" i="1" s="1"/>
  <c r="D22" i="1" s="1"/>
  <c r="C22" i="1" s="1"/>
  <c r="H23" i="1"/>
  <c r="G23" i="1" s="1"/>
  <c r="F23" i="1" s="1"/>
  <c r="E23" i="1" s="1"/>
  <c r="D23" i="1" s="1"/>
  <c r="C23" i="1" s="1"/>
  <c r="F8" i="1"/>
  <c r="F9" i="1" s="1"/>
</calcChain>
</file>

<file path=xl/sharedStrings.xml><?xml version="1.0" encoding="utf-8"?>
<sst xmlns="http://schemas.openxmlformats.org/spreadsheetml/2006/main" count="27" uniqueCount="27">
  <si>
    <t>Projeto até</t>
  </si>
  <si>
    <t>demais</t>
  </si>
  <si>
    <t>GSD CM</t>
  </si>
  <si>
    <t>Fator de desconto</t>
  </si>
  <si>
    <t>link</t>
  </si>
  <si>
    <t>http://www.santos.sp.gov.br/node/212779</t>
  </si>
  <si>
    <t>Santos</t>
  </si>
  <si>
    <t>GSD</t>
  </si>
  <si>
    <t>10 cm</t>
  </si>
  <si>
    <t>Área km²</t>
  </si>
  <si>
    <t>hectares</t>
  </si>
  <si>
    <t>preço por hectare</t>
  </si>
  <si>
    <t>diárias</t>
  </si>
  <si>
    <t>impostos</t>
  </si>
  <si>
    <t>processamento</t>
  </si>
  <si>
    <t>deslocamento</t>
  </si>
  <si>
    <t>TOTAL</t>
  </si>
  <si>
    <t>planejamento por área</t>
  </si>
  <si>
    <t>vôo de drone tabela abaixo</t>
  </si>
  <si>
    <t>curvas de nível % do processamento</t>
  </si>
  <si>
    <t>Tabela de sugestão para composição de preços que considera</t>
  </si>
  <si>
    <t>o preço fechado de um trabalho de um aerolevantamento</t>
  </si>
  <si>
    <t>tradicional com aeronave tripulada e fatores de desconto</t>
  </si>
  <si>
    <t>para serviços de drone e acréscimo de acordo com valores</t>
  </si>
  <si>
    <t>de projetos com menores custos.</t>
  </si>
  <si>
    <t>Editar apenas as céulas em vermelho, as demais não foram</t>
  </si>
  <si>
    <t>bloqueadas caso desejem checar e editar parâmetros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</si>
</sst>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44" formatCode="_-&quot;R$&quot;\ * #,##0.00_-;\-&quot;R$&quot;\ * #,##0.00_-;_-&quot;R$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/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/>
      <top/>
      <bottom/>
      <diagonal/>
    </border>
    <border>
      <left/>
      <right style="medium">
        <color theme="9" tint="-0.249977111117893"/>
      </right>
      <top/>
      <bottom/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 applyAlignment="1">
      <alignment horizontal="left"/>
    </xf>
    <xf numFmtId="44" fontId="2" fillId="3" borderId="0" xfId="1" applyFont="1" applyFill="1" applyBorder="1" applyAlignment="1">
      <alignment horizontal="right"/>
    </xf>
    <xf numFmtId="0" fontId="2" fillId="3" borderId="0" xfId="0" applyFont="1" applyFill="1"/>
    <xf numFmtId="0" fontId="2" fillId="3" borderId="7" xfId="0" applyFont="1" applyFill="1" applyBorder="1"/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3" borderId="8" xfId="0" applyFont="1" applyFill="1" applyBorder="1" applyAlignment="1">
      <alignment horizontal="left"/>
    </xf>
    <xf numFmtId="44" fontId="2" fillId="3" borderId="9" xfId="1" applyFont="1" applyFill="1" applyBorder="1" applyAlignment="1">
      <alignment horizontal="right"/>
    </xf>
    <xf numFmtId="0" fontId="2" fillId="3" borderId="9" xfId="0" applyFont="1" applyFill="1" applyBorder="1"/>
    <xf numFmtId="0" fontId="2" fillId="3" borderId="10" xfId="0" applyFont="1" applyFill="1" applyBorder="1"/>
    <xf numFmtId="44" fontId="5" fillId="2" borderId="12" xfId="0" applyNumberFormat="1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44" fontId="8" fillId="2" borderId="13" xfId="0" applyNumberFormat="1" applyFont="1" applyFill="1" applyBorder="1" applyAlignment="1">
      <alignment horizontal="center"/>
    </xf>
    <xf numFmtId="9" fontId="7" fillId="0" borderId="0" xfId="2" applyFont="1" applyFill="1" applyBorder="1" applyAlignment="1">
      <alignment horizontal="center"/>
    </xf>
    <xf numFmtId="6" fontId="7" fillId="0" borderId="0" xfId="0" applyNumberFormat="1" applyFont="1" applyAlignment="1">
      <alignment horizontal="left"/>
    </xf>
    <xf numFmtId="44" fontId="7" fillId="0" borderId="0" xfId="0" applyNumberFormat="1" applyFont="1" applyAlignment="1">
      <alignment horizontal="center"/>
    </xf>
    <xf numFmtId="44" fontId="6" fillId="0" borderId="15" xfId="1" applyFont="1" applyFill="1" applyBorder="1" applyAlignment="1">
      <alignment horizontal="center"/>
    </xf>
    <xf numFmtId="0" fontId="6" fillId="0" borderId="15" xfId="2" applyNumberFormat="1" applyFont="1" applyFill="1" applyBorder="1" applyAlignment="1">
      <alignment horizontal="center"/>
    </xf>
    <xf numFmtId="44" fontId="7" fillId="0" borderId="16" xfId="1" applyFont="1" applyFill="1" applyBorder="1" applyAlignment="1">
      <alignment horizontal="center"/>
    </xf>
    <xf numFmtId="4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4" fontId="7" fillId="0" borderId="2" xfId="0" applyNumberFormat="1" applyFont="1" applyBorder="1" applyAlignment="1">
      <alignment horizontal="center"/>
    </xf>
    <xf numFmtId="44" fontId="6" fillId="0" borderId="0" xfId="1" applyFont="1" applyFill="1" applyBorder="1" applyAlignment="1">
      <alignment horizontal="center"/>
    </xf>
    <xf numFmtId="9" fontId="6" fillId="0" borderId="0" xfId="2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9" fontId="4" fillId="2" borderId="14" xfId="2" applyFont="1" applyFill="1" applyBorder="1"/>
    <xf numFmtId="6" fontId="4" fillId="2" borderId="15" xfId="0" applyNumberFormat="1" applyFont="1" applyFill="1" applyBorder="1" applyAlignment="1">
      <alignment horizontal="left"/>
    </xf>
    <xf numFmtId="6" fontId="4" fillId="2" borderId="16" xfId="0" applyNumberFormat="1" applyFont="1" applyFill="1" applyBorder="1" applyAlignment="1">
      <alignment horizontal="left"/>
    </xf>
    <xf numFmtId="0" fontId="2" fillId="2" borderId="17" xfId="0" applyFont="1" applyFill="1" applyBorder="1" applyAlignment="1">
      <alignment horizontal="left"/>
    </xf>
    <xf numFmtId="0" fontId="2" fillId="2" borderId="18" xfId="0" applyFont="1" applyFill="1" applyBorder="1"/>
    <xf numFmtId="9" fontId="6" fillId="4" borderId="18" xfId="2" applyFont="1" applyFill="1" applyBorder="1" applyAlignment="1">
      <alignment horizontal="center"/>
    </xf>
    <xf numFmtId="9" fontId="2" fillId="2" borderId="18" xfId="2" applyFont="1" applyFill="1" applyBorder="1" applyAlignment="1">
      <alignment horizontal="center"/>
    </xf>
    <xf numFmtId="6" fontId="2" fillId="2" borderId="19" xfId="0" applyNumberFormat="1" applyFont="1" applyFill="1" applyBorder="1" applyAlignment="1">
      <alignment horizontal="left"/>
    </xf>
    <xf numFmtId="0" fontId="2" fillId="2" borderId="20" xfId="0" applyFont="1" applyFill="1" applyBorder="1" applyAlignment="1">
      <alignment horizontal="center"/>
    </xf>
    <xf numFmtId="44" fontId="5" fillId="0" borderId="0" xfId="0" applyNumberFormat="1" applyFont="1" applyBorder="1" applyAlignment="1">
      <alignment horizontal="center"/>
    </xf>
    <xf numFmtId="44" fontId="5" fillId="0" borderId="21" xfId="0" applyNumberFormat="1" applyFont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44" fontId="5" fillId="0" borderId="23" xfId="0" applyNumberFormat="1" applyFont="1" applyBorder="1" applyAlignment="1">
      <alignment horizontal="center"/>
    </xf>
    <xf numFmtId="44" fontId="5" fillId="0" borderId="24" xfId="0" applyNumberFormat="1" applyFont="1" applyBorder="1" applyAlignment="1">
      <alignment horizontal="center"/>
    </xf>
    <xf numFmtId="44" fontId="4" fillId="2" borderId="15" xfId="1" applyFont="1" applyFill="1" applyBorder="1" applyAlignment="1">
      <alignment horizontal="left"/>
    </xf>
    <xf numFmtId="44" fontId="4" fillId="2" borderId="15" xfId="1" applyFont="1" applyFill="1" applyBorder="1"/>
    <xf numFmtId="44" fontId="4" fillId="2" borderId="15" xfId="1" applyFont="1" applyFill="1" applyBorder="1" applyAlignment="1">
      <alignment horizontal="center"/>
    </xf>
    <xf numFmtId="0" fontId="9" fillId="3" borderId="4" xfId="3" applyFill="1" applyBorder="1" applyAlignment="1">
      <alignment horizontal="left"/>
    </xf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antos.sp.gov.br/node/2127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4"/>
  <sheetViews>
    <sheetView tabSelected="1" workbookViewId="0">
      <selection activeCell="K15" sqref="K15"/>
    </sheetView>
  </sheetViews>
  <sheetFormatPr defaultColWidth="9.109375" defaultRowHeight="14.4" x14ac:dyDescent="0.3"/>
  <cols>
    <col min="1" max="1" width="3.6640625" style="1" customWidth="1"/>
    <col min="2" max="2" width="16.88671875" style="1" customWidth="1"/>
    <col min="3" max="4" width="16.6640625" style="1" bestFit="1" customWidth="1"/>
    <col min="5" max="7" width="14.109375" style="1" bestFit="1" customWidth="1"/>
    <col min="8" max="8" width="13.109375" style="1" bestFit="1" customWidth="1"/>
    <col min="9" max="9" width="9.109375" style="1"/>
    <col min="10" max="10" width="16.6640625" style="1" bestFit="1" customWidth="1"/>
    <col min="11" max="11" width="18.5546875" style="1" customWidth="1"/>
    <col min="12" max="14" width="9.109375" style="1"/>
    <col min="15" max="18" width="8.5546875" customWidth="1"/>
    <col min="19" max="16384" width="9.109375" style="1"/>
  </cols>
  <sheetData>
    <row r="1" spans="2:18" ht="15" thickBot="1" x14ac:dyDescent="0.35">
      <c r="O1" s="1"/>
      <c r="P1" s="1"/>
      <c r="Q1" s="1"/>
      <c r="R1" s="1"/>
    </row>
    <row r="2" spans="2:18" x14ac:dyDescent="0.3">
      <c r="B2" s="33" t="s">
        <v>12</v>
      </c>
      <c r="C2" s="34"/>
      <c r="D2" s="21">
        <v>250</v>
      </c>
      <c r="E2" s="22">
        <v>1</v>
      </c>
      <c r="F2" s="23">
        <f>D2*E2</f>
        <v>250</v>
      </c>
      <c r="G2" s="18"/>
      <c r="H2" s="19"/>
      <c r="J2" s="1" t="s">
        <v>20</v>
      </c>
      <c r="O2" s="1"/>
      <c r="P2" s="1"/>
      <c r="Q2" s="1"/>
      <c r="R2" s="1"/>
    </row>
    <row r="3" spans="2:18" x14ac:dyDescent="0.3">
      <c r="B3" s="29" t="s">
        <v>17</v>
      </c>
      <c r="C3" s="30"/>
      <c r="D3" s="24">
        <v>500</v>
      </c>
      <c r="E3" s="25">
        <v>1</v>
      </c>
      <c r="F3" s="26">
        <f t="shared" ref="F3:F4" si="0">D3*E3</f>
        <v>500</v>
      </c>
      <c r="G3" s="20"/>
      <c r="H3" s="20"/>
      <c r="J3" s="1" t="s">
        <v>21</v>
      </c>
      <c r="O3" s="1"/>
      <c r="P3" s="1"/>
      <c r="Q3" s="1"/>
      <c r="R3" s="1"/>
    </row>
    <row r="4" spans="2:18" x14ac:dyDescent="0.3">
      <c r="B4" s="29" t="s">
        <v>15</v>
      </c>
      <c r="C4" s="30"/>
      <c r="D4" s="27">
        <v>200</v>
      </c>
      <c r="E4" s="25">
        <v>0</v>
      </c>
      <c r="F4" s="26">
        <f t="shared" si="0"/>
        <v>0</v>
      </c>
      <c r="G4" s="20"/>
      <c r="H4" s="20"/>
      <c r="J4" s="1" t="s">
        <v>22</v>
      </c>
      <c r="O4" s="1"/>
      <c r="P4" s="1"/>
      <c r="Q4" s="1"/>
      <c r="R4" s="1"/>
    </row>
    <row r="5" spans="2:18" x14ac:dyDescent="0.3">
      <c r="B5" s="29" t="s">
        <v>18</v>
      </c>
      <c r="C5" s="30"/>
      <c r="D5" s="24">
        <v>42.64</v>
      </c>
      <c r="E5" s="25">
        <v>1</v>
      </c>
      <c r="F5" s="26">
        <f>D5*E5</f>
        <v>42.64</v>
      </c>
      <c r="G5" s="20"/>
      <c r="H5" s="20"/>
      <c r="J5" s="1" t="s">
        <v>23</v>
      </c>
      <c r="O5" s="1"/>
      <c r="P5" s="1"/>
      <c r="Q5" s="1"/>
      <c r="R5" s="1"/>
    </row>
    <row r="6" spans="2:18" x14ac:dyDescent="0.3">
      <c r="B6" s="29" t="s">
        <v>14</v>
      </c>
      <c r="C6" s="30"/>
      <c r="D6" s="24"/>
      <c r="E6" s="25"/>
      <c r="F6" s="26">
        <f>F5*0.5</f>
        <v>21.32</v>
      </c>
      <c r="G6" s="20"/>
      <c r="H6" s="20"/>
      <c r="J6" s="1" t="s">
        <v>24</v>
      </c>
      <c r="O6" s="1"/>
      <c r="P6" s="1"/>
      <c r="Q6" s="1"/>
      <c r="R6" s="1"/>
    </row>
    <row r="7" spans="2:18" x14ac:dyDescent="0.3">
      <c r="B7" s="29" t="s">
        <v>19</v>
      </c>
      <c r="C7" s="30"/>
      <c r="D7" s="24"/>
      <c r="E7" s="28">
        <v>1</v>
      </c>
      <c r="F7" s="26">
        <f>F6*E7</f>
        <v>21.32</v>
      </c>
      <c r="G7" s="20"/>
      <c r="H7" s="20"/>
      <c r="O7" s="1"/>
      <c r="P7" s="1"/>
      <c r="Q7" s="1"/>
      <c r="R7" s="1"/>
    </row>
    <row r="8" spans="2:18" x14ac:dyDescent="0.3">
      <c r="B8" s="29" t="s">
        <v>13</v>
      </c>
      <c r="C8" s="30"/>
      <c r="D8" s="24"/>
      <c r="E8" s="28">
        <v>0.05</v>
      </c>
      <c r="F8" s="26">
        <f>(SUM(F2:F7)/(1-E8))-SUM(F2:F7)</f>
        <v>43.962105263157923</v>
      </c>
      <c r="G8" s="20"/>
      <c r="J8" s="1" t="s">
        <v>25</v>
      </c>
      <c r="O8" s="1"/>
      <c r="P8" s="1"/>
      <c r="Q8" s="1"/>
      <c r="R8" s="1"/>
    </row>
    <row r="9" spans="2:18" ht="18" thickBot="1" x14ac:dyDescent="0.4">
      <c r="B9" s="31" t="s">
        <v>16</v>
      </c>
      <c r="C9" s="32"/>
      <c r="D9" s="15"/>
      <c r="E9" s="16"/>
      <c r="F9" s="17">
        <f>SUM(F2:F8)</f>
        <v>879.24210526315801</v>
      </c>
      <c r="G9" s="20"/>
      <c r="H9" s="20"/>
      <c r="J9" s="1" t="s">
        <v>26</v>
      </c>
      <c r="O9" s="1"/>
      <c r="P9" s="1"/>
      <c r="Q9" s="1"/>
      <c r="R9" s="1"/>
    </row>
    <row r="10" spans="2:18" ht="15" thickBot="1" x14ac:dyDescent="0.35">
      <c r="O10" s="1"/>
      <c r="P10" s="1"/>
      <c r="Q10" s="1"/>
      <c r="R10" s="1"/>
    </row>
    <row r="11" spans="2:18" ht="15" thickBot="1" x14ac:dyDescent="0.35">
      <c r="B11" s="35" t="s">
        <v>0</v>
      </c>
      <c r="C11" s="36">
        <v>20000</v>
      </c>
      <c r="D11" s="49">
        <v>70000</v>
      </c>
      <c r="E11" s="50">
        <v>150000</v>
      </c>
      <c r="F11" s="51">
        <v>300000</v>
      </c>
      <c r="G11" s="51">
        <v>500000</v>
      </c>
      <c r="H11" s="37" t="s">
        <v>1</v>
      </c>
      <c r="O11" s="1"/>
      <c r="P11" s="1"/>
      <c r="Q11" s="1"/>
      <c r="R11" s="1"/>
    </row>
    <row r="12" spans="2:18" ht="15" thickBot="1" x14ac:dyDescent="0.35">
      <c r="B12" s="38" t="s">
        <v>2</v>
      </c>
      <c r="C12" s="39" t="s">
        <v>3</v>
      </c>
      <c r="D12" s="40">
        <v>0.2</v>
      </c>
      <c r="E12" s="41"/>
      <c r="F12" s="41"/>
      <c r="G12" s="41"/>
      <c r="H12" s="42"/>
      <c r="O12" s="1"/>
      <c r="P12" s="1"/>
      <c r="Q12" s="1"/>
      <c r="R12" s="1"/>
    </row>
    <row r="13" spans="2:18" x14ac:dyDescent="0.3">
      <c r="B13" s="43">
        <v>2</v>
      </c>
      <c r="C13" s="44">
        <f t="shared" ref="C13:G13" si="1">D13*1.2</f>
        <v>331.7759999999999</v>
      </c>
      <c r="D13" s="44">
        <f t="shared" si="1"/>
        <v>276.4799999999999</v>
      </c>
      <c r="E13" s="44">
        <f t="shared" si="1"/>
        <v>230.39999999999995</v>
      </c>
      <c r="F13" s="44">
        <f t="shared" si="1"/>
        <v>191.99999999999997</v>
      </c>
      <c r="G13" s="44">
        <f t="shared" si="1"/>
        <v>159.99999999999997</v>
      </c>
      <c r="H13" s="45">
        <f t="shared" ref="H13:H20" si="2">$H$21/(B13*B13)*100</f>
        <v>133.33333333333331</v>
      </c>
      <c r="J13" s="2" t="s">
        <v>4</v>
      </c>
      <c r="K13" s="52" t="s">
        <v>5</v>
      </c>
      <c r="L13" s="3"/>
      <c r="M13" s="3"/>
      <c r="N13" s="4"/>
      <c r="O13" s="1"/>
      <c r="P13" s="1"/>
      <c r="Q13" s="1"/>
      <c r="R13" s="1"/>
    </row>
    <row r="14" spans="2:18" x14ac:dyDescent="0.3">
      <c r="B14" s="43">
        <v>3</v>
      </c>
      <c r="C14" s="44">
        <f t="shared" ref="C14:G14" si="3">D14*1.2</f>
        <v>147.45599999999996</v>
      </c>
      <c r="D14" s="44">
        <f t="shared" si="3"/>
        <v>122.87999999999997</v>
      </c>
      <c r="E14" s="44">
        <f t="shared" si="3"/>
        <v>102.39999999999998</v>
      </c>
      <c r="F14" s="44">
        <f t="shared" si="3"/>
        <v>85.333333333333314</v>
      </c>
      <c r="G14" s="44">
        <f t="shared" si="3"/>
        <v>71.1111111111111</v>
      </c>
      <c r="H14" s="45">
        <f t="shared" si="2"/>
        <v>59.259259259259252</v>
      </c>
      <c r="J14" s="5" t="s">
        <v>6</v>
      </c>
      <c r="K14" s="6">
        <v>1000</v>
      </c>
      <c r="L14" s="7"/>
      <c r="M14" s="7"/>
      <c r="N14" s="8"/>
      <c r="O14" s="1"/>
      <c r="P14" s="1"/>
      <c r="Q14" s="1"/>
      <c r="R14" s="1"/>
    </row>
    <row r="15" spans="2:18" x14ac:dyDescent="0.3">
      <c r="B15" s="43">
        <v>4</v>
      </c>
      <c r="C15" s="44">
        <f t="shared" ref="C15:G15" si="4">D15*1.2</f>
        <v>82.943999999999974</v>
      </c>
      <c r="D15" s="44">
        <f t="shared" si="4"/>
        <v>69.119999999999976</v>
      </c>
      <c r="E15" s="44">
        <f t="shared" si="4"/>
        <v>57.599999999999987</v>
      </c>
      <c r="F15" s="44">
        <f t="shared" si="4"/>
        <v>47.999999999999993</v>
      </c>
      <c r="G15" s="44">
        <f t="shared" si="4"/>
        <v>39.999999999999993</v>
      </c>
      <c r="H15" s="45">
        <f t="shared" si="2"/>
        <v>33.333333333333329</v>
      </c>
      <c r="J15" s="5" t="s">
        <v>7</v>
      </c>
      <c r="K15" s="9" t="s">
        <v>8</v>
      </c>
      <c r="L15" s="7"/>
      <c r="M15" s="7"/>
      <c r="N15" s="8"/>
      <c r="O15" s="1"/>
      <c r="P15" s="1"/>
      <c r="Q15" s="1"/>
      <c r="R15" s="1"/>
    </row>
    <row r="16" spans="2:18" x14ac:dyDescent="0.3">
      <c r="B16" s="43">
        <v>5</v>
      </c>
      <c r="C16" s="44">
        <f t="shared" ref="C16:G16" si="5">D16*1.2</f>
        <v>53.084159999999983</v>
      </c>
      <c r="D16" s="44">
        <f t="shared" si="5"/>
        <v>44.236799999999988</v>
      </c>
      <c r="E16" s="44">
        <f t="shared" si="5"/>
        <v>36.86399999999999</v>
      </c>
      <c r="F16" s="44">
        <f t="shared" si="5"/>
        <v>30.719999999999995</v>
      </c>
      <c r="G16" s="44">
        <f t="shared" si="5"/>
        <v>25.599999999999998</v>
      </c>
      <c r="H16" s="45">
        <f t="shared" si="2"/>
        <v>21.333333333333332</v>
      </c>
      <c r="J16" s="5" t="s">
        <v>9</v>
      </c>
      <c r="K16" s="9">
        <v>281</v>
      </c>
      <c r="L16" s="7"/>
      <c r="M16" s="7"/>
      <c r="N16" s="8"/>
      <c r="O16" s="1"/>
      <c r="P16" s="1"/>
      <c r="Q16" s="1"/>
      <c r="R16" s="1"/>
    </row>
    <row r="17" spans="2:18" x14ac:dyDescent="0.3">
      <c r="B17" s="43">
        <v>6</v>
      </c>
      <c r="C17" s="44">
        <f t="shared" ref="C17:G17" si="6">D17*1.2</f>
        <v>36.86399999999999</v>
      </c>
      <c r="D17" s="44">
        <f t="shared" si="6"/>
        <v>30.719999999999992</v>
      </c>
      <c r="E17" s="44">
        <f t="shared" si="6"/>
        <v>25.599999999999994</v>
      </c>
      <c r="F17" s="44">
        <f t="shared" si="6"/>
        <v>21.333333333333329</v>
      </c>
      <c r="G17" s="44">
        <f t="shared" si="6"/>
        <v>17.777777777777775</v>
      </c>
      <c r="H17" s="45">
        <f t="shared" si="2"/>
        <v>14.814814814814813</v>
      </c>
      <c r="J17" s="5" t="s">
        <v>10</v>
      </c>
      <c r="K17" s="10">
        <v>100</v>
      </c>
      <c r="L17" s="7"/>
      <c r="M17" s="7"/>
      <c r="N17" s="8"/>
      <c r="O17" s="1"/>
      <c r="P17" s="1"/>
      <c r="Q17" s="1"/>
      <c r="R17" s="1"/>
    </row>
    <row r="18" spans="2:18" ht="15" thickBot="1" x14ac:dyDescent="0.35">
      <c r="B18" s="43">
        <v>7</v>
      </c>
      <c r="C18" s="44">
        <f t="shared" ref="C18:G18" si="7">D18*1.2</f>
        <v>27.083755102040811</v>
      </c>
      <c r="D18" s="44">
        <f t="shared" si="7"/>
        <v>22.569795918367344</v>
      </c>
      <c r="E18" s="44">
        <f t="shared" si="7"/>
        <v>18.808163265306121</v>
      </c>
      <c r="F18" s="44">
        <f t="shared" si="7"/>
        <v>15.6734693877551</v>
      </c>
      <c r="G18" s="44">
        <f t="shared" si="7"/>
        <v>13.061224489795917</v>
      </c>
      <c r="H18" s="45">
        <f t="shared" si="2"/>
        <v>10.884353741496598</v>
      </c>
      <c r="J18" s="11" t="s">
        <v>11</v>
      </c>
      <c r="K18" s="12">
        <f>K14/K17</f>
        <v>10</v>
      </c>
      <c r="L18" s="13"/>
      <c r="M18" s="13"/>
      <c r="N18" s="14"/>
      <c r="O18" s="1"/>
      <c r="P18" s="1"/>
      <c r="Q18" s="1"/>
      <c r="R18" s="1"/>
    </row>
    <row r="19" spans="2:18" x14ac:dyDescent="0.3">
      <c r="B19" s="43">
        <v>8</v>
      </c>
      <c r="C19" s="44">
        <f t="shared" ref="C19:G19" si="8">D19*1.2</f>
        <v>20.735999999999994</v>
      </c>
      <c r="D19" s="44">
        <f t="shared" si="8"/>
        <v>17.279999999999994</v>
      </c>
      <c r="E19" s="44">
        <f t="shared" si="8"/>
        <v>14.399999999999997</v>
      </c>
      <c r="F19" s="44">
        <f t="shared" si="8"/>
        <v>11.999999999999998</v>
      </c>
      <c r="G19" s="44">
        <f t="shared" si="8"/>
        <v>9.9999999999999982</v>
      </c>
      <c r="H19" s="45">
        <f t="shared" si="2"/>
        <v>8.3333333333333321</v>
      </c>
      <c r="O19" s="1"/>
      <c r="P19" s="1"/>
      <c r="Q19" s="1"/>
      <c r="R19" s="1"/>
    </row>
    <row r="20" spans="2:18" x14ac:dyDescent="0.3">
      <c r="B20" s="43">
        <v>9</v>
      </c>
      <c r="C20" s="44">
        <f t="shared" ref="C20:G20" si="9">D20*1.2</f>
        <v>16.383999999999993</v>
      </c>
      <c r="D20" s="44">
        <f t="shared" si="9"/>
        <v>13.653333333333329</v>
      </c>
      <c r="E20" s="44">
        <f t="shared" si="9"/>
        <v>11.377777777777775</v>
      </c>
      <c r="F20" s="44">
        <f t="shared" si="9"/>
        <v>9.4814814814814792</v>
      </c>
      <c r="G20" s="44">
        <f t="shared" si="9"/>
        <v>7.9012345679012332</v>
      </c>
      <c r="H20" s="45">
        <f t="shared" si="2"/>
        <v>6.5843621399176948</v>
      </c>
      <c r="O20" s="1"/>
      <c r="P20" s="1"/>
      <c r="Q20" s="1"/>
      <c r="R20" s="1"/>
    </row>
    <row r="21" spans="2:18" x14ac:dyDescent="0.3">
      <c r="B21" s="43">
        <v>10</v>
      </c>
      <c r="C21" s="44">
        <f t="shared" ref="C21:F21" si="10">D21*1.2</f>
        <v>13.271039999999996</v>
      </c>
      <c r="D21" s="44">
        <f t="shared" si="10"/>
        <v>11.059199999999997</v>
      </c>
      <c r="E21" s="44">
        <f t="shared" si="10"/>
        <v>9.2159999999999975</v>
      </c>
      <c r="F21" s="44">
        <f t="shared" si="10"/>
        <v>7.6799999999999988</v>
      </c>
      <c r="G21" s="44">
        <f>H21*1.2</f>
        <v>6.3999999999999995</v>
      </c>
      <c r="H21" s="45">
        <f>K18*(1-D12)/3*2</f>
        <v>5.333333333333333</v>
      </c>
      <c r="O21" s="1"/>
      <c r="P21" s="1"/>
      <c r="Q21" s="1"/>
      <c r="R21" s="1"/>
    </row>
    <row r="22" spans="2:18" x14ac:dyDescent="0.3">
      <c r="B22" s="43">
        <v>11</v>
      </c>
      <c r="C22" s="44">
        <f t="shared" ref="C22:G22" si="11">D22*1.2</f>
        <v>10.967801652892559</v>
      </c>
      <c r="D22" s="44">
        <f t="shared" si="11"/>
        <v>9.1398347107438003</v>
      </c>
      <c r="E22" s="44">
        <f t="shared" si="11"/>
        <v>7.6165289256198339</v>
      </c>
      <c r="F22" s="44">
        <f t="shared" si="11"/>
        <v>6.3471074380165282</v>
      </c>
      <c r="G22" s="44">
        <f t="shared" si="11"/>
        <v>5.2892561983471067</v>
      </c>
      <c r="H22" s="45">
        <f>$H$21/(B22*B22)*100</f>
        <v>4.4077134986225888</v>
      </c>
      <c r="O22" s="1"/>
      <c r="P22" s="1"/>
      <c r="Q22" s="1"/>
      <c r="R22" s="1"/>
    </row>
    <row r="23" spans="2:18" x14ac:dyDescent="0.3">
      <c r="B23" s="43">
        <v>12</v>
      </c>
      <c r="C23" s="44">
        <f t="shared" ref="C23:G23" si="12">D23*1.2</f>
        <v>9.2159999999999975</v>
      </c>
      <c r="D23" s="44">
        <f t="shared" si="12"/>
        <v>7.6799999999999979</v>
      </c>
      <c r="E23" s="44">
        <f t="shared" si="12"/>
        <v>6.3999999999999986</v>
      </c>
      <c r="F23" s="44">
        <f t="shared" si="12"/>
        <v>5.3333333333333321</v>
      </c>
      <c r="G23" s="44">
        <f t="shared" si="12"/>
        <v>4.4444444444444438</v>
      </c>
      <c r="H23" s="45">
        <f t="shared" ref="H23:H24" si="13">$H$21/(B23*B23)*100</f>
        <v>3.7037037037037033</v>
      </c>
      <c r="O23" s="1"/>
      <c r="P23" s="1"/>
      <c r="Q23" s="1"/>
      <c r="R23" s="1"/>
    </row>
    <row r="24" spans="2:18" ht="15" thickBot="1" x14ac:dyDescent="0.35">
      <c r="B24" s="46">
        <v>13</v>
      </c>
      <c r="C24" s="47">
        <f t="shared" ref="C24:G24" si="14">D24*1.2</f>
        <v>7.8526863905325417</v>
      </c>
      <c r="D24" s="47">
        <f t="shared" si="14"/>
        <v>6.5439053254437853</v>
      </c>
      <c r="E24" s="47">
        <f t="shared" si="14"/>
        <v>5.4532544378698216</v>
      </c>
      <c r="F24" s="47">
        <f t="shared" si="14"/>
        <v>4.5443786982248513</v>
      </c>
      <c r="G24" s="47">
        <f t="shared" si="14"/>
        <v>3.7869822485207099</v>
      </c>
      <c r="H24" s="48">
        <f t="shared" si="13"/>
        <v>3.1558185404339252</v>
      </c>
      <c r="O24" s="1"/>
      <c r="P24" s="1"/>
      <c r="Q24" s="1"/>
      <c r="R24" s="1"/>
    </row>
  </sheetData>
  <mergeCells count="8">
    <mergeCell ref="B8:C8"/>
    <mergeCell ref="B9:C9"/>
    <mergeCell ref="B2:C2"/>
    <mergeCell ref="B3:C3"/>
    <mergeCell ref="B4:C4"/>
    <mergeCell ref="B5:C5"/>
    <mergeCell ref="B6:C6"/>
    <mergeCell ref="B7:C7"/>
  </mergeCells>
  <hyperlinks>
    <hyperlink ref="K13" r:id="rId1" xr:uid="{B8797B04-D4C7-4942-BB98-07D8C41806B7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Borges</dc:creator>
  <cp:lastModifiedBy>Erison Barros</cp:lastModifiedBy>
  <dcterms:created xsi:type="dcterms:W3CDTF">2017-10-24T23:22:28Z</dcterms:created>
  <dcterms:modified xsi:type="dcterms:W3CDTF">2023-04-23T14:32:00Z</dcterms:modified>
</cp:coreProperties>
</file>