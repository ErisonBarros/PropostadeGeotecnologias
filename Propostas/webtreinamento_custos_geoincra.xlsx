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11" documentId="A81EAA5A73142000E988C7BCED3032BA94E50F4F" xr6:coauthVersionLast="44" xr6:coauthVersionMax="44" xr10:uidLastSave="{5DCFB876-78C3-4F77-A4F8-DBF42B12C8AD}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Plan1!$A$1:$H$65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6" i="1" l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2" i="1"/>
  <c r="H43" i="1"/>
  <c r="H44" i="1"/>
  <c r="H46" i="1"/>
  <c r="H47" i="1"/>
  <c r="H48" i="1"/>
  <c r="H50" i="1" l="1"/>
</calcChain>
</file>

<file path=xl/sharedStrings.xml><?xml version="1.0" encoding="utf-8"?>
<sst xmlns="http://schemas.openxmlformats.org/spreadsheetml/2006/main" count="83" uniqueCount="81">
  <si>
    <t>Orçamento para georreferenciamento</t>
  </si>
  <si>
    <t>I</t>
  </si>
  <si>
    <t>VALORES</t>
  </si>
  <si>
    <t>Cust.Marc</t>
  </si>
  <si>
    <t>Fret. marc</t>
  </si>
  <si>
    <t>Cert.conf.</t>
  </si>
  <si>
    <t>Cert.imóvel</t>
  </si>
  <si>
    <t>Processos</t>
  </si>
  <si>
    <t>Enc.proces</t>
  </si>
  <si>
    <t>Rg. Dec.</t>
  </si>
  <si>
    <t>Firma dec</t>
  </si>
  <si>
    <t>Fima req.</t>
  </si>
  <si>
    <t>(Km rod)</t>
  </si>
  <si>
    <t>(km rod)</t>
  </si>
  <si>
    <t>Transp. Coordenadas</t>
  </si>
  <si>
    <t>Proc. Coord.</t>
  </si>
  <si>
    <t>Via. Imóvel</t>
  </si>
  <si>
    <t>Ass.téc</t>
  </si>
  <si>
    <t>Aux.camp</t>
  </si>
  <si>
    <t>Ass.téc.</t>
  </si>
  <si>
    <t>Aux.lev.</t>
  </si>
  <si>
    <t>Busca cart</t>
  </si>
  <si>
    <t>Dist.(km)</t>
  </si>
  <si>
    <t>Aluguel</t>
  </si>
  <si>
    <t>rast,/diária</t>
  </si>
  <si>
    <t>imp.marc</t>
  </si>
  <si>
    <t>lev.cór</t>
  </si>
  <si>
    <t>córrego</t>
  </si>
  <si>
    <t>(km viagem)</t>
  </si>
  <si>
    <t>Trans.int</t>
  </si>
  <si>
    <t>Aluguel GPS</t>
  </si>
  <si>
    <t>ART</t>
  </si>
  <si>
    <t>Protocolo</t>
  </si>
  <si>
    <t>Refeições</t>
  </si>
  <si>
    <t>Telefone</t>
  </si>
  <si>
    <t>(km)</t>
  </si>
  <si>
    <t>(Km viag)</t>
  </si>
  <si>
    <t>II</t>
  </si>
  <si>
    <t>QUANTIDADES</t>
  </si>
  <si>
    <t>Nº</t>
  </si>
  <si>
    <t>Item</t>
  </si>
  <si>
    <t>Qtd</t>
  </si>
  <si>
    <t>Custo</t>
  </si>
  <si>
    <t>Nº de marcos</t>
  </si>
  <si>
    <t>Frete Marcos - distância (km/rodado)</t>
  </si>
  <si>
    <t>Nº Certidões  confrontantes</t>
  </si>
  <si>
    <t>Nº Certidões do imóvel</t>
  </si>
  <si>
    <t>Nº de processos</t>
  </si>
  <si>
    <t>Encaminham. processo (viagem/km)</t>
  </si>
  <si>
    <t>Nº de registros de declarações</t>
  </si>
  <si>
    <t>Nº de rec. de firmas declarações</t>
  </si>
  <si>
    <t>Nº rec. firma (requerimentos)</t>
  </si>
  <si>
    <t xml:space="preserve">Transp. de coordenadas -(deslocam/km) </t>
  </si>
  <si>
    <t>Processamento coordenada</t>
  </si>
  <si>
    <t>Viagens ao imóvel ( km/total)</t>
  </si>
  <si>
    <t>Assist. técnico rastreio marcos (qtd.marcos)</t>
  </si>
  <si>
    <t>Aux. Campo - implantação marcos (qtd marcos)</t>
  </si>
  <si>
    <t>Previsão</t>
  </si>
  <si>
    <t>Assist. técnico lev. Córrego(km)</t>
  </si>
  <si>
    <t>Aux.campo lev. córrego (km)</t>
  </si>
  <si>
    <t>Obs. Número de auxiliares=</t>
  </si>
  <si>
    <t>Viagem busca/cartórial (km)</t>
  </si>
  <si>
    <t xml:space="preserve">        Prod. km/dia(cór) = </t>
  </si>
  <si>
    <t>Trasnp. Interno ao imóvel (km)</t>
  </si>
  <si>
    <t xml:space="preserve">        Marcos rastrados/dia=</t>
  </si>
  <si>
    <t>Aluguel GPS / dias</t>
  </si>
  <si>
    <t xml:space="preserve">        Tempo/trasnporte(dias)=</t>
  </si>
  <si>
    <t>Protocolo processo (viagem/km)</t>
  </si>
  <si>
    <t>Refeições (quat.)</t>
  </si>
  <si>
    <t>Telefonemas (minuto)</t>
  </si>
  <si>
    <t>Soma Total</t>
  </si>
  <si>
    <t xml:space="preserve"> </t>
  </si>
  <si>
    <t>R$ 8.100.00</t>
  </si>
  <si>
    <t>R$ 12.006.20</t>
  </si>
  <si>
    <t>Os valores em negrito - Quadro I = valores de mercado (podem ser subsituídos)</t>
  </si>
  <si>
    <t>Os valores da tarja em laranja devem ser informados para se obter a soma total</t>
  </si>
  <si>
    <t>Os valores da previsão podem variar de profissional para profissional</t>
  </si>
  <si>
    <r>
      <t xml:space="preserve">Obs: o ítem </t>
    </r>
    <r>
      <rPr>
        <sz val="10"/>
        <color indexed="10"/>
        <rFont val="Arial"/>
        <family val="2"/>
      </rPr>
      <t>10</t>
    </r>
    <r>
      <rPr>
        <sz val="10"/>
        <color indexed="8"/>
        <rFont val="Arial"/>
        <family val="2"/>
      </rPr>
      <t xml:space="preserve"> inclui km total deslocado + aluguel GPS + diária/técnico + tempo gasto(dia)</t>
    </r>
  </si>
  <si>
    <t>Contribuição</t>
  </si>
  <si>
    <t xml:space="preserve">      ANTONIO DE PAULA LEMES</t>
  </si>
  <si>
    <t>Engº Agrimensor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</si>
</sst>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\-??_);_(@_)"/>
  </numFmts>
  <fonts count="8" x14ac:knownFonts="1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sz val="12"/>
      <color indexed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52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0" fillId="0" borderId="0" xfId="0" applyNumberFormat="1"/>
    <xf numFmtId="0" fontId="1" fillId="0" borderId="0" xfId="0" applyFont="1" applyBorder="1"/>
    <xf numFmtId="0" fontId="2" fillId="0" borderId="0" xfId="0" applyFont="1" applyBorder="1"/>
    <xf numFmtId="0" fontId="3" fillId="0" borderId="0" xfId="0" applyFont="1"/>
    <xf numFmtId="164" fontId="2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/>
    <xf numFmtId="0" fontId="0" fillId="0" borderId="2" xfId="0" applyBorder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4" fontId="3" fillId="0" borderId="0" xfId="0" applyNumberFormat="1" applyFont="1" applyBorder="1"/>
    <xf numFmtId="164" fontId="3" fillId="0" borderId="0" xfId="0" applyNumberFormat="1" applyFont="1"/>
    <xf numFmtId="0" fontId="4" fillId="0" borderId="0" xfId="0" applyFont="1" applyBorder="1"/>
    <xf numFmtId="0" fontId="4" fillId="0" borderId="0" xfId="0" applyFont="1"/>
    <xf numFmtId="0" fontId="0" fillId="0" borderId="0" xfId="0" applyFont="1" applyBorder="1"/>
    <xf numFmtId="0" fontId="5" fillId="0" borderId="0" xfId="0" applyFont="1" applyBorder="1"/>
    <xf numFmtId="0" fontId="0" fillId="0" borderId="0" xfId="0" applyFont="1" applyFill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Font="1"/>
    <xf numFmtId="0" fontId="6" fillId="0" borderId="0" xfId="0" applyFont="1" applyBorder="1"/>
    <xf numFmtId="0" fontId="6" fillId="0" borderId="0" xfId="0" applyFont="1"/>
    <xf numFmtId="0" fontId="0" fillId="0" borderId="3" xfId="0" applyBorder="1"/>
    <xf numFmtId="164" fontId="0" fillId="0" borderId="3" xfId="0" applyNumberFormat="1" applyBorder="1"/>
    <xf numFmtId="164" fontId="0" fillId="0" borderId="3" xfId="0" applyNumberFormat="1" applyFont="1" applyBorder="1"/>
    <xf numFmtId="37" fontId="0" fillId="0" borderId="1" xfId="0" applyNumberFormat="1" applyBorder="1"/>
    <xf numFmtId="164" fontId="0" fillId="0" borderId="1" xfId="0" applyNumberFormat="1" applyFont="1" applyBorder="1"/>
    <xf numFmtId="0" fontId="3" fillId="0" borderId="0" xfId="0" applyFont="1" applyAlignment="1">
      <alignment horizontal="center"/>
    </xf>
    <xf numFmtId="37" fontId="3" fillId="2" borderId="4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37" fontId="1" fillId="2" borderId="5" xfId="0" applyNumberFormat="1" applyFont="1" applyFill="1" applyBorder="1" applyAlignment="1">
      <alignment horizontal="center"/>
    </xf>
    <xf numFmtId="164" fontId="0" fillId="0" borderId="0" xfId="0" applyNumberFormat="1" applyFont="1"/>
    <xf numFmtId="0" fontId="6" fillId="0" borderId="0" xfId="0" applyFont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0" borderId="0" xfId="0" applyFont="1"/>
    <xf numFmtId="0" fontId="6" fillId="0" borderId="0" xfId="0" applyFont="1" applyFill="1" applyBorder="1" applyAlignment="1">
      <alignment horizontal="center"/>
    </xf>
    <xf numFmtId="0" fontId="1" fillId="0" borderId="0" xfId="0" applyFont="1" applyFill="1" applyBorder="1"/>
    <xf numFmtId="39" fontId="1" fillId="2" borderId="6" xfId="0" applyNumberFormat="1" applyFont="1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ont="1" applyBorder="1"/>
    <xf numFmtId="2" fontId="0" fillId="0" borderId="0" xfId="0" applyNumberFormat="1" applyBorder="1"/>
    <xf numFmtId="1" fontId="0" fillId="2" borderId="6" xfId="0" applyNumberFormat="1" applyFill="1" applyBorder="1" applyAlignment="1">
      <alignment horizontal="center"/>
    </xf>
    <xf numFmtId="0" fontId="3" fillId="0" borderId="0" xfId="0" applyFont="1" applyBorder="1"/>
    <xf numFmtId="2" fontId="3" fillId="0" borderId="0" xfId="0" applyNumberFormat="1" applyFont="1" applyBorder="1"/>
    <xf numFmtId="1" fontId="3" fillId="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showGridLines="0" tabSelected="1" view="pageBreakPreview" topLeftCell="A32" zoomScale="98" zoomScaleNormal="100" zoomScaleSheetLayoutView="98" workbookViewId="0">
      <selection activeCell="I39" sqref="I39:M45"/>
    </sheetView>
  </sheetViews>
  <sheetFormatPr defaultRowHeight="12.75" x14ac:dyDescent="0.2"/>
  <cols>
    <col min="1" max="1" width="10.42578125" customWidth="1"/>
    <col min="2" max="2" width="12.28515625" customWidth="1"/>
    <col min="3" max="3" width="10.5703125" customWidth="1"/>
    <col min="4" max="4" width="11.85546875" customWidth="1"/>
    <col min="5" max="5" width="13" customWidth="1"/>
    <col min="6" max="6" width="11.140625" customWidth="1"/>
    <col min="7" max="7" width="11.85546875" style="1" customWidth="1"/>
    <col min="8" max="8" width="12.7109375" customWidth="1"/>
    <col min="13" max="13" width="12.42578125" customWidth="1"/>
  </cols>
  <sheetData>
    <row r="1" spans="1:12" ht="15.75" x14ac:dyDescent="0.25">
      <c r="A1" s="2"/>
      <c r="B1" s="3" t="s">
        <v>0</v>
      </c>
      <c r="C1" s="4"/>
      <c r="D1" s="4"/>
      <c r="E1" s="4"/>
      <c r="F1" s="3"/>
      <c r="G1" s="5"/>
      <c r="H1" s="2"/>
      <c r="I1" s="2"/>
    </row>
    <row r="2" spans="1:12" ht="15" x14ac:dyDescent="0.2">
      <c r="A2" s="2"/>
    </row>
    <row r="3" spans="1:12" ht="15" x14ac:dyDescent="0.2">
      <c r="A3" s="6"/>
      <c r="B3" s="7"/>
      <c r="C3" s="7"/>
      <c r="E3" s="7"/>
      <c r="F3" s="7"/>
      <c r="G3" s="8"/>
      <c r="H3" s="7"/>
      <c r="I3" s="7"/>
      <c r="J3" s="7"/>
    </row>
    <row r="4" spans="1:12" ht="9.75" customHeight="1" x14ac:dyDescent="0.2">
      <c r="A4" s="9"/>
      <c r="B4" s="9"/>
      <c r="C4" s="9"/>
      <c r="D4" s="10" t="s">
        <v>1</v>
      </c>
      <c r="E4" s="11" t="s">
        <v>2</v>
      </c>
      <c r="F4" s="9"/>
      <c r="G4" s="12"/>
      <c r="H4" s="9"/>
      <c r="I4" s="9"/>
      <c r="J4" s="9"/>
      <c r="K4" s="9"/>
      <c r="L4" s="13"/>
    </row>
    <row r="5" spans="1:12" s="15" customFormat="1" hidden="1" x14ac:dyDescent="0.2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4">
        <v>7</v>
      </c>
      <c r="H5" s="14">
        <v>8</v>
      </c>
      <c r="I5" s="14">
        <v>9</v>
      </c>
      <c r="J5" s="14"/>
      <c r="K5" s="14"/>
    </row>
    <row r="6" spans="1:12" hidden="1" x14ac:dyDescent="0.2">
      <c r="A6" s="16" t="s">
        <v>3</v>
      </c>
      <c r="B6" s="16" t="s">
        <v>4</v>
      </c>
      <c r="C6" s="16" t="s">
        <v>5</v>
      </c>
      <c r="D6" s="16" t="s">
        <v>6</v>
      </c>
      <c r="E6" s="16" t="s">
        <v>7</v>
      </c>
      <c r="F6" s="17" t="s">
        <v>8</v>
      </c>
      <c r="G6" s="16" t="s">
        <v>9</v>
      </c>
      <c r="H6" s="16" t="s">
        <v>10</v>
      </c>
      <c r="I6" s="16" t="s">
        <v>11</v>
      </c>
      <c r="J6" s="7"/>
      <c r="K6" s="7"/>
    </row>
    <row r="7" spans="1:12" hidden="1" x14ac:dyDescent="0.2">
      <c r="A7" s="16"/>
      <c r="B7" s="16" t="s">
        <v>12</v>
      </c>
      <c r="C7" s="16"/>
      <c r="D7" s="16"/>
      <c r="E7" s="16"/>
      <c r="F7" s="17" t="s">
        <v>13</v>
      </c>
      <c r="G7" s="16"/>
      <c r="H7" s="16"/>
      <c r="I7" s="16"/>
      <c r="J7" s="7"/>
      <c r="K7" s="7"/>
    </row>
    <row r="8" spans="1:12" hidden="1" x14ac:dyDescent="0.2">
      <c r="A8" s="7"/>
      <c r="B8" s="7"/>
      <c r="C8" s="7"/>
      <c r="D8" s="7"/>
      <c r="E8" s="7"/>
      <c r="F8" s="8"/>
      <c r="G8" s="7"/>
      <c r="H8" s="7"/>
      <c r="I8" s="7"/>
      <c r="J8" s="7"/>
      <c r="K8" s="7"/>
    </row>
    <row r="9" spans="1:12" s="19" customFormat="1" hidden="1" x14ac:dyDescent="0.2">
      <c r="A9" s="18">
        <v>15</v>
      </c>
      <c r="B9" s="18">
        <v>0.7</v>
      </c>
      <c r="C9" s="18">
        <v>40</v>
      </c>
      <c r="D9" s="18">
        <v>40</v>
      </c>
      <c r="E9" s="18">
        <v>700</v>
      </c>
      <c r="F9" s="18">
        <v>0.35</v>
      </c>
      <c r="G9" s="18">
        <v>60</v>
      </c>
      <c r="H9" s="18">
        <v>3</v>
      </c>
      <c r="I9" s="18">
        <v>3</v>
      </c>
      <c r="J9" s="18"/>
      <c r="K9" s="18"/>
    </row>
    <row r="10" spans="1:12" hidden="1" x14ac:dyDescent="0.2">
      <c r="A10" s="16"/>
      <c r="B10" s="7"/>
      <c r="C10" s="7"/>
      <c r="D10" s="7"/>
      <c r="E10" s="7"/>
      <c r="F10" s="8"/>
      <c r="G10" s="7"/>
      <c r="H10" s="7"/>
      <c r="I10" s="7"/>
      <c r="J10" s="7"/>
      <c r="K10" s="7"/>
    </row>
    <row r="11" spans="1:12" s="21" customFormat="1" hidden="1" x14ac:dyDescent="0.2">
      <c r="A11" s="14">
        <v>10</v>
      </c>
      <c r="B11" s="14"/>
      <c r="C11" s="14">
        <v>11</v>
      </c>
      <c r="D11" s="14">
        <v>12</v>
      </c>
      <c r="E11" s="14">
        <v>13</v>
      </c>
      <c r="F11" s="14">
        <v>14</v>
      </c>
      <c r="G11" s="14">
        <v>15</v>
      </c>
      <c r="H11" s="14">
        <v>16</v>
      </c>
      <c r="I11" s="14">
        <v>17</v>
      </c>
      <c r="J11" s="20"/>
      <c r="K11" s="20"/>
    </row>
    <row r="12" spans="1:12" hidden="1" x14ac:dyDescent="0.2">
      <c r="A12" s="22" t="s">
        <v>14</v>
      </c>
      <c r="B12" s="23"/>
      <c r="C12" s="7" t="s">
        <v>15</v>
      </c>
      <c r="D12" s="7" t="s">
        <v>16</v>
      </c>
      <c r="E12" s="16" t="s">
        <v>17</v>
      </c>
      <c r="F12" s="7" t="s">
        <v>18</v>
      </c>
      <c r="G12" s="16" t="s">
        <v>19</v>
      </c>
      <c r="H12" s="24" t="s">
        <v>20</v>
      </c>
      <c r="I12" s="7" t="s">
        <v>21</v>
      </c>
      <c r="J12" s="7"/>
      <c r="K12" s="7"/>
    </row>
    <row r="13" spans="1:12" hidden="1" x14ac:dyDescent="0.2">
      <c r="A13" s="16" t="s">
        <v>22</v>
      </c>
      <c r="B13" s="16" t="s">
        <v>23</v>
      </c>
      <c r="C13" s="7"/>
      <c r="D13" s="7" t="s">
        <v>13</v>
      </c>
      <c r="E13" s="7" t="s">
        <v>24</v>
      </c>
      <c r="F13" s="16" t="s">
        <v>25</v>
      </c>
      <c r="G13" s="16" t="s">
        <v>26</v>
      </c>
      <c r="H13" s="24" t="s">
        <v>27</v>
      </c>
      <c r="I13" s="7" t="s">
        <v>28</v>
      </c>
      <c r="J13" s="7"/>
      <c r="K13" s="7"/>
    </row>
    <row r="14" spans="1:12" hidden="1" x14ac:dyDescent="0.2">
      <c r="A14" s="7"/>
      <c r="B14" s="7"/>
      <c r="C14" s="7"/>
      <c r="D14" s="7"/>
      <c r="E14" s="7"/>
      <c r="F14" s="7"/>
      <c r="G14" s="7"/>
      <c r="H14" s="16"/>
      <c r="I14" s="7"/>
      <c r="J14" s="7"/>
      <c r="K14" s="7"/>
    </row>
    <row r="15" spans="1:12" s="19" customFormat="1" hidden="1" x14ac:dyDescent="0.2">
      <c r="A15" s="18">
        <v>0.7</v>
      </c>
      <c r="B15" s="18">
        <v>150</v>
      </c>
      <c r="C15" s="18">
        <v>200</v>
      </c>
      <c r="D15" s="18">
        <v>0.7</v>
      </c>
      <c r="E15" s="18">
        <v>250</v>
      </c>
      <c r="F15" s="18">
        <v>60</v>
      </c>
      <c r="G15" s="18">
        <v>250</v>
      </c>
      <c r="H15" s="25">
        <v>60</v>
      </c>
      <c r="I15" s="18">
        <v>0.35</v>
      </c>
      <c r="J15" s="18"/>
      <c r="K15" s="18"/>
    </row>
    <row r="16" spans="1:12" s="26" customFormat="1" hidden="1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2" s="28" customFormat="1" ht="15" hidden="1" x14ac:dyDescent="0.2">
      <c r="A17" s="14">
        <v>18</v>
      </c>
      <c r="B17" s="14">
        <v>19</v>
      </c>
      <c r="C17" s="14">
        <v>20</v>
      </c>
      <c r="D17" s="14">
        <v>21</v>
      </c>
      <c r="E17" s="14">
        <v>22</v>
      </c>
      <c r="F17" s="14">
        <v>23</v>
      </c>
      <c r="G17" s="14"/>
      <c r="H17" s="20"/>
      <c r="I17" s="20"/>
      <c r="J17" s="27"/>
      <c r="K17" s="27"/>
    </row>
    <row r="18" spans="1:12" hidden="1" x14ac:dyDescent="0.2">
      <c r="A18" s="16" t="s">
        <v>29</v>
      </c>
      <c r="B18" s="16" t="s">
        <v>30</v>
      </c>
      <c r="C18" s="16" t="s">
        <v>31</v>
      </c>
      <c r="D18" s="16" t="s">
        <v>32</v>
      </c>
      <c r="E18" s="16" t="s">
        <v>33</v>
      </c>
      <c r="F18" s="16" t="s">
        <v>34</v>
      </c>
      <c r="G18" s="22"/>
      <c r="H18" s="22"/>
      <c r="I18" s="22"/>
      <c r="J18" s="7"/>
      <c r="K18" s="7"/>
    </row>
    <row r="19" spans="1:12" ht="15" hidden="1" x14ac:dyDescent="0.2">
      <c r="A19" s="16" t="s">
        <v>35</v>
      </c>
      <c r="B19" s="6"/>
      <c r="C19" s="6"/>
      <c r="D19" s="16" t="s">
        <v>36</v>
      </c>
      <c r="E19" s="6"/>
      <c r="F19" s="6"/>
      <c r="G19" s="2"/>
      <c r="H19" s="2"/>
      <c r="I19" s="2"/>
      <c r="J19" s="7"/>
      <c r="K19" s="7"/>
    </row>
    <row r="20" spans="1:12" hidden="1" x14ac:dyDescent="0.2">
      <c r="A20" s="7"/>
      <c r="B20" s="7"/>
      <c r="C20" s="7"/>
      <c r="D20" s="7"/>
      <c r="E20" s="7"/>
      <c r="F20" s="7"/>
      <c r="G20" s="8"/>
      <c r="H20" s="7"/>
      <c r="I20" s="7"/>
      <c r="J20" s="7"/>
      <c r="K20" s="7"/>
    </row>
    <row r="21" spans="1:12" s="19" customFormat="1" hidden="1" x14ac:dyDescent="0.2">
      <c r="A21" s="18">
        <v>0.4</v>
      </c>
      <c r="B21" s="18">
        <v>150</v>
      </c>
      <c r="C21" s="18">
        <v>40</v>
      </c>
      <c r="D21" s="18">
        <v>0.35</v>
      </c>
      <c r="E21" s="18">
        <v>10</v>
      </c>
      <c r="F21" s="18">
        <v>0.8</v>
      </c>
      <c r="G21" s="18"/>
      <c r="H21" s="18"/>
      <c r="I21" s="18"/>
      <c r="J21" s="18"/>
      <c r="K21" s="18"/>
    </row>
    <row r="22" spans="1:12" hidden="1" x14ac:dyDescent="0.2">
      <c r="A22" s="29"/>
      <c r="B22" s="29"/>
      <c r="C22" s="29"/>
      <c r="D22" s="29"/>
      <c r="E22" s="29"/>
      <c r="F22" s="29"/>
      <c r="G22" s="30"/>
      <c r="H22" s="31"/>
      <c r="I22" s="7"/>
      <c r="J22" s="7"/>
      <c r="K22" s="7"/>
    </row>
    <row r="23" spans="1:12" x14ac:dyDescent="0.2">
      <c r="A23" s="9"/>
      <c r="B23" s="9"/>
      <c r="C23" s="9"/>
      <c r="D23" s="10" t="s">
        <v>37</v>
      </c>
      <c r="E23" s="11" t="s">
        <v>38</v>
      </c>
      <c r="F23" s="9"/>
      <c r="G23" s="32"/>
      <c r="H23" s="33"/>
      <c r="I23" s="9"/>
      <c r="J23" s="9"/>
      <c r="K23" s="9"/>
      <c r="L23" s="9"/>
    </row>
    <row r="24" spans="1:12" x14ac:dyDescent="0.2">
      <c r="A24" s="34" t="s">
        <v>39</v>
      </c>
      <c r="B24" s="34" t="s">
        <v>40</v>
      </c>
      <c r="C24" s="34"/>
      <c r="D24" s="34"/>
      <c r="E24" s="34"/>
      <c r="F24" s="34"/>
      <c r="G24" s="35" t="s">
        <v>41</v>
      </c>
      <c r="H24" s="36" t="s">
        <v>42</v>
      </c>
    </row>
    <row r="25" spans="1:12" ht="15" x14ac:dyDescent="0.2">
      <c r="A25" s="6"/>
      <c r="B25" s="2"/>
      <c r="F25" s="2"/>
      <c r="G25" s="37"/>
      <c r="H25" s="38"/>
    </row>
    <row r="26" spans="1:12" ht="15" x14ac:dyDescent="0.2">
      <c r="A26" s="39">
        <v>1</v>
      </c>
      <c r="B26" s="2" t="s">
        <v>43</v>
      </c>
      <c r="F26" s="2"/>
      <c r="G26" s="40">
        <v>10</v>
      </c>
      <c r="H26" s="38">
        <f>G26*A9</f>
        <v>150</v>
      </c>
    </row>
    <row r="27" spans="1:12" ht="15" x14ac:dyDescent="0.2">
      <c r="A27" s="39">
        <v>2</v>
      </c>
      <c r="B27" s="2" t="s">
        <v>44</v>
      </c>
      <c r="F27" s="2"/>
      <c r="G27" s="40">
        <v>240</v>
      </c>
      <c r="H27" s="38">
        <f>G27*B9</f>
        <v>168</v>
      </c>
    </row>
    <row r="28" spans="1:12" ht="15" x14ac:dyDescent="0.2">
      <c r="A28" s="39">
        <v>3</v>
      </c>
      <c r="B28" s="2" t="s">
        <v>45</v>
      </c>
      <c r="F28" s="2"/>
      <c r="G28" s="40">
        <v>5</v>
      </c>
      <c r="H28" s="38">
        <f>G28*C9</f>
        <v>200</v>
      </c>
    </row>
    <row r="29" spans="1:12" ht="15" x14ac:dyDescent="0.2">
      <c r="A29" s="39">
        <v>4</v>
      </c>
      <c r="B29" s="2" t="s">
        <v>46</v>
      </c>
      <c r="F29" s="2"/>
      <c r="G29" s="40">
        <v>2</v>
      </c>
      <c r="H29" s="38">
        <f>G29*D9</f>
        <v>80</v>
      </c>
    </row>
    <row r="30" spans="1:12" ht="15" x14ac:dyDescent="0.2">
      <c r="A30" s="39">
        <v>5</v>
      </c>
      <c r="B30" s="2" t="s">
        <v>47</v>
      </c>
      <c r="F30" s="2"/>
      <c r="G30" s="40">
        <v>1</v>
      </c>
      <c r="H30" s="38">
        <f>E9*G30</f>
        <v>700</v>
      </c>
      <c r="I30" s="26"/>
    </row>
    <row r="31" spans="1:12" ht="15" x14ac:dyDescent="0.2">
      <c r="A31" s="39">
        <v>6</v>
      </c>
      <c r="B31" s="2" t="s">
        <v>48</v>
      </c>
      <c r="F31" s="2"/>
      <c r="G31" s="40"/>
      <c r="H31" s="38">
        <f>G31*F9</f>
        <v>0</v>
      </c>
      <c r="I31" s="41"/>
    </row>
    <row r="32" spans="1:12" ht="15" x14ac:dyDescent="0.2">
      <c r="A32" s="39">
        <v>7</v>
      </c>
      <c r="B32" s="2" t="s">
        <v>49</v>
      </c>
      <c r="F32" s="2"/>
      <c r="G32" s="40">
        <v>0</v>
      </c>
      <c r="H32" s="38">
        <f>G32*G9</f>
        <v>0</v>
      </c>
    </row>
    <row r="33" spans="1:13" ht="15" x14ac:dyDescent="0.2">
      <c r="A33" s="39">
        <v>8</v>
      </c>
      <c r="B33" s="2" t="s">
        <v>50</v>
      </c>
      <c r="F33" s="2"/>
      <c r="G33" s="40">
        <v>15</v>
      </c>
      <c r="H33" s="38">
        <f>G33*H9</f>
        <v>45</v>
      </c>
    </row>
    <row r="34" spans="1:13" ht="15" x14ac:dyDescent="0.2">
      <c r="A34" s="39">
        <v>9</v>
      </c>
      <c r="B34" s="2" t="s">
        <v>51</v>
      </c>
      <c r="F34" s="2"/>
      <c r="G34" s="40">
        <v>0</v>
      </c>
      <c r="H34" s="38">
        <f>G34*I9</f>
        <v>0</v>
      </c>
    </row>
    <row r="35" spans="1:13" ht="15" x14ac:dyDescent="0.2">
      <c r="A35" s="39">
        <v>10</v>
      </c>
      <c r="B35" s="2" t="s">
        <v>52</v>
      </c>
      <c r="F35" s="2"/>
      <c r="G35" s="40">
        <v>120</v>
      </c>
      <c r="H35" s="38">
        <f>G35*A15+B15*L44+E15</f>
        <v>634</v>
      </c>
    </row>
    <row r="36" spans="1:13" ht="15" x14ac:dyDescent="0.2">
      <c r="A36" s="39">
        <v>11</v>
      </c>
      <c r="B36" s="2" t="s">
        <v>53</v>
      </c>
      <c r="F36" s="2"/>
      <c r="G36" s="40">
        <v>1</v>
      </c>
      <c r="H36" s="38">
        <f>G36*C15</f>
        <v>200</v>
      </c>
    </row>
    <row r="37" spans="1:13" ht="15" x14ac:dyDescent="0.2">
      <c r="A37" s="39">
        <v>12</v>
      </c>
      <c r="B37" s="2" t="s">
        <v>54</v>
      </c>
      <c r="F37" s="2"/>
      <c r="G37" s="40">
        <v>480</v>
      </c>
      <c r="H37" s="38">
        <f>G37*D15</f>
        <v>336</v>
      </c>
    </row>
    <row r="38" spans="1:13" ht="15" x14ac:dyDescent="0.2">
      <c r="A38" s="39">
        <v>13</v>
      </c>
      <c r="B38" s="2" t="s">
        <v>55</v>
      </c>
      <c r="C38" s="26"/>
      <c r="D38" s="26"/>
      <c r="E38" s="26"/>
      <c r="F38" s="2"/>
      <c r="G38" s="40">
        <v>20</v>
      </c>
      <c r="H38" s="38">
        <f>G38/L43*E15</f>
        <v>156.25</v>
      </c>
    </row>
    <row r="39" spans="1:13" ht="15" x14ac:dyDescent="0.2">
      <c r="A39" s="39">
        <v>14</v>
      </c>
      <c r="B39" s="2" t="s">
        <v>56</v>
      </c>
      <c r="C39" s="41"/>
      <c r="D39" s="41"/>
      <c r="E39" s="41"/>
      <c r="F39" s="2"/>
      <c r="G39" s="40">
        <v>10</v>
      </c>
      <c r="H39" s="38">
        <f>G39/L43*F15</f>
        <v>18.75</v>
      </c>
      <c r="J39" s="4" t="s">
        <v>57</v>
      </c>
      <c r="M39" s="1"/>
    </row>
    <row r="40" spans="1:13" ht="15" x14ac:dyDescent="0.2">
      <c r="A40" s="42">
        <v>15</v>
      </c>
      <c r="B40" s="43" t="s">
        <v>58</v>
      </c>
      <c r="F40" s="2"/>
      <c r="G40" s="40">
        <v>3.2</v>
      </c>
      <c r="H40" s="38">
        <f>G40/L42*G15</f>
        <v>44.444444444444443</v>
      </c>
      <c r="M40" s="1"/>
    </row>
    <row r="41" spans="1:13" ht="15" x14ac:dyDescent="0.2">
      <c r="A41" s="39">
        <v>16</v>
      </c>
      <c r="B41" s="2" t="s">
        <v>59</v>
      </c>
      <c r="F41" s="2"/>
      <c r="G41" s="40">
        <v>1</v>
      </c>
      <c r="H41" s="38">
        <v>60</v>
      </c>
      <c r="I41" s="7" t="s">
        <v>60</v>
      </c>
      <c r="L41" s="44">
        <v>3</v>
      </c>
    </row>
    <row r="42" spans="1:13" ht="15" x14ac:dyDescent="0.2">
      <c r="A42" s="39">
        <v>17</v>
      </c>
      <c r="B42" s="43" t="s">
        <v>61</v>
      </c>
      <c r="F42" s="2"/>
      <c r="G42" s="40"/>
      <c r="H42" s="38">
        <f>G42*I15</f>
        <v>0</v>
      </c>
      <c r="I42" s="7" t="s">
        <v>62</v>
      </c>
      <c r="L42" s="44">
        <v>18</v>
      </c>
    </row>
    <row r="43" spans="1:13" ht="15" x14ac:dyDescent="0.2">
      <c r="A43" s="39">
        <v>18</v>
      </c>
      <c r="B43" s="2" t="s">
        <v>63</v>
      </c>
      <c r="F43" s="2"/>
      <c r="G43" s="40">
        <v>3</v>
      </c>
      <c r="H43" s="38">
        <f>G43*A21</f>
        <v>1.2000000000000002</v>
      </c>
      <c r="I43" s="7" t="s">
        <v>64</v>
      </c>
      <c r="L43" s="44">
        <v>32</v>
      </c>
    </row>
    <row r="44" spans="1:13" ht="15" x14ac:dyDescent="0.2">
      <c r="A44" s="39">
        <v>19</v>
      </c>
      <c r="B44" s="2" t="s">
        <v>65</v>
      </c>
      <c r="F44" s="2"/>
      <c r="G44" s="40">
        <v>4</v>
      </c>
      <c r="H44" s="38">
        <f>G44*B21</f>
        <v>600</v>
      </c>
      <c r="I44" s="45" t="s">
        <v>66</v>
      </c>
      <c r="L44" s="44">
        <v>2</v>
      </c>
    </row>
    <row r="45" spans="1:13" ht="15" x14ac:dyDescent="0.2">
      <c r="A45" s="39">
        <v>20</v>
      </c>
      <c r="B45" s="2" t="s">
        <v>31</v>
      </c>
      <c r="F45" s="2"/>
      <c r="G45" s="40">
        <v>0</v>
      </c>
      <c r="H45" s="38">
        <v>0</v>
      </c>
      <c r="I45" s="7"/>
    </row>
    <row r="46" spans="1:13" ht="15" x14ac:dyDescent="0.2">
      <c r="A46" s="39">
        <v>21</v>
      </c>
      <c r="B46" s="2" t="s">
        <v>67</v>
      </c>
      <c r="F46" s="2"/>
      <c r="G46" s="40">
        <v>0</v>
      </c>
      <c r="H46" s="38">
        <f>G46*D21</f>
        <v>0</v>
      </c>
      <c r="I46" s="7"/>
    </row>
    <row r="47" spans="1:13" ht="15.75" x14ac:dyDescent="0.25">
      <c r="A47" s="39">
        <v>22</v>
      </c>
      <c r="B47" s="2" t="s">
        <v>68</v>
      </c>
      <c r="F47" s="3"/>
      <c r="G47" s="40">
        <v>10</v>
      </c>
      <c r="H47" s="38">
        <f>G47*E21</f>
        <v>100</v>
      </c>
      <c r="I47" s="7"/>
    </row>
    <row r="48" spans="1:13" ht="15" x14ac:dyDescent="0.2">
      <c r="A48" s="42">
        <v>23</v>
      </c>
      <c r="B48" s="43" t="s">
        <v>69</v>
      </c>
      <c r="C48" s="7"/>
      <c r="D48" s="7"/>
      <c r="E48" s="7"/>
      <c r="F48" s="7"/>
      <c r="G48" s="40">
        <v>90</v>
      </c>
      <c r="H48" s="46">
        <f>G48*F21</f>
        <v>72</v>
      </c>
      <c r="I48" s="7"/>
    </row>
    <row r="49" spans="1:12" x14ac:dyDescent="0.2">
      <c r="A49" s="7"/>
      <c r="B49" s="7"/>
      <c r="C49" s="7"/>
      <c r="D49" s="47"/>
      <c r="E49" s="7"/>
      <c r="F49" s="7"/>
      <c r="G49" s="48"/>
      <c r="H49" s="46"/>
      <c r="I49" s="7"/>
    </row>
    <row r="50" spans="1:12" s="4" customFormat="1" x14ac:dyDescent="0.2">
      <c r="A50" s="49"/>
      <c r="B50" s="49" t="s">
        <v>70</v>
      </c>
      <c r="D50" s="50"/>
      <c r="E50" s="49"/>
      <c r="F50" s="49"/>
      <c r="G50" s="51"/>
      <c r="H50" s="19">
        <f>SUM(H26:H49)</f>
        <v>3565.6444444444442</v>
      </c>
      <c r="L50" s="4" t="s">
        <v>71</v>
      </c>
    </row>
    <row r="51" spans="1:12" x14ac:dyDescent="0.2">
      <c r="A51" s="7"/>
      <c r="B51" s="7"/>
      <c r="C51" s="7"/>
      <c r="D51" s="47"/>
      <c r="E51" s="7"/>
      <c r="F51" s="7"/>
      <c r="G51" s="8"/>
      <c r="H51" s="19" t="s">
        <v>72</v>
      </c>
    </row>
    <row r="52" spans="1:12" x14ac:dyDescent="0.2">
      <c r="A52" s="7"/>
      <c r="B52" s="7"/>
      <c r="C52" s="7"/>
      <c r="D52" s="47"/>
      <c r="E52" s="7"/>
      <c r="F52" s="7"/>
      <c r="G52" s="8"/>
      <c r="H52" s="19" t="s">
        <v>73</v>
      </c>
    </row>
    <row r="53" spans="1:12" x14ac:dyDescent="0.2">
      <c r="A53" s="7"/>
      <c r="B53" s="49" t="s">
        <v>74</v>
      </c>
      <c r="C53" s="7"/>
      <c r="D53" s="47"/>
      <c r="E53" s="7"/>
      <c r="F53" s="7"/>
      <c r="G53" s="8"/>
      <c r="H53" s="22"/>
    </row>
    <row r="54" spans="1:12" x14ac:dyDescent="0.2">
      <c r="A54" s="7"/>
      <c r="B54" s="49" t="s">
        <v>75</v>
      </c>
      <c r="C54" s="49"/>
      <c r="D54" s="50"/>
      <c r="E54" s="49"/>
      <c r="F54" s="49"/>
      <c r="G54" s="18"/>
      <c r="H54" s="49"/>
    </row>
    <row r="55" spans="1:12" x14ac:dyDescent="0.2">
      <c r="A55" s="7"/>
      <c r="B55" s="49" t="s">
        <v>76</v>
      </c>
      <c r="C55" s="49"/>
      <c r="D55" s="50"/>
      <c r="E55" s="49"/>
      <c r="F55" s="49"/>
      <c r="G55" s="18"/>
      <c r="H55" s="49"/>
      <c r="I55" s="7"/>
    </row>
    <row r="56" spans="1:12" x14ac:dyDescent="0.2">
      <c r="D56" s="4"/>
      <c r="E56" s="4"/>
      <c r="F56" s="4"/>
      <c r="G56" s="19"/>
      <c r="H56" s="4"/>
      <c r="I56" s="7"/>
    </row>
    <row r="57" spans="1:12" x14ac:dyDescent="0.2">
      <c r="A57" t="s">
        <v>77</v>
      </c>
      <c r="H57" s="26"/>
      <c r="I57" s="7"/>
    </row>
    <row r="58" spans="1:12" x14ac:dyDescent="0.2">
      <c r="I58" s="4"/>
    </row>
    <row r="60" spans="1:12" x14ac:dyDescent="0.2">
      <c r="H60" s="26"/>
    </row>
    <row r="61" spans="1:12" x14ac:dyDescent="0.2">
      <c r="H61" s="26"/>
    </row>
    <row r="62" spans="1:12" x14ac:dyDescent="0.2">
      <c r="C62" t="s">
        <v>78</v>
      </c>
      <c r="H62" s="26"/>
    </row>
    <row r="63" spans="1:12" x14ac:dyDescent="0.2">
      <c r="H63" s="26"/>
    </row>
    <row r="64" spans="1:12" x14ac:dyDescent="0.2">
      <c r="C64" t="s">
        <v>79</v>
      </c>
      <c r="H64" s="26"/>
    </row>
    <row r="65" spans="4:8" x14ac:dyDescent="0.2">
      <c r="D65" t="s">
        <v>80</v>
      </c>
      <c r="H65" s="26"/>
    </row>
  </sheetData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scale="9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Erison Barros</cp:lastModifiedBy>
  <cp:revision/>
  <dcterms:created xsi:type="dcterms:W3CDTF">2016-12-22T15:04:27Z</dcterms:created>
  <dcterms:modified xsi:type="dcterms:W3CDTF">2019-09-18T16:57:27Z</dcterms:modified>
  <cp:category/>
  <cp:contentStatus/>
</cp:coreProperties>
</file>