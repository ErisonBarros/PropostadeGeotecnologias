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41" documentId="8_{98B7D689-AC39-4C93-869E-C6D7F7CDF80A}" xr6:coauthVersionLast="47" xr6:coauthVersionMax="47" xr10:uidLastSave="{4DBB5F0B-39E0-4C5F-86C8-BB2C0382AE5A}"/>
  <bookViews>
    <workbookView xWindow="-108" yWindow="-108" windowWidth="23256" windowHeight="12456" xr2:uid="{F88F7009-83D0-496A-8373-3B15FC1ECB47}"/>
  </bookViews>
  <sheets>
    <sheet name="GERAL" sheetId="20" r:id="rId1"/>
    <sheet name="GRANJA BELO HORIZONTE" sheetId="1" r:id="rId2"/>
    <sheet name="FAZENDA GAMALEIRA" sheetId="2" r:id="rId3"/>
    <sheet name="LOTE 39" sheetId="3" r:id="rId4"/>
    <sheet name="PROPRIEDADE JARDIM" sheetId="4" r:id="rId5"/>
    <sheet name="GRANJA NOVO NORTE" sheetId="5" r:id="rId6"/>
    <sheet name="GRANJA PALACINHO" sheetId="6" r:id="rId7"/>
    <sheet name="SÍTIO BELÉM" sheetId="7" r:id="rId8"/>
    <sheet name="SIÂ-TIO BELEM" sheetId="21" r:id="rId9"/>
    <sheet name="GRANJA PALACETE" sheetId="8" r:id="rId10"/>
    <sheet name="GRANJA GRANJITA" sheetId="9" r:id="rId11"/>
    <sheet name="GRANJA SÃO LUIS" sheetId="10" r:id="rId12"/>
    <sheet name="GRANJA SANTA ELIZIA I" sheetId="11" r:id="rId13"/>
    <sheet name="FAZENDA VARZEA VERDE II" sheetId="12" r:id="rId14"/>
    <sheet name="GRANJA PITANGA" sheetId="13" r:id="rId15"/>
    <sheet name="FAZENDA NOSSA SENHORA DE FATIMA" sheetId="14" r:id="rId16"/>
    <sheet name="GRANJA HORTA VELHA" sheetId="15" r:id="rId17"/>
    <sheet name="GRANJA SANTO ANTONIO" sheetId="16" r:id="rId18"/>
    <sheet name="GRANJA SAO JUDAS TADEU" sheetId="22" r:id="rId19"/>
    <sheet name="GRANJA GAVIAO" sheetId="17" r:id="rId20"/>
    <sheet name="GRANJA HERCULANO BANDEIRA PARTE" sheetId="18" r:id="rId21"/>
    <sheet name="GRANJA SIMMENTEL" sheetId="19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0" l="1"/>
  <c r="H21" i="20"/>
  <c r="E23" i="22"/>
  <c r="E22" i="22"/>
  <c r="E21" i="22"/>
  <c r="E20" i="22"/>
  <c r="E25" i="22" s="1"/>
  <c r="E19" i="22"/>
  <c r="E18" i="22"/>
  <c r="F11" i="22"/>
  <c r="F9" i="22"/>
  <c r="F8" i="22"/>
  <c r="F7" i="22"/>
  <c r="F6" i="22"/>
  <c r="F4" i="22"/>
  <c r="F14" i="22" s="1"/>
  <c r="H19" i="20" s="1"/>
  <c r="H17" i="20"/>
  <c r="H16" i="20"/>
  <c r="H15" i="20"/>
  <c r="F14" i="12"/>
  <c r="H14" i="20" s="1"/>
  <c r="H13" i="20"/>
  <c r="F14" i="10"/>
  <c r="H12" i="20"/>
  <c r="H11" i="20"/>
  <c r="F14" i="8"/>
  <c r="H10" i="20"/>
  <c r="H9" i="20"/>
  <c r="E23" i="21"/>
  <c r="E22" i="21"/>
  <c r="E21" i="21"/>
  <c r="E20" i="21"/>
  <c r="E19" i="21"/>
  <c r="E18" i="21"/>
  <c r="E25" i="21" s="1"/>
  <c r="F11" i="21"/>
  <c r="F9" i="21"/>
  <c r="F8" i="21"/>
  <c r="F7" i="21"/>
  <c r="F6" i="21"/>
  <c r="F4" i="21"/>
  <c r="F14" i="21" s="1"/>
  <c r="G14" i="21" s="1"/>
  <c r="F14" i="7"/>
  <c r="H8" i="20"/>
  <c r="H7" i="20"/>
  <c r="H6" i="20"/>
  <c r="H5" i="20"/>
  <c r="H4" i="20"/>
  <c r="H3" i="20"/>
  <c r="H2" i="20"/>
  <c r="E23" i="19"/>
  <c r="E22" i="19"/>
  <c r="E21" i="19"/>
  <c r="E20" i="19"/>
  <c r="E19" i="19"/>
  <c r="E18" i="19"/>
  <c r="E25" i="19" s="1"/>
  <c r="F11" i="19"/>
  <c r="F9" i="19"/>
  <c r="F8" i="19"/>
  <c r="F7" i="19"/>
  <c r="F6" i="19"/>
  <c r="F4" i="19"/>
  <c r="F14" i="19" s="1"/>
  <c r="G14" i="19" s="1"/>
  <c r="E23" i="18"/>
  <c r="E22" i="18"/>
  <c r="E21" i="18"/>
  <c r="E20" i="18"/>
  <c r="E19" i="18"/>
  <c r="E18" i="18"/>
  <c r="E25" i="18" s="1"/>
  <c r="F11" i="18"/>
  <c r="F9" i="18"/>
  <c r="F8" i="18"/>
  <c r="F7" i="18"/>
  <c r="F6" i="18"/>
  <c r="F4" i="18"/>
  <c r="E23" i="17"/>
  <c r="E22" i="17"/>
  <c r="E21" i="17"/>
  <c r="E20" i="17"/>
  <c r="E19" i="17"/>
  <c r="E18" i="17"/>
  <c r="E25" i="17" s="1"/>
  <c r="F11" i="17"/>
  <c r="F9" i="17"/>
  <c r="F8" i="17"/>
  <c r="F7" i="17"/>
  <c r="F6" i="17"/>
  <c r="F4" i="17"/>
  <c r="E23" i="16"/>
  <c r="E22" i="16"/>
  <c r="E21" i="16"/>
  <c r="E20" i="16"/>
  <c r="E19" i="16"/>
  <c r="E18" i="16"/>
  <c r="E25" i="16" s="1"/>
  <c r="F11" i="16"/>
  <c r="F9" i="16"/>
  <c r="F8" i="16"/>
  <c r="F7" i="16"/>
  <c r="F14" i="16" s="1"/>
  <c r="H18" i="20" s="1"/>
  <c r="F6" i="16"/>
  <c r="F4" i="16"/>
  <c r="E23" i="15"/>
  <c r="E22" i="15"/>
  <c r="E21" i="15"/>
  <c r="E20" i="15"/>
  <c r="E19" i="15"/>
  <c r="E18" i="15"/>
  <c r="E25" i="15" s="1"/>
  <c r="F11" i="15"/>
  <c r="F9" i="15"/>
  <c r="F8" i="15"/>
  <c r="F7" i="15"/>
  <c r="F14" i="15" s="1"/>
  <c r="G14" i="15" s="1"/>
  <c r="F6" i="15"/>
  <c r="F4" i="15"/>
  <c r="E23" i="14"/>
  <c r="E22" i="14"/>
  <c r="E21" i="14"/>
  <c r="E20" i="14"/>
  <c r="E19" i="14"/>
  <c r="E18" i="14"/>
  <c r="E25" i="14" s="1"/>
  <c r="F11" i="14"/>
  <c r="F9" i="14"/>
  <c r="F8" i="14"/>
  <c r="F7" i="14"/>
  <c r="F6" i="14"/>
  <c r="F4" i="14"/>
  <c r="F14" i="14" s="1"/>
  <c r="F14" i="13"/>
  <c r="F14" i="1"/>
  <c r="G14" i="1"/>
  <c r="F14" i="6"/>
  <c r="F14" i="5"/>
  <c r="F14" i="4"/>
  <c r="F14" i="3"/>
  <c r="F14" i="2"/>
  <c r="E23" i="13"/>
  <c r="E22" i="13"/>
  <c r="E21" i="13"/>
  <c r="E20" i="13"/>
  <c r="E19" i="13"/>
  <c r="E18" i="13"/>
  <c r="F11" i="13"/>
  <c r="F9" i="13"/>
  <c r="F8" i="13"/>
  <c r="F7" i="13"/>
  <c r="F6" i="13"/>
  <c r="F4" i="13"/>
  <c r="E23" i="12"/>
  <c r="E22" i="12"/>
  <c r="E21" i="12"/>
  <c r="E20" i="12"/>
  <c r="E19" i="12"/>
  <c r="E18" i="12"/>
  <c r="F11" i="12"/>
  <c r="F9" i="12"/>
  <c r="F8" i="12"/>
  <c r="F7" i="12"/>
  <c r="F6" i="12"/>
  <c r="F4" i="12"/>
  <c r="E25" i="11"/>
  <c r="E23" i="11"/>
  <c r="E22" i="11"/>
  <c r="E21" i="11"/>
  <c r="E20" i="11"/>
  <c r="E19" i="11"/>
  <c r="E18" i="11"/>
  <c r="F11" i="11"/>
  <c r="F9" i="11"/>
  <c r="F8" i="11"/>
  <c r="F7" i="11"/>
  <c r="F6" i="11"/>
  <c r="F4" i="11"/>
  <c r="F13" i="11" s="1"/>
  <c r="E23" i="10"/>
  <c r="E22" i="10"/>
  <c r="E21" i="10"/>
  <c r="E20" i="10"/>
  <c r="E19" i="10"/>
  <c r="E18" i="10"/>
  <c r="E25" i="10" s="1"/>
  <c r="F11" i="10"/>
  <c r="F9" i="10"/>
  <c r="F8" i="10"/>
  <c r="F7" i="10"/>
  <c r="F6" i="10"/>
  <c r="F4" i="10"/>
  <c r="E23" i="9"/>
  <c r="E22" i="9"/>
  <c r="E21" i="9"/>
  <c r="E20" i="9"/>
  <c r="E19" i="9"/>
  <c r="E18" i="9"/>
  <c r="F11" i="9"/>
  <c r="F9" i="9"/>
  <c r="F8" i="9"/>
  <c r="F7" i="9"/>
  <c r="F6" i="9"/>
  <c r="F4" i="9"/>
  <c r="F14" i="9" s="1"/>
  <c r="E23" i="8"/>
  <c r="E22" i="8"/>
  <c r="E21" i="8"/>
  <c r="E20" i="8"/>
  <c r="E19" i="8"/>
  <c r="E18" i="8"/>
  <c r="E25" i="8" s="1"/>
  <c r="F11" i="8"/>
  <c r="F9" i="8"/>
  <c r="F8" i="8"/>
  <c r="F7" i="8"/>
  <c r="F6" i="8"/>
  <c r="F4" i="8"/>
  <c r="E23" i="7"/>
  <c r="E22" i="7"/>
  <c r="E21" i="7"/>
  <c r="E20" i="7"/>
  <c r="E19" i="7"/>
  <c r="E18" i="7"/>
  <c r="E25" i="7" s="1"/>
  <c r="F11" i="7"/>
  <c r="F9" i="7"/>
  <c r="F8" i="7"/>
  <c r="F7" i="7"/>
  <c r="F6" i="7"/>
  <c r="F4" i="7"/>
  <c r="E23" i="6"/>
  <c r="E22" i="6"/>
  <c r="E21" i="6"/>
  <c r="E20" i="6"/>
  <c r="E19" i="6"/>
  <c r="E18" i="6"/>
  <c r="E25" i="6" s="1"/>
  <c r="F11" i="6"/>
  <c r="F9" i="6"/>
  <c r="F8" i="6"/>
  <c r="F7" i="6"/>
  <c r="F6" i="6"/>
  <c r="F4" i="6"/>
  <c r="E23" i="5"/>
  <c r="E22" i="5"/>
  <c r="E21" i="5"/>
  <c r="E20" i="5"/>
  <c r="E19" i="5"/>
  <c r="E18" i="5"/>
  <c r="E25" i="5" s="1"/>
  <c r="F11" i="5"/>
  <c r="F9" i="5"/>
  <c r="F8" i="5"/>
  <c r="F7" i="5"/>
  <c r="F6" i="5"/>
  <c r="F4" i="5"/>
  <c r="E23" i="4"/>
  <c r="E22" i="4"/>
  <c r="E21" i="4"/>
  <c r="E20" i="4"/>
  <c r="E19" i="4"/>
  <c r="E18" i="4"/>
  <c r="E25" i="4" s="1"/>
  <c r="F11" i="4"/>
  <c r="F9" i="4"/>
  <c r="F8" i="4"/>
  <c r="F7" i="4"/>
  <c r="F6" i="4"/>
  <c r="F4" i="4"/>
  <c r="E25" i="3"/>
  <c r="E23" i="3"/>
  <c r="E22" i="3"/>
  <c r="E21" i="3"/>
  <c r="E20" i="3"/>
  <c r="E19" i="3"/>
  <c r="E18" i="3"/>
  <c r="F11" i="3"/>
  <c r="F9" i="3"/>
  <c r="F8" i="3"/>
  <c r="F7" i="3"/>
  <c r="F6" i="3"/>
  <c r="F4" i="3"/>
  <c r="E23" i="2"/>
  <c r="E22" i="2"/>
  <c r="E21" i="2"/>
  <c r="E20" i="2"/>
  <c r="E19" i="2"/>
  <c r="E18" i="2"/>
  <c r="E25" i="2" s="1"/>
  <c r="F11" i="2"/>
  <c r="F9" i="2"/>
  <c r="F8" i="2"/>
  <c r="F7" i="2"/>
  <c r="F6" i="2"/>
  <c r="F4" i="2"/>
  <c r="F11" i="1"/>
  <c r="E24" i="1"/>
  <c r="E23" i="1"/>
  <c r="E22" i="1"/>
  <c r="E21" i="1"/>
  <c r="E20" i="1"/>
  <c r="E19" i="1"/>
  <c r="E18" i="1"/>
  <c r="F8" i="1"/>
  <c r="F9" i="1"/>
  <c r="F7" i="1"/>
  <c r="F6" i="1"/>
  <c r="F4" i="1"/>
  <c r="F14" i="17" l="1"/>
  <c r="G14" i="22"/>
  <c r="F14" i="18"/>
  <c r="G14" i="18" s="1"/>
  <c r="G14" i="16"/>
  <c r="G14" i="14"/>
  <c r="G14" i="5"/>
  <c r="E25" i="13"/>
  <c r="G14" i="13" s="1"/>
  <c r="E25" i="12"/>
  <c r="G14" i="12"/>
  <c r="G14" i="8"/>
  <c r="F14" i="11"/>
  <c r="G14" i="11" s="1"/>
  <c r="G14" i="10"/>
  <c r="E25" i="9"/>
  <c r="G14" i="9"/>
  <c r="F13" i="9"/>
  <c r="G14" i="7"/>
  <c r="G14" i="4"/>
  <c r="G14" i="3"/>
  <c r="G14" i="2"/>
  <c r="E25" i="1"/>
  <c r="G14" i="17" l="1"/>
  <c r="H20" i="20"/>
  <c r="H2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7734841-14B5-423E-98FD-FF04DA4FB5A9}">
      <text>
        <r>
          <rPr>
            <sz val="11"/>
            <color theme="1"/>
            <rFont val="Calibri"/>
            <family val="2"/>
            <scheme val="minor"/>
          </rPr>
          <t>======
ID#AAAAPVeNSLo
Jdantas    (2021-10-01 13:32:26)
Certificado de Cadastro de Imóvel Rural</t>
        </r>
      </text>
    </comment>
  </commentList>
</comments>
</file>

<file path=xl/sharedStrings.xml><?xml version="1.0" encoding="utf-8"?>
<sst xmlns="http://schemas.openxmlformats.org/spreadsheetml/2006/main" count="1327" uniqueCount="112">
  <si>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</si>
  <si>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</si>
  <si>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</si>
  <si>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</si>
  <si>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</si>
  <si>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</si>
  <si>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</si>
  <si>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</si>
  <si>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</si>
  <si>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</si>
  <si>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</si>
  <si>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</si>
  <si>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VERBA</t>
  </si>
  <si>
    <r>
      <t>2.0</t>
    </r>
    <r>
      <rPr>
        <sz val="6"/>
        <color rgb="FF000000"/>
        <rFont val="Calibri"/>
        <family val="2"/>
      </rPr>
      <t> </t>
    </r>
  </si>
  <si>
    <t>2.3</t>
  </si>
  <si>
    <t>Confecção e Implantação  de Marcos e plaquetas Padrão INCRA. </t>
  </si>
  <si>
    <t>UNID </t>
  </si>
  <si>
    <t>2.2</t>
  </si>
  <si>
    <t>Serviços de campo para medição e Georreferenciamento dos vértices definidores do perímetro total conforme estabelece o Manual Técnico de Georrferenciamendo Imóveis Rurais 2022. </t>
  </si>
  <si>
    <t>hectares </t>
  </si>
  <si>
    <t>2.4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</si>
  <si>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</si>
  <si>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</si>
  <si>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verba</t>
  </si>
  <si>
    <t>RECEITA</t>
  </si>
  <si>
    <r>
      <t>Total</t>
    </r>
    <r>
      <rPr>
        <sz val="6"/>
        <color rgb="FF000000"/>
        <rFont val="Calibri"/>
        <family val="2"/>
      </rPr>
      <t> </t>
    </r>
  </si>
  <si>
    <t>DESPESAS</t>
  </si>
  <si>
    <t>QUANT</t>
  </si>
  <si>
    <t>PREÇO</t>
  </si>
  <si>
    <t>ALIMENTAÇÃO</t>
  </si>
  <si>
    <t>HOSPEDAGEM</t>
  </si>
  <si>
    <t>COMBUSTIVEL</t>
  </si>
  <si>
    <t>AJUDANTES</t>
  </si>
  <si>
    <t>PLAQUETAS</t>
  </si>
  <si>
    <t>PROCESSAMENTO DOS DADOS</t>
  </si>
  <si>
    <t>JAIRO</t>
  </si>
  <si>
    <t>Serviços de Gabinete: processamento e analise de dados, elaboração de planilhas eletrônicas, relatórios, cálculos e Geração de Planilhas ODS para Certificação</t>
  </si>
  <si>
    <r>
      <t>Levantamento Cadastral  Territorial </t>
    </r>
    <r>
      <rPr>
        <sz val="6"/>
        <color rgb="FF000000"/>
        <rFont val="Calibri"/>
        <family val="2"/>
      </rPr>
      <t> (campo e Escritòrio)</t>
    </r>
  </si>
  <si>
    <t>Correção/ atualização do  CCIR, registro do CIB e Atualização do CAR</t>
  </si>
  <si>
    <t>Verba</t>
  </si>
  <si>
    <t>Logistica e Mobilização de equipamentos e pessoas para realização do levantamento para adquação do levantamento para atender as especificações do Manual de Georreferenciamento (MTGIR, 2022) </t>
  </si>
  <si>
    <t>,</t>
  </si>
  <si>
    <t>3.0</t>
  </si>
  <si>
    <t>Despachante Imobiliário</t>
  </si>
  <si>
    <t>GRANJA PITANGA</t>
  </si>
  <si>
    <t>COMBUSTIVEL+DEPRECIAÇÃO DO VEICULO</t>
  </si>
  <si>
    <r>
      <t>Total</t>
    </r>
    <r>
      <rPr>
        <sz val="11"/>
        <color rgb="FF000000"/>
        <rFont val="Calibri"/>
        <family val="2"/>
      </rPr>
      <t> </t>
    </r>
  </si>
  <si>
    <t>GRANJA SIMMENTEL</t>
  </si>
  <si>
    <t>GRANJA BELO HORIZONTE</t>
  </si>
  <si>
    <t>FAZENDA GAMALEIRA</t>
  </si>
  <si>
    <t>LOTE 39</t>
  </si>
  <si>
    <t>PROPRIEDADE JARDIM</t>
  </si>
  <si>
    <t>GRANJA NOVO NORTE</t>
  </si>
  <si>
    <t>GRANJA PALACINHO</t>
  </si>
  <si>
    <t>SITIO BELEM</t>
  </si>
  <si>
    <t>SIÂ-TIO BELEM</t>
  </si>
  <si>
    <t>GRANJA PALACETE</t>
  </si>
  <si>
    <t>GRANJA GRANJITA</t>
  </si>
  <si>
    <t>GRANJA SÃO LUIS</t>
  </si>
  <si>
    <t>GRANJA SANTA ELIZIA I</t>
  </si>
  <si>
    <t>FAZENDA VARZEA VERDE II</t>
  </si>
  <si>
    <t>FAZENDA NOSSA SENHORA DE FATIMA</t>
  </si>
  <si>
    <t>GRANJA HORTA VELHA</t>
  </si>
  <si>
    <t>GRANJA SANTO ANTONIO</t>
  </si>
  <si>
    <t>GRANJA SAO JUDAS TADEU</t>
  </si>
  <si>
    <t>GRANJA GAVIAO</t>
  </si>
  <si>
    <t>GRANJA HERCULANO BANDEIRA PARTE 1</t>
  </si>
  <si>
    <t>CCIR</t>
  </si>
  <si>
    <t>NOME</t>
  </si>
  <si>
    <t>950.165.587.443-9</t>
  </si>
  <si>
    <t>227.080.005.827-3</t>
  </si>
  <si>
    <t>950.017.522.430-6</t>
  </si>
  <si>
    <t>230.154.001.805-4</t>
  </si>
  <si>
    <t>230.154.253.766-0</t>
  </si>
  <si>
    <t>230.154.001.970-0</t>
  </si>
  <si>
    <t>230.154.001.813-5</t>
  </si>
  <si>
    <t>230.154.000.043-0</t>
  </si>
  <si>
    <t>950.165.343.617-5</t>
  </si>
  <si>
    <t>230.154.002.895-5</t>
  </si>
  <si>
    <t>950.114.827.444-6</t>
  </si>
  <si>
    <t>230.154.002.119-5</t>
  </si>
  <si>
    <t>951.072.167.550-6</t>
  </si>
  <si>
    <t>267.082.008.028-1</t>
  </si>
  <si>
    <t>265.055.023.280-6</t>
  </si>
  <si>
    <t>999.911.232.807-6</t>
  </si>
  <si>
    <t>950.238.444.677-7</t>
  </si>
  <si>
    <t>950.238.444.057-4</t>
  </si>
  <si>
    <t>950.165.604.747-1</t>
  </si>
  <si>
    <t>950.254.138.347-4</t>
  </si>
  <si>
    <t>950.149.729.949-9</t>
  </si>
  <si>
    <t>MUNICIPIO</t>
  </si>
  <si>
    <t>CARPINA</t>
  </si>
  <si>
    <t>LIMOEIRO</t>
  </si>
  <si>
    <t>PAUDALHO</t>
  </si>
  <si>
    <t xml:space="preserve">SÃO CRISTOVAO </t>
  </si>
  <si>
    <t>UF</t>
  </si>
  <si>
    <t>ÁREA (HA)</t>
  </si>
  <si>
    <t>PE</t>
  </si>
  <si>
    <t>SE</t>
  </si>
  <si>
    <t>CPF/CNPJ</t>
  </si>
  <si>
    <t>19.285/080/0001-05</t>
  </si>
  <si>
    <t>SANTOS AVICULTURA LTDA</t>
  </si>
  <si>
    <t>19.285.080/0001-05</t>
  </si>
  <si>
    <t>665.959.914-20</t>
  </si>
  <si>
    <t>EDILSON DE ARAUJO SANTOS JUNIOR</t>
  </si>
  <si>
    <t>021.398.394-04</t>
  </si>
  <si>
    <t>EDILSON DE ARAUJO SANTOS</t>
  </si>
  <si>
    <t>665.959.834-00</t>
  </si>
  <si>
    <t>PAULO HENRIQUE BORGES SANTOS</t>
  </si>
  <si>
    <t>075.105.604-97</t>
  </si>
  <si>
    <t>PETER HAGER</t>
  </si>
  <si>
    <t>VALOR DO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</si>
</sst>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3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4" fontId="3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44" fontId="0" fillId="0" borderId="0" xfId="0" applyNumberFormat="1"/>
    <xf numFmtId="44" fontId="3" fillId="0" borderId="16" xfId="1" applyFont="1" applyBorder="1" applyAlignment="1">
      <alignment horizontal="center" vertical="center" wrapText="1"/>
    </xf>
    <xf numFmtId="44" fontId="3" fillId="0" borderId="14" xfId="1" applyFont="1" applyBorder="1" applyAlignment="1">
      <alignment horizontal="center" vertical="center" wrapText="1"/>
    </xf>
    <xf numFmtId="44" fontId="0" fillId="4" borderId="0" xfId="0" applyNumberFormat="1" applyFill="1"/>
    <xf numFmtId="44" fontId="0" fillId="0" borderId="0" xfId="1" applyFont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5" borderId="0" xfId="0" applyFill="1"/>
    <xf numFmtId="44" fontId="0" fillId="5" borderId="0" xfId="0" applyNumberFormat="1" applyFill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left" vertical="center"/>
    </xf>
    <xf numFmtId="0" fontId="7" fillId="6" borderId="21" xfId="0" applyFont="1" applyFill="1" applyBorder="1" applyAlignment="1">
      <alignment horizontal="left" vertical="center"/>
    </xf>
    <xf numFmtId="0" fontId="7" fillId="6" borderId="22" xfId="0" applyFont="1" applyFill="1" applyBorder="1" applyAlignment="1">
      <alignment horizontal="left" vertical="center"/>
    </xf>
    <xf numFmtId="0" fontId="7" fillId="6" borderId="23" xfId="0" applyFont="1" applyFill="1" applyBorder="1" applyAlignment="1">
      <alignment horizontal="left" vertical="center"/>
    </xf>
    <xf numFmtId="0" fontId="8" fillId="7" borderId="24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4" fontId="7" fillId="6" borderId="23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left" vertical="center"/>
    </xf>
    <xf numFmtId="0" fontId="7" fillId="6" borderId="27" xfId="0" applyFont="1" applyFill="1" applyBorder="1" applyAlignment="1">
      <alignment horizontal="left" vertical="center"/>
    </xf>
    <xf numFmtId="0" fontId="7" fillId="6" borderId="28" xfId="0" applyFont="1" applyFill="1" applyBorder="1" applyAlignment="1">
      <alignment horizontal="left" vertical="center"/>
    </xf>
    <xf numFmtId="0" fontId="7" fillId="6" borderId="29" xfId="0" applyFont="1" applyFill="1" applyBorder="1" applyAlignment="1">
      <alignment horizontal="left" vertical="center"/>
    </xf>
    <xf numFmtId="44" fontId="0" fillId="0" borderId="14" xfId="0" applyNumberFormat="1" applyBorder="1"/>
    <xf numFmtId="44" fontId="0" fillId="5" borderId="14" xfId="0" applyNumberFormat="1" applyFill="1" applyBorder="1"/>
    <xf numFmtId="0" fontId="2" fillId="3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9E27-083B-487B-BCF7-0A10093C17A0}">
  <dimension ref="A1:H23"/>
  <sheetViews>
    <sheetView tabSelected="1" workbookViewId="0">
      <selection activeCell="J19" sqref="J19"/>
    </sheetView>
  </sheetViews>
  <sheetFormatPr defaultRowHeight="14.4" x14ac:dyDescent="0.3"/>
  <cols>
    <col min="2" max="2" width="35.21875" bestFit="1" customWidth="1"/>
    <col min="3" max="3" width="14.88671875" bestFit="1" customWidth="1"/>
    <col min="6" max="6" width="18" bestFit="1" customWidth="1"/>
    <col min="7" max="7" width="32.33203125" bestFit="1" customWidth="1"/>
    <col min="8" max="8" width="17.77734375" bestFit="1" customWidth="1"/>
  </cols>
  <sheetData>
    <row r="1" spans="1:8" x14ac:dyDescent="0.3">
      <c r="A1" s="48" t="s">
        <v>67</v>
      </c>
      <c r="B1" s="48" t="s">
        <v>68</v>
      </c>
      <c r="C1" s="48" t="s">
        <v>90</v>
      </c>
      <c r="D1" s="48" t="s">
        <v>95</v>
      </c>
      <c r="E1" s="48" t="s">
        <v>96</v>
      </c>
      <c r="F1" s="48" t="s">
        <v>99</v>
      </c>
      <c r="G1" s="48" t="s">
        <v>68</v>
      </c>
      <c r="H1" s="54" t="s">
        <v>111</v>
      </c>
    </row>
    <row r="2" spans="1:8" x14ac:dyDescent="0.3">
      <c r="A2" s="49" t="s">
        <v>69</v>
      </c>
      <c r="B2" s="44" t="s">
        <v>48</v>
      </c>
      <c r="C2" s="49" t="s">
        <v>91</v>
      </c>
      <c r="D2" s="49" t="s">
        <v>97</v>
      </c>
      <c r="E2" s="49">
        <v>20</v>
      </c>
      <c r="F2" s="49" t="s">
        <v>100</v>
      </c>
      <c r="G2" s="55" t="s">
        <v>101</v>
      </c>
      <c r="H2" s="59">
        <f>'GRANJA BELO HORIZONTE'!F14</f>
        <v>3600</v>
      </c>
    </row>
    <row r="3" spans="1:8" x14ac:dyDescent="0.3">
      <c r="A3" s="50" t="s">
        <v>70</v>
      </c>
      <c r="B3" s="45" t="s">
        <v>49</v>
      </c>
      <c r="C3" s="50" t="s">
        <v>92</v>
      </c>
      <c r="D3" s="50" t="s">
        <v>97</v>
      </c>
      <c r="E3" s="50">
        <v>128</v>
      </c>
      <c r="F3" s="50" t="s">
        <v>102</v>
      </c>
      <c r="G3" s="56" t="s">
        <v>101</v>
      </c>
      <c r="H3" s="59">
        <f>'FAZENDA GAMALEIRA'!F14</f>
        <v>5950</v>
      </c>
    </row>
    <row r="4" spans="1:8" x14ac:dyDescent="0.3">
      <c r="A4" s="50" t="s">
        <v>71</v>
      </c>
      <c r="B4" s="45" t="s">
        <v>50</v>
      </c>
      <c r="C4" s="50" t="s">
        <v>93</v>
      </c>
      <c r="D4" s="50" t="s">
        <v>97</v>
      </c>
      <c r="E4" s="50">
        <v>3.5</v>
      </c>
      <c r="F4" s="50" t="s">
        <v>103</v>
      </c>
      <c r="G4" s="56" t="s">
        <v>104</v>
      </c>
      <c r="H4" s="59">
        <f>'LOTE 39'!F14</f>
        <v>2637.5</v>
      </c>
    </row>
    <row r="5" spans="1:8" x14ac:dyDescent="0.3">
      <c r="A5" s="50" t="s">
        <v>72</v>
      </c>
      <c r="B5" s="45" t="s">
        <v>51</v>
      </c>
      <c r="C5" s="50" t="s">
        <v>93</v>
      </c>
      <c r="D5" s="50" t="s">
        <v>97</v>
      </c>
      <c r="E5" s="50">
        <v>20.9</v>
      </c>
      <c r="F5" s="50" t="s">
        <v>103</v>
      </c>
      <c r="G5" s="56" t="s">
        <v>104</v>
      </c>
      <c r="H5" s="59">
        <f>'PROPRIEDADE JARDIM'!F14</f>
        <v>3072.5</v>
      </c>
    </row>
    <row r="6" spans="1:8" x14ac:dyDescent="0.3">
      <c r="A6" s="50" t="s">
        <v>73</v>
      </c>
      <c r="B6" s="45" t="s">
        <v>52</v>
      </c>
      <c r="C6" s="50" t="s">
        <v>93</v>
      </c>
      <c r="D6" s="50" t="s">
        <v>97</v>
      </c>
      <c r="E6" s="50">
        <v>32</v>
      </c>
      <c r="F6" s="50" t="s">
        <v>103</v>
      </c>
      <c r="G6" s="56" t="s">
        <v>104</v>
      </c>
      <c r="H6" s="59">
        <f>'GRANJA NOVO NORTE'!F14</f>
        <v>3350</v>
      </c>
    </row>
    <row r="7" spans="1:8" x14ac:dyDescent="0.3">
      <c r="A7" s="50" t="s">
        <v>74</v>
      </c>
      <c r="B7" s="45" t="s">
        <v>53</v>
      </c>
      <c r="C7" s="50" t="s">
        <v>93</v>
      </c>
      <c r="D7" s="50" t="s">
        <v>97</v>
      </c>
      <c r="E7" s="50">
        <v>11.8</v>
      </c>
      <c r="F7" s="50" t="s">
        <v>105</v>
      </c>
      <c r="G7" s="56" t="s">
        <v>106</v>
      </c>
      <c r="H7" s="59">
        <f>'GRANJA PALACINHO'!F14</f>
        <v>2845</v>
      </c>
    </row>
    <row r="8" spans="1:8" x14ac:dyDescent="0.3">
      <c r="A8" s="50" t="s">
        <v>75</v>
      </c>
      <c r="B8" s="45" t="s">
        <v>54</v>
      </c>
      <c r="C8" s="50" t="s">
        <v>93</v>
      </c>
      <c r="D8" s="50" t="s">
        <v>97</v>
      </c>
      <c r="E8" s="50">
        <v>14</v>
      </c>
      <c r="F8" s="50" t="s">
        <v>107</v>
      </c>
      <c r="G8" s="56" t="s">
        <v>108</v>
      </c>
      <c r="H8" s="59">
        <f>'SÍTIO BELÉM'!F14</f>
        <v>2900</v>
      </c>
    </row>
    <row r="9" spans="1:8" x14ac:dyDescent="0.3">
      <c r="A9" s="50" t="s">
        <v>76</v>
      </c>
      <c r="B9" s="45" t="s">
        <v>55</v>
      </c>
      <c r="C9" s="50" t="s">
        <v>93</v>
      </c>
      <c r="D9" s="50" t="s">
        <v>97</v>
      </c>
      <c r="E9" s="50">
        <v>10</v>
      </c>
      <c r="F9" s="50" t="s">
        <v>103</v>
      </c>
      <c r="G9" s="56" t="s">
        <v>104</v>
      </c>
      <c r="H9" s="59">
        <f>'SIÂ-TIO BELEM'!F14</f>
        <v>2900</v>
      </c>
    </row>
    <row r="10" spans="1:8" x14ac:dyDescent="0.3">
      <c r="A10" s="50" t="s">
        <v>77</v>
      </c>
      <c r="B10" s="45" t="s">
        <v>56</v>
      </c>
      <c r="C10" s="50" t="s">
        <v>93</v>
      </c>
      <c r="D10" s="50" t="s">
        <v>97</v>
      </c>
      <c r="E10" s="50">
        <v>58</v>
      </c>
      <c r="F10" s="50" t="s">
        <v>102</v>
      </c>
      <c r="G10" s="56" t="s">
        <v>101</v>
      </c>
      <c r="H10" s="59">
        <f>'GRANJA PALACETE'!F14</f>
        <v>2900</v>
      </c>
    </row>
    <row r="11" spans="1:8" x14ac:dyDescent="0.3">
      <c r="A11" s="50" t="s">
        <v>78</v>
      </c>
      <c r="B11" s="45" t="s">
        <v>57</v>
      </c>
      <c r="C11" s="50" t="s">
        <v>93</v>
      </c>
      <c r="D11" s="50" t="s">
        <v>97</v>
      </c>
      <c r="E11" s="50">
        <v>63.9</v>
      </c>
      <c r="F11" s="50" t="s">
        <v>103</v>
      </c>
      <c r="G11" s="56" t="s">
        <v>104</v>
      </c>
      <c r="H11" s="59">
        <f>'GRANJA GRANJITA'!F14</f>
        <v>2500</v>
      </c>
    </row>
    <row r="12" spans="1:8" x14ac:dyDescent="0.3">
      <c r="A12" s="50" t="s">
        <v>79</v>
      </c>
      <c r="B12" s="45" t="s">
        <v>58</v>
      </c>
      <c r="C12" s="50" t="s">
        <v>93</v>
      </c>
      <c r="D12" s="50" t="s">
        <v>97</v>
      </c>
      <c r="E12" s="50">
        <v>28.9</v>
      </c>
      <c r="F12" s="50" t="s">
        <v>102</v>
      </c>
      <c r="G12" s="56" t="s">
        <v>101</v>
      </c>
      <c r="H12" s="59">
        <f>'GRANJA SÃO LUIS'!F14</f>
        <v>3272.5</v>
      </c>
    </row>
    <row r="13" spans="1:8" x14ac:dyDescent="0.3">
      <c r="A13" s="50" t="s">
        <v>80</v>
      </c>
      <c r="B13" s="45" t="s">
        <v>59</v>
      </c>
      <c r="C13" s="50" t="s">
        <v>93</v>
      </c>
      <c r="D13" s="50" t="s">
        <v>97</v>
      </c>
      <c r="E13" s="50">
        <v>13.9</v>
      </c>
      <c r="F13" s="50" t="s">
        <v>103</v>
      </c>
      <c r="G13" s="56" t="s">
        <v>104</v>
      </c>
      <c r="H13" s="59">
        <f>'GRANJA SANTA ELIZIA I'!F14</f>
        <v>1397.5</v>
      </c>
    </row>
    <row r="14" spans="1:8" x14ac:dyDescent="0.3">
      <c r="A14" s="50" t="s">
        <v>81</v>
      </c>
      <c r="B14" s="45" t="s">
        <v>60</v>
      </c>
      <c r="C14" s="50" t="s">
        <v>94</v>
      </c>
      <c r="D14" s="50" t="s">
        <v>98</v>
      </c>
      <c r="E14" s="50">
        <v>31.1</v>
      </c>
      <c r="F14" s="50" t="s">
        <v>102</v>
      </c>
      <c r="G14" s="56" t="s">
        <v>101</v>
      </c>
      <c r="H14" s="59">
        <f>'FAZENDA VARZEA VERDE II'!F14</f>
        <v>5155</v>
      </c>
    </row>
    <row r="15" spans="1:8" x14ac:dyDescent="0.3">
      <c r="A15" s="50" t="s">
        <v>82</v>
      </c>
      <c r="B15" s="45" t="s">
        <v>44</v>
      </c>
      <c r="C15" s="50" t="s">
        <v>94</v>
      </c>
      <c r="D15" s="50" t="s">
        <v>98</v>
      </c>
      <c r="E15" s="50">
        <v>121</v>
      </c>
      <c r="F15" s="50" t="s">
        <v>105</v>
      </c>
      <c r="G15" s="56" t="s">
        <v>106</v>
      </c>
      <c r="H15" s="59">
        <f>'GRANJA PITANGA'!F14</f>
        <v>5155</v>
      </c>
    </row>
    <row r="16" spans="1:8" x14ac:dyDescent="0.3">
      <c r="A16" s="50" t="s">
        <v>83</v>
      </c>
      <c r="B16" s="45" t="s">
        <v>61</v>
      </c>
      <c r="C16" s="50" t="s">
        <v>94</v>
      </c>
      <c r="D16" s="50" t="s">
        <v>98</v>
      </c>
      <c r="E16" s="50">
        <v>25.1</v>
      </c>
      <c r="F16" s="50" t="s">
        <v>105</v>
      </c>
      <c r="G16" s="56" t="s">
        <v>106</v>
      </c>
      <c r="H16" s="59">
        <f>'FAZENDA NOSSA SENHORA DE FATIMA'!F14</f>
        <v>5155</v>
      </c>
    </row>
    <row r="17" spans="1:8" x14ac:dyDescent="0.3">
      <c r="A17" s="51" t="s">
        <v>84</v>
      </c>
      <c r="B17" s="46" t="s">
        <v>62</v>
      </c>
      <c r="C17" s="51" t="s">
        <v>94</v>
      </c>
      <c r="D17" s="51" t="s">
        <v>98</v>
      </c>
      <c r="E17" s="51">
        <v>20.2</v>
      </c>
      <c r="F17" s="51" t="s">
        <v>105</v>
      </c>
      <c r="G17" s="57" t="s">
        <v>106</v>
      </c>
      <c r="H17" s="59">
        <f>'GRANJA HORTA VELHA'!F14</f>
        <v>4610</v>
      </c>
    </row>
    <row r="18" spans="1:8" x14ac:dyDescent="0.3">
      <c r="A18" s="51" t="s">
        <v>85</v>
      </c>
      <c r="B18" s="46" t="s">
        <v>63</v>
      </c>
      <c r="C18" s="51" t="s">
        <v>93</v>
      </c>
      <c r="D18" s="51" t="s">
        <v>97</v>
      </c>
      <c r="E18" s="51">
        <v>8.8950999999999993</v>
      </c>
      <c r="F18" s="50" t="s">
        <v>102</v>
      </c>
      <c r="G18" s="56" t="s">
        <v>101</v>
      </c>
      <c r="H18" s="59">
        <f>'GRANJA SANTO ANTONIO'!F14</f>
        <v>2772.3775000000001</v>
      </c>
    </row>
    <row r="19" spans="1:8" x14ac:dyDescent="0.3">
      <c r="A19" s="51" t="s">
        <v>86</v>
      </c>
      <c r="B19" s="46" t="s">
        <v>64</v>
      </c>
      <c r="C19" s="51" t="s">
        <v>93</v>
      </c>
      <c r="D19" s="51" t="s">
        <v>97</v>
      </c>
      <c r="E19" s="51">
        <v>8.0660000000000007</v>
      </c>
      <c r="F19" s="50" t="s">
        <v>102</v>
      </c>
      <c r="G19" s="56" t="s">
        <v>101</v>
      </c>
      <c r="H19" s="59">
        <f>'GRANJA SAO JUDAS TADEU'!F14</f>
        <v>2751.65</v>
      </c>
    </row>
    <row r="20" spans="1:8" x14ac:dyDescent="0.3">
      <c r="A20" s="51" t="s">
        <v>87</v>
      </c>
      <c r="B20" s="46" t="s">
        <v>65</v>
      </c>
      <c r="C20" s="51" t="s">
        <v>93</v>
      </c>
      <c r="D20" s="51" t="s">
        <v>97</v>
      </c>
      <c r="E20" s="51">
        <v>8.84</v>
      </c>
      <c r="F20" s="50" t="s">
        <v>102</v>
      </c>
      <c r="G20" s="56" t="s">
        <v>101</v>
      </c>
      <c r="H20" s="59">
        <f>'GRANJA GAVIAO'!F14</f>
        <v>2771</v>
      </c>
    </row>
    <row r="21" spans="1:8" x14ac:dyDescent="0.3">
      <c r="A21" s="51" t="s">
        <v>88</v>
      </c>
      <c r="B21" s="46" t="s">
        <v>66</v>
      </c>
      <c r="C21" s="51" t="s">
        <v>93</v>
      </c>
      <c r="D21" s="51" t="s">
        <v>97</v>
      </c>
      <c r="E21" s="51">
        <v>5.9527000000000001</v>
      </c>
      <c r="F21" s="51" t="s">
        <v>102</v>
      </c>
      <c r="G21" s="57" t="s">
        <v>101</v>
      </c>
      <c r="H21" s="59">
        <f>'GRANJA HERCULANO BANDEIRA PARTE'!F14</f>
        <v>2698.75</v>
      </c>
    </row>
    <row r="22" spans="1:8" ht="15" thickBot="1" x14ac:dyDescent="0.35">
      <c r="A22" s="52" t="s">
        <v>89</v>
      </c>
      <c r="B22" s="47" t="s">
        <v>47</v>
      </c>
      <c r="C22" s="52" t="s">
        <v>93</v>
      </c>
      <c r="D22" s="52" t="s">
        <v>97</v>
      </c>
      <c r="E22" s="52">
        <v>10</v>
      </c>
      <c r="F22" s="53" t="s">
        <v>109</v>
      </c>
      <c r="G22" s="58" t="s">
        <v>110</v>
      </c>
      <c r="H22" s="59">
        <f>'GRANJA SIMMENTEL'!F14</f>
        <v>2800</v>
      </c>
    </row>
    <row r="23" spans="1:8" ht="15" thickTop="1" x14ac:dyDescent="0.3">
      <c r="H23" s="60">
        <f>SUM(H2:H22)</f>
        <v>71193.777499999997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D2-DB58-4DBE-AFBB-53255E1ED8BE}">
  <dimension ref="A1:G25"/>
  <sheetViews>
    <sheetView topLeftCell="A8" zoomScale="115" zoomScaleNormal="115" workbookViewId="0">
      <selection activeCell="B27" sqref="B27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11</v>
      </c>
      <c r="C4" s="8" t="s">
        <v>12</v>
      </c>
      <c r="D4" s="8">
        <v>1</v>
      </c>
      <c r="E4" s="22">
        <v>500</v>
      </c>
      <c r="F4" s="23">
        <f>D4*E4</f>
        <v>500</v>
      </c>
    </row>
    <row r="5" spans="1:7" ht="16.2" thickBot="1" x14ac:dyDescent="0.35">
      <c r="A5" s="3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20</v>
      </c>
      <c r="E7" s="9">
        <v>50</v>
      </c>
      <c r="F7" s="9">
        <f>D7*E7</f>
        <v>1000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/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/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3600</v>
      </c>
      <c r="G14" s="21">
        <f>F14-E25</f>
        <v>2815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50</v>
      </c>
      <c r="E18" s="28">
        <f t="shared" ref="E18:E24" si="1">C18*D18</f>
        <v>100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B24" t="s">
        <v>35</v>
      </c>
      <c r="C24" s="27">
        <v>1</v>
      </c>
      <c r="D24" s="25">
        <v>150</v>
      </c>
      <c r="E24" s="28">
        <f t="shared" si="1"/>
        <v>150</v>
      </c>
    </row>
    <row r="25" spans="2:5" x14ac:dyDescent="0.3">
      <c r="B25" s="29"/>
      <c r="C25" s="29"/>
      <c r="D25" s="29"/>
      <c r="E25" s="30">
        <f>SUM(E18:E24)</f>
        <v>785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58F0-3156-47DF-8FA1-E9A69E6F7058}">
  <dimension ref="A1:G25"/>
  <sheetViews>
    <sheetView topLeftCell="A8" zoomScale="145" zoomScaleNormal="145" workbookViewId="0">
      <selection activeCell="H11" sqref="H11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650</v>
      </c>
      <c r="F4" s="23">
        <f>D4*E4</f>
        <v>650</v>
      </c>
    </row>
    <row r="5" spans="1:7" ht="16.2" thickBot="1" x14ac:dyDescent="0.35">
      <c r="A5" s="3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128</v>
      </c>
      <c r="E7" s="9">
        <v>25</v>
      </c>
      <c r="F7" s="9">
        <f>D7*E7</f>
        <v>3200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/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/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5950</v>
      </c>
      <c r="G14" s="21">
        <f>F14-E25</f>
        <v>5315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50</v>
      </c>
      <c r="E18" s="28">
        <f t="shared" ref="E18:E24" si="1">C18*D18</f>
        <v>100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635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3238-9065-4766-868D-7B53F69FAD17}">
  <dimension ref="A1:G25"/>
  <sheetViews>
    <sheetView topLeftCell="A11" zoomScale="145" zoomScaleNormal="145" workbookViewId="0">
      <selection activeCell="G22" sqref="G22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3.5</v>
      </c>
      <c r="E7" s="9">
        <v>25</v>
      </c>
      <c r="F7" s="9">
        <f>D7*E7</f>
        <v>87.5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/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/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2637.5</v>
      </c>
      <c r="G14" s="21">
        <f>F14-E25</f>
        <v>2002.5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50</v>
      </c>
      <c r="E18" s="28">
        <f t="shared" ref="E18:E24" si="1">C18*D18</f>
        <v>100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635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A340-D01F-4671-979C-7FBCE90AEC7C}">
  <dimension ref="A1:G25"/>
  <sheetViews>
    <sheetView zoomScale="130" zoomScaleNormal="130" workbookViewId="0">
      <selection activeCell="G14" sqref="G14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20.9</v>
      </c>
      <c r="E7" s="9">
        <v>25</v>
      </c>
      <c r="F7" s="9">
        <f>D7*E7</f>
        <v>522.5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/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/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3072.5</v>
      </c>
      <c r="G14" s="21">
        <f>F14-E25</f>
        <v>2437.5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50</v>
      </c>
      <c r="E18" s="28">
        <f t="shared" ref="E18:E24" si="1">C18*D18</f>
        <v>100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635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FBB8-FB40-406A-941C-77EFA6241DBE}">
  <dimension ref="A1:G25"/>
  <sheetViews>
    <sheetView topLeftCell="A12" zoomScale="130" zoomScaleNormal="130" workbookViewId="0">
      <selection activeCell="E31" sqref="E31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32</v>
      </c>
      <c r="E7" s="9">
        <v>25</v>
      </c>
      <c r="F7" s="9">
        <f>D7*E7</f>
        <v>800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42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/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/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3350</v>
      </c>
      <c r="G14" s="21">
        <f>F14-E25</f>
        <v>2665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5EE0-94B4-48F7-9DE7-F148B031F60F}">
  <dimension ref="A1:G25"/>
  <sheetViews>
    <sheetView topLeftCell="A5" zoomScale="145" zoomScaleNormal="145" workbookViewId="0">
      <selection activeCell="D19" sqref="D19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11.8</v>
      </c>
      <c r="E7" s="9">
        <v>25</v>
      </c>
      <c r="F7" s="9">
        <f>D7*E7</f>
        <v>295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2845</v>
      </c>
      <c r="G14" s="21"/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29D8-628A-437E-AC14-B9275B1CBDAD}">
  <dimension ref="A1:G25"/>
  <sheetViews>
    <sheetView zoomScale="130" zoomScaleNormal="130" workbookViewId="0">
      <selection sqref="A1:XFD1048576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14</v>
      </c>
      <c r="E7" s="9">
        <v>25</v>
      </c>
      <c r="F7" s="9">
        <f>D7*E7</f>
        <v>350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2900</v>
      </c>
      <c r="G14" s="21">
        <f>F14-E25</f>
        <v>2215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D6E1-64E8-479F-B9F7-E5782CFB1BF1}">
  <dimension ref="A1:G25"/>
  <sheetViews>
    <sheetView workbookViewId="0">
      <selection activeCell="I9" sqref="I9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14</v>
      </c>
      <c r="E7" s="9">
        <v>25</v>
      </c>
      <c r="F7" s="9">
        <f>D7*E7</f>
        <v>350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2900</v>
      </c>
      <c r="G14" s="21">
        <f>F14-E25</f>
        <v>2215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3965-B55A-49C9-8138-96A55E194026}">
  <dimension ref="A1:G25"/>
  <sheetViews>
    <sheetView topLeftCell="A12" zoomScale="130" zoomScaleNormal="130" workbookViewId="0">
      <selection activeCell="H8" sqref="H8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14</v>
      </c>
      <c r="E7" s="9">
        <v>25</v>
      </c>
      <c r="F7" s="9">
        <f>D7*E7</f>
        <v>350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2900</v>
      </c>
      <c r="G14" s="21">
        <f>F14-E25</f>
        <v>2215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150</v>
      </c>
      <c r="E21" s="28">
        <f t="shared" si="1"/>
        <v>150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C02B-419A-4563-9E05-74E14221C546}">
  <dimension ref="A1:G25"/>
  <sheetViews>
    <sheetView topLeftCell="A14" zoomScale="160" zoomScaleNormal="160" workbookViewId="0">
      <selection sqref="A1:XFD1048576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58</v>
      </c>
      <c r="E7" s="9">
        <v>25</v>
      </c>
      <c r="F7" s="9">
        <f>D7*E7</f>
        <v>1450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>
        <f>SUM(F3:F12)</f>
        <v>4000</v>
      </c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SUM(F4:F9)</f>
        <v>2500</v>
      </c>
      <c r="G14" s="21">
        <f>F14-E25</f>
        <v>1785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715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FC70-1AE7-43DB-8083-7FE2D4472FC5}">
  <dimension ref="A1:G25"/>
  <sheetViews>
    <sheetView topLeftCell="A3" zoomScale="153" zoomScaleNormal="153" workbookViewId="0">
      <selection activeCell="F3" sqref="F3:F14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28.9</v>
      </c>
      <c r="E7" s="9">
        <v>25</v>
      </c>
      <c r="F7" s="9">
        <f>D7*E7</f>
        <v>722.5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3272.5</v>
      </c>
      <c r="G14" s="21">
        <f>F14-E25</f>
        <v>2557.5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715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7320-A79C-4290-93CB-E1B3B06F4F90}">
  <dimension ref="A1:G25"/>
  <sheetViews>
    <sheetView zoomScale="115" zoomScaleNormal="115" workbookViewId="0">
      <selection sqref="A1:XFD1048576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13.9</v>
      </c>
      <c r="E7" s="9">
        <v>25</v>
      </c>
      <c r="F7" s="9">
        <f>D7*E7</f>
        <v>347.5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>
        <f>SUM(F3:F12)</f>
        <v>2897.5</v>
      </c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SUM(F4:F9)</f>
        <v>1397.5</v>
      </c>
      <c r="G14" s="21">
        <f>F14-E25</f>
        <v>732.5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50</v>
      </c>
      <c r="E18" s="28">
        <f t="shared" ref="E18:E24" si="1">C18*D18</f>
        <v>100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665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C6DF-8AEC-424C-A164-266323A8C11C}">
  <dimension ref="A1:G25"/>
  <sheetViews>
    <sheetView topLeftCell="A8" zoomScale="145" zoomScaleNormal="145" workbookViewId="0">
      <selection activeCell="H4" sqref="H4"/>
    </sheetView>
  </sheetViews>
  <sheetFormatPr defaultRowHeight="14.4" x14ac:dyDescent="0.3"/>
  <cols>
    <col min="2" max="2" width="36" customWidth="1"/>
    <col min="4" max="4" width="11.88671875" bestFit="1" customWidth="1"/>
    <col min="5" max="5" width="12.3320312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1500</v>
      </c>
      <c r="F4" s="23">
        <f>D4*E4</f>
        <v>1500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31.1</v>
      </c>
      <c r="E7" s="9">
        <v>50</v>
      </c>
      <c r="F7" s="9">
        <f>D7*E7</f>
        <v>1555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5155</v>
      </c>
      <c r="G14" s="21">
        <f>F14-E25</f>
        <v>3640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200</v>
      </c>
      <c r="E18" s="28">
        <f t="shared" ref="E18:E24" si="1">C18*D18</f>
        <v>400</v>
      </c>
    </row>
    <row r="19" spans="2:5" x14ac:dyDescent="0.3">
      <c r="B19" t="s">
        <v>30</v>
      </c>
      <c r="C19" s="27">
        <v>2</v>
      </c>
      <c r="D19" s="28">
        <v>250</v>
      </c>
      <c r="E19" s="28">
        <f t="shared" si="1"/>
        <v>500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200</v>
      </c>
      <c r="E23" s="28">
        <f t="shared" si="1"/>
        <v>200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1515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6BEF-D8B7-424D-A901-58885F82AB71}">
  <dimension ref="A1:G25"/>
  <sheetViews>
    <sheetView topLeftCell="A7" zoomScale="115" zoomScaleNormal="115" workbookViewId="0">
      <selection activeCell="E25" sqref="E25"/>
    </sheetView>
  </sheetViews>
  <sheetFormatPr defaultRowHeight="14.4" x14ac:dyDescent="0.3"/>
  <cols>
    <col min="2" max="2" width="36" customWidth="1"/>
    <col min="4" max="4" width="11.88671875" bestFit="1" customWidth="1"/>
    <col min="5" max="5" width="12.3320312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32.4" customHeight="1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1500</v>
      </c>
      <c r="F4" s="23">
        <f>D4*E4</f>
        <v>1500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31.1</v>
      </c>
      <c r="E7" s="9">
        <v>50</v>
      </c>
      <c r="F7" s="9">
        <f>D7*E7</f>
        <v>1555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5155</v>
      </c>
      <c r="G14" s="21">
        <f>F14-E25</f>
        <v>2928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200</v>
      </c>
      <c r="E18" s="28">
        <f t="shared" ref="E18:E24" si="1">C18*D18</f>
        <v>400</v>
      </c>
    </row>
    <row r="19" spans="2:5" x14ac:dyDescent="0.3">
      <c r="B19" t="s">
        <v>30</v>
      </c>
      <c r="C19" s="27">
        <v>2</v>
      </c>
      <c r="D19" s="28">
        <v>250</v>
      </c>
      <c r="E19" s="28">
        <f t="shared" si="1"/>
        <v>500</v>
      </c>
    </row>
    <row r="20" spans="2:5" x14ac:dyDescent="0.3">
      <c r="B20" t="s">
        <v>31</v>
      </c>
      <c r="C20" s="27">
        <v>1</v>
      </c>
      <c r="D20" s="25">
        <v>797</v>
      </c>
      <c r="E20" s="28">
        <f t="shared" si="1"/>
        <v>797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200</v>
      </c>
      <c r="E23" s="28">
        <f t="shared" si="1"/>
        <v>200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2227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70AF-EEEE-4102-9D6A-E4D3C8A7D206}">
  <dimension ref="A1:G25"/>
  <sheetViews>
    <sheetView workbookViewId="0">
      <selection sqref="A1:XFD1048576"/>
    </sheetView>
  </sheetViews>
  <sheetFormatPr defaultRowHeight="14.4" x14ac:dyDescent="0.3"/>
  <cols>
    <col min="2" max="2" width="36" customWidth="1"/>
    <col min="4" max="4" width="11.88671875" bestFit="1" customWidth="1"/>
    <col min="5" max="5" width="12.3320312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32.4" customHeight="1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1500</v>
      </c>
      <c r="F4" s="23">
        <f>D4*E4</f>
        <v>1500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31.1</v>
      </c>
      <c r="E7" s="9">
        <v>50</v>
      </c>
      <c r="F7" s="9">
        <f>D7*E7</f>
        <v>1555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5155</v>
      </c>
      <c r="G14" s="21">
        <f>F14-E25</f>
        <v>2928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200</v>
      </c>
      <c r="E18" s="28">
        <f t="shared" ref="E18:E24" si="1">C18*D18</f>
        <v>400</v>
      </c>
    </row>
    <row r="19" spans="2:5" x14ac:dyDescent="0.3">
      <c r="B19" t="s">
        <v>30</v>
      </c>
      <c r="C19" s="27">
        <v>2</v>
      </c>
      <c r="D19" s="28">
        <v>250</v>
      </c>
      <c r="E19" s="28">
        <f t="shared" si="1"/>
        <v>500</v>
      </c>
    </row>
    <row r="20" spans="2:5" x14ac:dyDescent="0.3">
      <c r="B20" t="s">
        <v>45</v>
      </c>
      <c r="C20" s="27">
        <v>1</v>
      </c>
      <c r="D20" s="25">
        <v>797</v>
      </c>
      <c r="E20" s="28">
        <f t="shared" si="1"/>
        <v>797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200</v>
      </c>
      <c r="E23" s="28">
        <f t="shared" si="1"/>
        <v>200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2227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7CD3-19AB-4A6D-A48E-FD56B9C1AF57}">
  <dimension ref="A1:G25"/>
  <sheetViews>
    <sheetView workbookViewId="0">
      <selection activeCell="B29" sqref="B29"/>
    </sheetView>
  </sheetViews>
  <sheetFormatPr defaultRowHeight="14.4" x14ac:dyDescent="0.3"/>
  <cols>
    <col min="2" max="2" width="36" customWidth="1"/>
    <col min="4" max="4" width="11.88671875" bestFit="1" customWidth="1"/>
    <col min="5" max="5" width="12.3320312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32.4" customHeight="1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1500</v>
      </c>
      <c r="F4" s="23">
        <f>D4*E4</f>
        <v>1500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20.2</v>
      </c>
      <c r="E7" s="9">
        <v>50</v>
      </c>
      <c r="F7" s="9">
        <f>D7*E7</f>
        <v>1010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39" t="s">
        <v>46</v>
      </c>
      <c r="C14" s="17" t="s">
        <v>9</v>
      </c>
      <c r="D14" s="17" t="s">
        <v>9</v>
      </c>
      <c r="E14" s="18" t="s">
        <v>9</v>
      </c>
      <c r="F14" s="24">
        <f>SUM(F3:F13)</f>
        <v>4610</v>
      </c>
      <c r="G14" s="21">
        <f>F14-E25</f>
        <v>2383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200</v>
      </c>
      <c r="E18" s="28">
        <f t="shared" ref="E18:E24" si="1">C18*D18</f>
        <v>400</v>
      </c>
    </row>
    <row r="19" spans="2:5" x14ac:dyDescent="0.3">
      <c r="B19" t="s">
        <v>30</v>
      </c>
      <c r="C19" s="27">
        <v>2</v>
      </c>
      <c r="D19" s="28">
        <v>250</v>
      </c>
      <c r="E19" s="28">
        <f t="shared" si="1"/>
        <v>500</v>
      </c>
    </row>
    <row r="20" spans="2:5" x14ac:dyDescent="0.3">
      <c r="B20" t="s">
        <v>45</v>
      </c>
      <c r="C20" s="27">
        <v>1</v>
      </c>
      <c r="D20" s="25">
        <v>797</v>
      </c>
      <c r="E20" s="28">
        <f t="shared" si="1"/>
        <v>797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200</v>
      </c>
      <c r="E23" s="28">
        <f t="shared" si="1"/>
        <v>200</v>
      </c>
    </row>
    <row r="24" spans="2:5" ht="4.2" customHeight="1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2227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D7E5-9568-4817-9708-8A3411DD9E01}">
  <dimension ref="A1:G25"/>
  <sheetViews>
    <sheetView topLeftCell="A6" zoomScale="145" zoomScaleNormal="145" workbookViewId="0">
      <selection activeCell="D7" sqref="D7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61" t="s">
        <v>13</v>
      </c>
      <c r="B5" s="43" t="s">
        <v>37</v>
      </c>
      <c r="C5" s="37" t="s">
        <v>9</v>
      </c>
      <c r="D5" s="5" t="s">
        <v>9</v>
      </c>
      <c r="E5" s="5" t="s">
        <v>9</v>
      </c>
      <c r="F5" s="5"/>
    </row>
    <row r="6" spans="1:7" ht="15" thickBot="1" x14ac:dyDescent="0.35">
      <c r="A6" s="62" t="s">
        <v>14</v>
      </c>
      <c r="B6" s="41" t="s">
        <v>15</v>
      </c>
      <c r="C6" s="63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40" t="s">
        <v>17</v>
      </c>
      <c r="B7" s="41" t="s">
        <v>18</v>
      </c>
      <c r="C7" s="10" t="s">
        <v>19</v>
      </c>
      <c r="D7" s="14">
        <v>8.8950999999999993</v>
      </c>
      <c r="E7" s="9">
        <v>25</v>
      </c>
      <c r="F7" s="9">
        <f>D7*E7</f>
        <v>222.3775</v>
      </c>
    </row>
    <row r="8" spans="1:7" ht="24" thickBot="1" x14ac:dyDescent="0.35">
      <c r="A8" s="42" t="s">
        <v>20</v>
      </c>
      <c r="B8" s="41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2772.3775000000001</v>
      </c>
      <c r="G14" s="21">
        <f>F14-E25</f>
        <v>2057.3775000000001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715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FF07-C085-4394-BA38-3A2DBA5448B7}">
  <dimension ref="A1:G25"/>
  <sheetViews>
    <sheetView topLeftCell="A5" zoomScale="145" zoomScaleNormal="145" workbookViewId="0">
      <selection activeCell="F12" sqref="F12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14</v>
      </c>
      <c r="B6" s="20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19" t="s">
        <v>17</v>
      </c>
      <c r="B7" s="13" t="s">
        <v>18</v>
      </c>
      <c r="C7" s="14" t="s">
        <v>19</v>
      </c>
      <c r="D7" s="14">
        <v>8.0660000000000007</v>
      </c>
      <c r="E7" s="9">
        <v>25</v>
      </c>
      <c r="F7" s="9">
        <f>D7*E7</f>
        <v>201.65</v>
      </c>
    </row>
    <row r="8" spans="1:7" ht="24" thickBot="1" x14ac:dyDescent="0.35">
      <c r="A8" s="12" t="s">
        <v>20</v>
      </c>
      <c r="B8" s="13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21</v>
      </c>
      <c r="B9" s="13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2751.65</v>
      </c>
      <c r="G14" s="21">
        <f>F14-E25</f>
        <v>2036.65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715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071A-9999-4459-A023-E17B9C215C38}">
  <dimension ref="A1:G25"/>
  <sheetViews>
    <sheetView topLeftCell="A3" zoomScale="145" zoomScaleNormal="145" workbookViewId="0">
      <selection activeCell="D8" sqref="D8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3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36" t="s">
        <v>14</v>
      </c>
      <c r="B6" s="41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40" t="s">
        <v>17</v>
      </c>
      <c r="B7" s="41" t="s">
        <v>18</v>
      </c>
      <c r="C7" s="14" t="s">
        <v>19</v>
      </c>
      <c r="D7" s="14">
        <v>8.84</v>
      </c>
      <c r="E7" s="9">
        <v>25</v>
      </c>
      <c r="F7" s="9">
        <f>D7*E7</f>
        <v>221</v>
      </c>
    </row>
    <row r="8" spans="1:7" ht="24" thickBot="1" x14ac:dyDescent="0.35">
      <c r="A8" s="42" t="s">
        <v>20</v>
      </c>
      <c r="B8" s="41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42" t="s">
        <v>21</v>
      </c>
      <c r="B9" s="41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2771</v>
      </c>
      <c r="G14" s="21">
        <f>F14-E25</f>
        <v>2056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715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BA3B-3A8F-4DD5-A234-1517329D0A9B}">
  <dimension ref="A1:G25"/>
  <sheetViews>
    <sheetView workbookViewId="0">
      <selection activeCell="D7" sqref="D7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3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36" t="s">
        <v>14</v>
      </c>
      <c r="B6" s="41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40" t="s">
        <v>17</v>
      </c>
      <c r="B7" s="41" t="s">
        <v>18</v>
      </c>
      <c r="C7" s="14" t="s">
        <v>19</v>
      </c>
      <c r="D7" s="14">
        <v>5.95</v>
      </c>
      <c r="E7" s="9">
        <v>25</v>
      </c>
      <c r="F7" s="9">
        <f>D7*E7</f>
        <v>148.75</v>
      </c>
    </row>
    <row r="8" spans="1:7" ht="24" thickBot="1" x14ac:dyDescent="0.35">
      <c r="A8" s="42" t="s">
        <v>20</v>
      </c>
      <c r="B8" s="41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42" t="s">
        <v>21</v>
      </c>
      <c r="B9" s="41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2698.75</v>
      </c>
      <c r="G14" s="21">
        <f>F14-E25</f>
        <v>1983.75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715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D0F5-5C6A-456F-BEFB-BD5931534A84}">
  <dimension ref="A1:G25"/>
  <sheetViews>
    <sheetView workbookViewId="0">
      <selection activeCell="D7" sqref="D7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2.1093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40</v>
      </c>
      <c r="C4" s="8" t="s">
        <v>12</v>
      </c>
      <c r="D4" s="8">
        <v>1</v>
      </c>
      <c r="E4" s="22">
        <v>450</v>
      </c>
      <c r="F4" s="23">
        <f>D4*E4</f>
        <v>450</v>
      </c>
    </row>
    <row r="5" spans="1:7" ht="16.2" thickBot="1" x14ac:dyDescent="0.35">
      <c r="A5" s="38" t="s">
        <v>13</v>
      </c>
      <c r="B5" s="43" t="s">
        <v>37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36" t="s">
        <v>14</v>
      </c>
      <c r="B6" s="41" t="s">
        <v>15</v>
      </c>
      <c r="C6" s="10" t="s">
        <v>16</v>
      </c>
      <c r="D6" s="11">
        <v>2</v>
      </c>
      <c r="E6" s="9">
        <v>75</v>
      </c>
      <c r="F6" s="9">
        <f>D6*E6</f>
        <v>150</v>
      </c>
    </row>
    <row r="7" spans="1:7" ht="24" thickBot="1" x14ac:dyDescent="0.35">
      <c r="A7" s="40" t="s">
        <v>17</v>
      </c>
      <c r="B7" s="41" t="s">
        <v>18</v>
      </c>
      <c r="C7" s="14" t="s">
        <v>19</v>
      </c>
      <c r="D7" s="14">
        <v>10</v>
      </c>
      <c r="E7" s="9">
        <v>25</v>
      </c>
      <c r="F7" s="9">
        <f>D7*E7</f>
        <v>250</v>
      </c>
    </row>
    <row r="8" spans="1:7" ht="24" thickBot="1" x14ac:dyDescent="0.35">
      <c r="A8" s="42" t="s">
        <v>20</v>
      </c>
      <c r="B8" s="41" t="s">
        <v>36</v>
      </c>
      <c r="C8" s="10" t="s">
        <v>23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42" t="s">
        <v>21</v>
      </c>
      <c r="B9" s="41" t="s">
        <v>22</v>
      </c>
      <c r="C9" s="10" t="s">
        <v>19</v>
      </c>
      <c r="D9" s="10">
        <v>1</v>
      </c>
      <c r="E9" s="9">
        <v>200</v>
      </c>
      <c r="F9" s="9">
        <f t="shared" si="0"/>
        <v>200</v>
      </c>
      <c r="G9" s="31" t="s">
        <v>24</v>
      </c>
    </row>
    <row r="10" spans="1:7" ht="16.2" thickBot="1" x14ac:dyDescent="0.35">
      <c r="A10" s="3" t="s">
        <v>13</v>
      </c>
      <c r="B10" s="4" t="s">
        <v>43</v>
      </c>
      <c r="C10" s="5" t="s">
        <v>9</v>
      </c>
      <c r="D10" s="5" t="s">
        <v>9</v>
      </c>
      <c r="E10" s="5" t="s">
        <v>9</v>
      </c>
      <c r="F10" s="5"/>
      <c r="G10" s="31"/>
    </row>
    <row r="11" spans="1:7" ht="16.2" thickBot="1" x14ac:dyDescent="0.35">
      <c r="A11" s="19">
        <v>2.1</v>
      </c>
      <c r="B11" s="13" t="s">
        <v>38</v>
      </c>
      <c r="C11" s="14" t="s">
        <v>39</v>
      </c>
      <c r="D11" s="14">
        <v>1</v>
      </c>
      <c r="E11" s="9">
        <v>1500</v>
      </c>
      <c r="F11" s="9">
        <f>D11*E11</f>
        <v>1500</v>
      </c>
      <c r="G11" s="31"/>
    </row>
    <row r="12" spans="1:7" ht="15" thickBot="1" x14ac:dyDescent="0.35">
      <c r="A12" s="12" t="s">
        <v>41</v>
      </c>
      <c r="B12" s="13"/>
      <c r="C12" s="10"/>
      <c r="D12" s="10"/>
      <c r="E12" s="9"/>
      <c r="F12" s="9"/>
      <c r="G12" s="31"/>
    </row>
    <row r="13" spans="1:7" ht="15" thickBot="1" x14ac:dyDescent="0.35">
      <c r="A13" s="12"/>
      <c r="B13" s="13"/>
      <c r="C13" s="10"/>
      <c r="D13" s="10"/>
      <c r="E13" s="9"/>
      <c r="F13" s="9"/>
      <c r="G13" s="31"/>
    </row>
    <row r="14" spans="1:7" ht="15.6" x14ac:dyDescent="0.3">
      <c r="A14" s="15" t="s">
        <v>9</v>
      </c>
      <c r="B14" s="16" t="s">
        <v>25</v>
      </c>
      <c r="C14" s="17" t="s">
        <v>9</v>
      </c>
      <c r="D14" s="17" t="s">
        <v>9</v>
      </c>
      <c r="E14" s="18" t="s">
        <v>9</v>
      </c>
      <c r="F14" s="24">
        <f>SUM(F3:F13)</f>
        <v>2800</v>
      </c>
      <c r="G14" s="21">
        <f>F14-E25</f>
        <v>2085</v>
      </c>
    </row>
    <row r="17" spans="2:5" x14ac:dyDescent="0.3">
      <c r="B17" s="26" t="s">
        <v>26</v>
      </c>
      <c r="C17" s="26" t="s">
        <v>27</v>
      </c>
      <c r="D17" s="26" t="s">
        <v>28</v>
      </c>
      <c r="E17" s="26" t="s">
        <v>5</v>
      </c>
    </row>
    <row r="18" spans="2:5" x14ac:dyDescent="0.3">
      <c r="B18" t="s">
        <v>29</v>
      </c>
      <c r="C18" s="27">
        <v>2</v>
      </c>
      <c r="D18" s="28">
        <v>75</v>
      </c>
      <c r="E18" s="28">
        <f t="shared" ref="E18:E24" si="1">C18*D18</f>
        <v>150</v>
      </c>
    </row>
    <row r="19" spans="2:5" x14ac:dyDescent="0.3">
      <c r="B19" t="s">
        <v>30</v>
      </c>
      <c r="C19" s="27">
        <v>0</v>
      </c>
      <c r="D19" s="28">
        <v>250</v>
      </c>
      <c r="E19" s="28">
        <f t="shared" si="1"/>
        <v>0</v>
      </c>
    </row>
    <row r="20" spans="2:5" x14ac:dyDescent="0.3">
      <c r="B20" t="s">
        <v>31</v>
      </c>
      <c r="C20" s="27">
        <v>0.5</v>
      </c>
      <c r="D20" s="25">
        <v>170</v>
      </c>
      <c r="E20" s="28">
        <f t="shared" si="1"/>
        <v>85</v>
      </c>
    </row>
    <row r="21" spans="2:5" x14ac:dyDescent="0.3">
      <c r="B21" t="s">
        <v>32</v>
      </c>
      <c r="C21" s="27">
        <v>1</v>
      </c>
      <c r="D21" s="25">
        <v>180</v>
      </c>
      <c r="E21" s="28">
        <f t="shared" si="1"/>
        <v>180</v>
      </c>
    </row>
    <row r="22" spans="2:5" x14ac:dyDescent="0.3">
      <c r="B22" t="s">
        <v>33</v>
      </c>
      <c r="C22" s="27">
        <v>5</v>
      </c>
      <c r="D22" s="25">
        <v>30</v>
      </c>
      <c r="E22" s="28">
        <f t="shared" si="1"/>
        <v>150</v>
      </c>
    </row>
    <row r="23" spans="2:5" x14ac:dyDescent="0.3">
      <c r="B23" t="s">
        <v>34</v>
      </c>
      <c r="C23" s="27">
        <v>1</v>
      </c>
      <c r="D23" s="25">
        <v>150</v>
      </c>
      <c r="E23" s="28">
        <f t="shared" si="1"/>
        <v>150</v>
      </c>
    </row>
    <row r="24" spans="2:5" x14ac:dyDescent="0.3">
      <c r="C24" s="27"/>
      <c r="D24" s="25"/>
      <c r="E24" s="28"/>
    </row>
    <row r="25" spans="2:5" x14ac:dyDescent="0.3">
      <c r="B25" s="29"/>
      <c r="C25" s="29"/>
      <c r="D25" s="29"/>
      <c r="E25" s="30">
        <f>SUM(E18:E24)</f>
        <v>715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GERAL</vt:lpstr>
      <vt:lpstr>GRANJA BELO HORIZONTE</vt:lpstr>
      <vt:lpstr>FAZENDA GAMALEIRA</vt:lpstr>
      <vt:lpstr>LOTE 39</vt:lpstr>
      <vt:lpstr>PROPRIEDADE JARDIM</vt:lpstr>
      <vt:lpstr>GRANJA NOVO NORTE</vt:lpstr>
      <vt:lpstr>GRANJA PALACINHO</vt:lpstr>
      <vt:lpstr>SÍTIO BELÉM</vt:lpstr>
      <vt:lpstr>SIÂ-TIO BELEM</vt:lpstr>
      <vt:lpstr>GRANJA PALACETE</vt:lpstr>
      <vt:lpstr>GRANJA GRANJITA</vt:lpstr>
      <vt:lpstr>GRANJA SÃO LUIS</vt:lpstr>
      <vt:lpstr>GRANJA SANTA ELIZIA I</vt:lpstr>
      <vt:lpstr>FAZENDA VARZEA VERDE II</vt:lpstr>
      <vt:lpstr>GRANJA PITANGA</vt:lpstr>
      <vt:lpstr>FAZENDA NOSSA SENHORA DE FATIMA</vt:lpstr>
      <vt:lpstr>GRANJA HORTA VELHA</vt:lpstr>
      <vt:lpstr>GRANJA SANTO ANTONIO</vt:lpstr>
      <vt:lpstr>GRANJA SAO JUDAS TADEU</vt:lpstr>
      <vt:lpstr>GRANJA GAVIAO</vt:lpstr>
      <vt:lpstr>GRANJA HERCULANO BANDEIRA PARTE</vt:lpstr>
      <vt:lpstr>GRANJA SIMMENTEL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2024-08-28T09:30:11Z</dcterms:created>
  <dcterms:modified xsi:type="dcterms:W3CDTF">2025-10-02T13:42:55Z</dcterms:modified>
  <cp:category/>
  <cp:contentStatus/>
</cp:coreProperties>
</file>