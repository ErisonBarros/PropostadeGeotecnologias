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Referenciaias para Honorários\"/>
    </mc:Choice>
  </mc:AlternateContent>
  <xr:revisionPtr revIDLastSave="3" documentId="11_5898C913EDE4EDE8ED85C80365C3014C3C9E9F24" xr6:coauthVersionLast="45" xr6:coauthVersionMax="45" xr10:uidLastSave="{B1112B40-7539-478C-9807-5D315802FF36}"/>
  <bookViews>
    <workbookView xWindow="-120" yWindow="-120" windowWidth="20730" windowHeight="11160" xr2:uid="{00000000-000D-0000-FFFF-FFFF00000000}"/>
  </bookViews>
  <sheets>
    <sheet name="COMPOSIÇÃO DE CUSTOS" sheetId="1" r:id="rId1"/>
    <sheet name="RESUMO" sheetId="2" r:id="rId2"/>
  </sheets>
  <definedNames>
    <definedName name="_xlnm.Print_Area" localSheetId="1">RESUMO!$A$1:$E$23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2" l="1"/>
  <c r="D6" i="2"/>
  <c r="D46" i="1"/>
  <c r="D45" i="1"/>
  <c r="E48" i="1" s="1"/>
  <c r="D14" i="2" s="1"/>
  <c r="E15" i="2" s="1"/>
  <c r="E20" i="2" s="1"/>
  <c r="E41" i="1"/>
  <c r="D9" i="2" s="1"/>
  <c r="E28" i="1"/>
  <c r="D7" i="2" s="1"/>
  <c r="D15" i="1"/>
  <c r="E16" i="1" s="1"/>
  <c r="D5" i="2" s="1"/>
  <c r="E9" i="1"/>
  <c r="D4" i="2" s="1"/>
  <c r="E10" i="2" l="1"/>
  <c r="D11" i="2" l="1"/>
  <c r="E12" i="2" s="1"/>
  <c r="E18" i="2" s="1"/>
  <c r="E22" i="2" s="1"/>
</calcChain>
</file>

<file path=xl/sharedStrings.xml><?xml version="1.0" encoding="utf-8"?>
<sst xmlns="http://schemas.openxmlformats.org/spreadsheetml/2006/main" count="139" uniqueCount="84">
  <si>
    <t>ITENS</t>
  </si>
  <si>
    <t>DESCRIÇÃO</t>
  </si>
  <si>
    <t>UNIDADE MONETÁRIA</t>
  </si>
  <si>
    <t>VALOR ITEM</t>
  </si>
  <si>
    <t>VALOR TOTAL DO ITEM</t>
  </si>
  <si>
    <t>1.0</t>
  </si>
  <si>
    <t>DESPESAS</t>
  </si>
  <si>
    <t>1.1</t>
  </si>
  <si>
    <t>Tarifas e Serviços</t>
  </si>
  <si>
    <t>Energia Elétrica</t>
  </si>
  <si>
    <t>IPTU (MENSAL)</t>
  </si>
  <si>
    <t>TCR (MENSAL)</t>
  </si>
  <si>
    <t>Telefone</t>
  </si>
  <si>
    <t>Conexão de Dados</t>
  </si>
  <si>
    <t>R$</t>
  </si>
  <si>
    <t>1.2</t>
  </si>
  <si>
    <t>Mão-de-Obra Administrativa</t>
  </si>
  <si>
    <t>Salário de Secretária/Digitadora</t>
  </si>
  <si>
    <t>Salário de auxiliar Técnico</t>
  </si>
  <si>
    <t>Faxineira (diarista)</t>
  </si>
  <si>
    <t>Leis Sociais (85%) sobre o total da mão de obra</t>
  </si>
  <si>
    <t>1.3</t>
  </si>
  <si>
    <t>Despesas de Escritório</t>
  </si>
  <si>
    <t>Aluguel/Condomínio</t>
  </si>
  <si>
    <t>Material de Escritório</t>
  </si>
  <si>
    <t>Despesas de manutenção</t>
  </si>
  <si>
    <t>Contador</t>
  </si>
  <si>
    <t>1.4</t>
  </si>
  <si>
    <t>Transporte</t>
  </si>
  <si>
    <t>Locação de Veiculo pequeno (80%)</t>
  </si>
  <si>
    <t>Combustivel</t>
  </si>
  <si>
    <t>Subtotal (d)</t>
  </si>
  <si>
    <t>Subtotal (c)</t>
  </si>
  <si>
    <t>Subtotal (b)</t>
  </si>
  <si>
    <t>Subtotal (a)</t>
  </si>
  <si>
    <t>1.5</t>
  </si>
  <si>
    <t>Depresiação de ativo Imobilizado</t>
  </si>
  <si>
    <t>Móveis</t>
  </si>
  <si>
    <t>Equipementos de Informática, máquinas fotográficas, GPS, Software</t>
  </si>
  <si>
    <t>Ativos Imobilizado</t>
  </si>
  <si>
    <t>Depreciação móveis (80% em 10 anos)</t>
  </si>
  <si>
    <t>Depreciação de outros equipementos (100% em 10 anos)</t>
  </si>
  <si>
    <t>Subtotal (e)</t>
  </si>
  <si>
    <t>1.6</t>
  </si>
  <si>
    <t xml:space="preserve">Custos Financeiros </t>
  </si>
  <si>
    <t>CF=1,5% x ativo imobilizado</t>
  </si>
  <si>
    <t>CF=0,015 x ativo imobilizado</t>
  </si>
  <si>
    <t>CF mensal (Subtotal -f)</t>
  </si>
  <si>
    <t>2.0</t>
  </si>
  <si>
    <t xml:space="preserve">Remuneração </t>
  </si>
  <si>
    <t xml:space="preserve">Remuneração Mensal </t>
  </si>
  <si>
    <t>13º Salário = (1/12)=8,33% da remuneração mensal</t>
  </si>
  <si>
    <t>Seguro saúde/Complemento Aposentadoria</t>
  </si>
  <si>
    <t>Férias=(1/11)=9,09 % da remuneração mensal</t>
  </si>
  <si>
    <t>RESUMO</t>
  </si>
  <si>
    <t>Valor da Hora técnica adotado é de R$ 200,00 (duzentos reais)</t>
  </si>
  <si>
    <t>Despesas</t>
  </si>
  <si>
    <t xml:space="preserve">3.1 </t>
  </si>
  <si>
    <t>3.0</t>
  </si>
  <si>
    <t xml:space="preserve">Tarifas e Serviços (subtotal -a ) </t>
  </si>
  <si>
    <t>Mão-de-obra administrativa (Subtotal - b)</t>
  </si>
  <si>
    <t xml:space="preserve">Despesas de escritório (subtotal - c) </t>
  </si>
  <si>
    <t xml:space="preserve">Depreciação do Ativo Imobilizado (subtotal - e) </t>
  </si>
  <si>
    <t xml:space="preserve">Custos Financeiros (subtotal - f) </t>
  </si>
  <si>
    <t xml:space="preserve">Subtotal (h) </t>
  </si>
  <si>
    <t xml:space="preserve">Reposição de IR s/ despesas (37,9%) </t>
  </si>
  <si>
    <t>TOTAL 1</t>
  </si>
  <si>
    <t>3.2</t>
  </si>
  <si>
    <t>4.0</t>
  </si>
  <si>
    <t>4.2</t>
  </si>
  <si>
    <t>4.3</t>
  </si>
  <si>
    <t>Remuneração</t>
  </si>
  <si>
    <t>Remuneração Mensal (Subtotal - g)</t>
  </si>
  <si>
    <t>TOTAL 2</t>
  </si>
  <si>
    <t>VALOR DA HORA TÉCNICA</t>
  </si>
  <si>
    <t>Parcela relativa às despesas</t>
  </si>
  <si>
    <t>TOTAL (Valor da Hora Técnica)</t>
  </si>
  <si>
    <t xml:space="preserve">VHT2= TOTAL 2/160 </t>
  </si>
  <si>
    <t>Parcela relativa à remuneração profissional</t>
  </si>
  <si>
    <t xml:space="preserve">VHT1= TOTAL 1/160 </t>
  </si>
  <si>
    <t xml:space="preserve">VHT = VHT1 + VHT 2 </t>
  </si>
  <si>
    <t>Transporte (subtotal - d)</t>
  </si>
  <si>
    <t>2.1</t>
  </si>
  <si>
    <t>Subtotal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</si>
</sst>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0" xfId="0" applyFill="1"/>
    <xf numFmtId="0" fontId="3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0" xfId="0" applyFont="1"/>
    <xf numFmtId="2" fontId="2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0" fillId="6" borderId="0" xfId="0" applyFill="1"/>
    <xf numFmtId="0" fontId="1" fillId="4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2" fontId="0" fillId="7" borderId="0" xfId="0" applyNumberFormat="1" applyFill="1"/>
    <xf numFmtId="0" fontId="2" fillId="7" borderId="0" xfId="0" applyFont="1" applyFill="1"/>
    <xf numFmtId="0" fontId="2" fillId="7" borderId="0" xfId="0" applyFont="1" applyFill="1" applyAlignment="1">
      <alignment horizontal="center"/>
    </xf>
    <xf numFmtId="2" fontId="2" fillId="7" borderId="0" xfId="0" applyNumberFormat="1" applyFont="1" applyFill="1"/>
    <xf numFmtId="2" fontId="2" fillId="7" borderId="0" xfId="0" applyNumberFormat="1" applyFont="1" applyFill="1" applyAlignment="1">
      <alignment horizontal="center"/>
    </xf>
    <xf numFmtId="1" fontId="4" fillId="3" borderId="0" xfId="0" applyNumberFormat="1" applyFont="1" applyFill="1"/>
    <xf numFmtId="0" fontId="4" fillId="3" borderId="0" xfId="0" applyFont="1" applyFill="1"/>
    <xf numFmtId="0" fontId="2" fillId="2" borderId="0" xfId="0" applyFont="1" applyFill="1"/>
    <xf numFmtId="2" fontId="1" fillId="4" borderId="0" xfId="0" applyNumberFormat="1" applyFont="1" applyFill="1"/>
    <xf numFmtId="0" fontId="0" fillId="8" borderId="0" xfId="0" applyFill="1"/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view="pageBreakPreview" topLeftCell="A3" zoomScale="98" zoomScaleNormal="100" zoomScaleSheetLayoutView="98" workbookViewId="0">
      <selection activeCell="D15" sqref="D15"/>
    </sheetView>
  </sheetViews>
  <sheetFormatPr defaultRowHeight="15" x14ac:dyDescent="0.25"/>
  <cols>
    <col min="1" max="1" width="6" bestFit="1" customWidth="1"/>
    <col min="2" max="2" width="62.85546875" bestFit="1" customWidth="1"/>
    <col min="3" max="3" width="13" style="1" customWidth="1"/>
    <col min="4" max="4" width="13.85546875" customWidth="1"/>
    <col min="5" max="5" width="21.140625" bestFit="1" customWidth="1"/>
  </cols>
  <sheetData>
    <row r="1" spans="1:6" ht="30" customHeight="1" x14ac:dyDescent="0.25">
      <c r="A1" s="8" t="s">
        <v>0</v>
      </c>
      <c r="B1" s="8" t="s">
        <v>1</v>
      </c>
      <c r="C1" s="14" t="s">
        <v>2</v>
      </c>
      <c r="D1" s="8" t="s">
        <v>3</v>
      </c>
      <c r="E1" s="8" t="s">
        <v>4</v>
      </c>
      <c r="F1" s="2"/>
    </row>
    <row r="2" spans="1:6" x14ac:dyDescent="0.25">
      <c r="A2" s="12" t="s">
        <v>5</v>
      </c>
      <c r="B2" s="12" t="s">
        <v>6</v>
      </c>
      <c r="C2" s="15"/>
      <c r="D2" s="13"/>
      <c r="E2" s="13"/>
    </row>
    <row r="3" spans="1:6" x14ac:dyDescent="0.25">
      <c r="A3" s="16" t="s">
        <v>7</v>
      </c>
      <c r="B3" s="16" t="s">
        <v>8</v>
      </c>
      <c r="C3" s="17"/>
      <c r="D3" s="18"/>
      <c r="E3" s="16"/>
    </row>
    <row r="4" spans="1:6" x14ac:dyDescent="0.25">
      <c r="B4" t="s">
        <v>9</v>
      </c>
      <c r="C4" s="1" t="s">
        <v>14</v>
      </c>
      <c r="D4" s="3">
        <v>170</v>
      </c>
    </row>
    <row r="5" spans="1:6" x14ac:dyDescent="0.25">
      <c r="B5" t="s">
        <v>10</v>
      </c>
      <c r="C5" s="1" t="s">
        <v>14</v>
      </c>
      <c r="D5" s="3">
        <v>70</v>
      </c>
    </row>
    <row r="6" spans="1:6" x14ac:dyDescent="0.25">
      <c r="B6" t="s">
        <v>11</v>
      </c>
      <c r="C6" s="1" t="s">
        <v>14</v>
      </c>
      <c r="D6" s="3">
        <v>20</v>
      </c>
    </row>
    <row r="7" spans="1:6" x14ac:dyDescent="0.25">
      <c r="B7" t="s">
        <v>12</v>
      </c>
      <c r="C7" s="1" t="s">
        <v>14</v>
      </c>
      <c r="D7" s="3">
        <v>150</v>
      </c>
    </row>
    <row r="8" spans="1:6" x14ac:dyDescent="0.25">
      <c r="B8" t="s">
        <v>13</v>
      </c>
      <c r="C8" s="1" t="s">
        <v>14</v>
      </c>
      <c r="D8" s="3">
        <v>50</v>
      </c>
    </row>
    <row r="9" spans="1:6" x14ac:dyDescent="0.25">
      <c r="A9" s="19"/>
      <c r="B9" s="19" t="s">
        <v>34</v>
      </c>
      <c r="C9" s="20" t="s">
        <v>14</v>
      </c>
      <c r="D9" s="21"/>
      <c r="E9" s="22">
        <f>SUM(D4:D8)</f>
        <v>460</v>
      </c>
    </row>
    <row r="11" spans="1:6" x14ac:dyDescent="0.25">
      <c r="A11" s="12" t="s">
        <v>15</v>
      </c>
      <c r="B11" s="12" t="s">
        <v>16</v>
      </c>
      <c r="C11" s="15"/>
      <c r="D11" s="13"/>
      <c r="E11" s="13"/>
    </row>
    <row r="12" spans="1:6" x14ac:dyDescent="0.25">
      <c r="B12" t="s">
        <v>17</v>
      </c>
      <c r="C12" s="1" t="s">
        <v>14</v>
      </c>
      <c r="D12" s="3">
        <v>1000</v>
      </c>
    </row>
    <row r="13" spans="1:6" x14ac:dyDescent="0.25">
      <c r="B13" t="s">
        <v>18</v>
      </c>
      <c r="C13" s="1" t="s">
        <v>14</v>
      </c>
      <c r="D13" s="3">
        <v>1100</v>
      </c>
    </row>
    <row r="14" spans="1:6" x14ac:dyDescent="0.25">
      <c r="B14" t="s">
        <v>19</v>
      </c>
      <c r="C14" s="1" t="s">
        <v>14</v>
      </c>
      <c r="D14" s="3">
        <v>300</v>
      </c>
    </row>
    <row r="15" spans="1:6" x14ac:dyDescent="0.25">
      <c r="B15" t="s">
        <v>20</v>
      </c>
      <c r="C15" s="1" t="s">
        <v>14</v>
      </c>
      <c r="D15" s="3">
        <f>SUM(D12:D14)*85%</f>
        <v>2040</v>
      </c>
    </row>
    <row r="16" spans="1:6" x14ac:dyDescent="0.25">
      <c r="A16" s="19"/>
      <c r="B16" s="19" t="s">
        <v>33</v>
      </c>
      <c r="C16" s="20" t="s">
        <v>14</v>
      </c>
      <c r="D16" s="19"/>
      <c r="E16" s="22">
        <f>SUM(D12:D15)</f>
        <v>4440</v>
      </c>
    </row>
    <row r="17" spans="1:6" ht="5.25" customHeight="1" x14ac:dyDescent="0.25">
      <c r="E17" s="4"/>
    </row>
    <row r="18" spans="1:6" x14ac:dyDescent="0.25">
      <c r="A18" s="12" t="s">
        <v>21</v>
      </c>
      <c r="B18" s="12" t="s">
        <v>22</v>
      </c>
      <c r="C18" s="15"/>
      <c r="D18" s="13"/>
      <c r="E18" s="13"/>
    </row>
    <row r="19" spans="1:6" x14ac:dyDescent="0.25">
      <c r="B19" t="s">
        <v>23</v>
      </c>
      <c r="C19" s="1" t="s">
        <v>14</v>
      </c>
      <c r="D19" s="3">
        <v>1800</v>
      </c>
    </row>
    <row r="20" spans="1:6" x14ac:dyDescent="0.25">
      <c r="B20" t="s">
        <v>24</v>
      </c>
      <c r="C20" s="1" t="s">
        <v>14</v>
      </c>
      <c r="D20" s="3">
        <v>300</v>
      </c>
    </row>
    <row r="21" spans="1:6" x14ac:dyDescent="0.25">
      <c r="B21" t="s">
        <v>25</v>
      </c>
      <c r="C21" s="1" t="s">
        <v>14</v>
      </c>
      <c r="D21" s="3">
        <v>150</v>
      </c>
    </row>
    <row r="22" spans="1:6" x14ac:dyDescent="0.25">
      <c r="B22" t="s">
        <v>26</v>
      </c>
      <c r="C22" s="1" t="s">
        <v>14</v>
      </c>
      <c r="D22" s="3">
        <v>880</v>
      </c>
    </row>
    <row r="23" spans="1:6" x14ac:dyDescent="0.25">
      <c r="A23" s="19"/>
      <c r="B23" s="19" t="s">
        <v>32</v>
      </c>
      <c r="C23" s="20" t="s">
        <v>14</v>
      </c>
      <c r="D23" s="19"/>
      <c r="E23" s="22">
        <v>3130</v>
      </c>
    </row>
    <row r="24" spans="1:6" x14ac:dyDescent="0.25">
      <c r="D24" s="3"/>
      <c r="E24" s="3"/>
      <c r="F24" s="3"/>
    </row>
    <row r="25" spans="1:6" x14ac:dyDescent="0.25">
      <c r="A25" s="12" t="s">
        <v>27</v>
      </c>
      <c r="B25" s="12" t="s">
        <v>28</v>
      </c>
      <c r="C25" s="15"/>
      <c r="D25" s="13"/>
      <c r="E25" s="13"/>
      <c r="F25" s="3"/>
    </row>
    <row r="26" spans="1:6" x14ac:dyDescent="0.25">
      <c r="B26" t="s">
        <v>29</v>
      </c>
      <c r="C26" s="1" t="s">
        <v>14</v>
      </c>
      <c r="D26" s="3">
        <v>1728</v>
      </c>
      <c r="E26" s="3"/>
      <c r="F26" s="3"/>
    </row>
    <row r="27" spans="1:6" x14ac:dyDescent="0.25">
      <c r="B27" t="s">
        <v>30</v>
      </c>
      <c r="C27" s="1" t="s">
        <v>14</v>
      </c>
      <c r="D27" s="3">
        <v>800</v>
      </c>
      <c r="E27" s="3"/>
      <c r="F27" s="3"/>
    </row>
    <row r="28" spans="1:6" x14ac:dyDescent="0.25">
      <c r="A28" s="19"/>
      <c r="B28" s="19" t="s">
        <v>31</v>
      </c>
      <c r="C28" s="20" t="s">
        <v>14</v>
      </c>
      <c r="D28" s="19"/>
      <c r="E28" s="22">
        <f>SUM(D26:D27)</f>
        <v>2528</v>
      </c>
      <c r="F28" s="3"/>
    </row>
    <row r="29" spans="1:6" x14ac:dyDescent="0.25">
      <c r="D29" s="3"/>
      <c r="E29" s="3"/>
      <c r="F29" s="3"/>
    </row>
    <row r="30" spans="1:6" x14ac:dyDescent="0.25">
      <c r="A30" s="12" t="s">
        <v>35</v>
      </c>
      <c r="B30" s="12" t="s">
        <v>36</v>
      </c>
      <c r="C30" s="15"/>
      <c r="D30" s="13"/>
      <c r="E30" s="13"/>
      <c r="F30" s="3"/>
    </row>
    <row r="31" spans="1:6" x14ac:dyDescent="0.25">
      <c r="B31" t="s">
        <v>37</v>
      </c>
      <c r="C31" s="1" t="s">
        <v>14</v>
      </c>
      <c r="D31" s="3">
        <v>12000</v>
      </c>
      <c r="E31" s="3"/>
      <c r="F31" s="3"/>
    </row>
    <row r="32" spans="1:6" x14ac:dyDescent="0.25">
      <c r="B32" t="s">
        <v>38</v>
      </c>
      <c r="C32" s="1" t="s">
        <v>14</v>
      </c>
      <c r="D32" s="3">
        <v>35000</v>
      </c>
      <c r="E32" s="3"/>
    </row>
    <row r="33" spans="1:5" x14ac:dyDescent="0.25">
      <c r="B33" t="s">
        <v>39</v>
      </c>
      <c r="C33" s="1" t="s">
        <v>14</v>
      </c>
      <c r="D33" s="3">
        <v>15500</v>
      </c>
      <c r="E33" s="3"/>
    </row>
    <row r="34" spans="1:5" x14ac:dyDescent="0.25">
      <c r="B34" t="s">
        <v>40</v>
      </c>
      <c r="C34" s="1" t="s">
        <v>14</v>
      </c>
      <c r="D34" s="3">
        <v>80</v>
      </c>
      <c r="E34" s="3"/>
    </row>
    <row r="35" spans="1:5" x14ac:dyDescent="0.25">
      <c r="B35" t="s">
        <v>41</v>
      </c>
      <c r="C35" s="1" t="s">
        <v>14</v>
      </c>
      <c r="D35" s="3">
        <v>29.17</v>
      </c>
      <c r="E35" s="3"/>
    </row>
    <row r="36" spans="1:5" x14ac:dyDescent="0.25">
      <c r="A36" s="19"/>
      <c r="B36" s="19" t="s">
        <v>42</v>
      </c>
      <c r="C36" s="20" t="s">
        <v>14</v>
      </c>
      <c r="D36" s="19"/>
      <c r="E36" s="22">
        <v>109.17</v>
      </c>
    </row>
    <row r="37" spans="1:5" x14ac:dyDescent="0.25">
      <c r="D37" s="3"/>
      <c r="E37" s="3"/>
    </row>
    <row r="38" spans="1:5" x14ac:dyDescent="0.25">
      <c r="A38" s="12" t="s">
        <v>43</v>
      </c>
      <c r="B38" s="12" t="s">
        <v>44</v>
      </c>
      <c r="C38" s="15"/>
      <c r="D38" s="13"/>
      <c r="E38" s="13"/>
    </row>
    <row r="39" spans="1:5" x14ac:dyDescent="0.25">
      <c r="B39" t="s">
        <v>45</v>
      </c>
      <c r="D39" s="3"/>
      <c r="E39" s="3"/>
    </row>
    <row r="40" spans="1:5" x14ac:dyDescent="0.25">
      <c r="B40" t="s">
        <v>46</v>
      </c>
      <c r="C40" s="1" t="s">
        <v>14</v>
      </c>
      <c r="D40" s="3">
        <v>232.5</v>
      </c>
      <c r="E40" s="3"/>
    </row>
    <row r="41" spans="1:5" x14ac:dyDescent="0.25">
      <c r="A41" s="19"/>
      <c r="B41" s="19" t="s">
        <v>47</v>
      </c>
      <c r="C41" s="20" t="s">
        <v>14</v>
      </c>
      <c r="D41" s="19"/>
      <c r="E41" s="22">
        <f>D40</f>
        <v>232.5</v>
      </c>
    </row>
    <row r="42" spans="1:5" x14ac:dyDescent="0.25">
      <c r="D42" s="3"/>
      <c r="E42" s="3"/>
    </row>
    <row r="43" spans="1:5" x14ac:dyDescent="0.25">
      <c r="A43" s="12" t="s">
        <v>48</v>
      </c>
      <c r="B43" s="12" t="s">
        <v>49</v>
      </c>
      <c r="C43" s="15"/>
      <c r="D43" s="13"/>
      <c r="E43" s="13"/>
    </row>
    <row r="44" spans="1:5" x14ac:dyDescent="0.25">
      <c r="A44" t="s">
        <v>82</v>
      </c>
      <c r="B44" t="s">
        <v>50</v>
      </c>
      <c r="C44" s="1" t="s">
        <v>14</v>
      </c>
      <c r="D44" s="3">
        <v>14000</v>
      </c>
      <c r="E44" s="3"/>
    </row>
    <row r="45" spans="1:5" x14ac:dyDescent="0.25">
      <c r="B45" t="s">
        <v>51</v>
      </c>
      <c r="C45" s="1" t="s">
        <v>14</v>
      </c>
      <c r="D45" s="3">
        <f>D44*8.333%</f>
        <v>1166.6200000000001</v>
      </c>
      <c r="E45" s="3"/>
    </row>
    <row r="46" spans="1:5" x14ac:dyDescent="0.25">
      <c r="B46" t="s">
        <v>53</v>
      </c>
      <c r="C46" s="1" t="s">
        <v>14</v>
      </c>
      <c r="D46" s="3">
        <f>D44*9.09%</f>
        <v>1272.5999999999999</v>
      </c>
      <c r="E46" s="3"/>
    </row>
    <row r="47" spans="1:5" x14ac:dyDescent="0.25">
      <c r="B47" t="s">
        <v>52</v>
      </c>
      <c r="C47" s="1" t="s">
        <v>14</v>
      </c>
      <c r="D47" s="3">
        <v>700</v>
      </c>
      <c r="E47" s="3"/>
    </row>
    <row r="48" spans="1:5" x14ac:dyDescent="0.25">
      <c r="A48" s="19"/>
      <c r="B48" s="19" t="s">
        <v>83</v>
      </c>
      <c r="C48" s="20"/>
      <c r="D48" s="19"/>
      <c r="E48" s="22">
        <f>SUM(D44:D47)</f>
        <v>17139.22</v>
      </c>
    </row>
    <row r="49" spans="4:5" x14ac:dyDescent="0.25">
      <c r="D49" s="3"/>
      <c r="E49" s="3"/>
    </row>
    <row r="50" spans="4:5" x14ac:dyDescent="0.25">
      <c r="D50" s="3"/>
      <c r="E50" s="3"/>
    </row>
    <row r="51" spans="4:5" x14ac:dyDescent="0.25">
      <c r="D51" s="3"/>
      <c r="E51" s="3"/>
    </row>
  </sheetData>
  <pageMargins left="0.511811024" right="0.511811024" top="0.78740157499999996" bottom="0.78740157499999996" header="0.31496062000000002" footer="0.31496062000000002"/>
  <pageSetup paperSize="9" scale="7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view="pageBreakPreview" zoomScale="124" zoomScaleNormal="100" zoomScaleSheetLayoutView="124" workbookViewId="0">
      <selection activeCell="D4" sqref="D4"/>
    </sheetView>
  </sheetViews>
  <sheetFormatPr defaultRowHeight="15" x14ac:dyDescent="0.25"/>
  <cols>
    <col min="2" max="2" width="56.42578125" bestFit="1" customWidth="1"/>
    <col min="3" max="3" width="12.5703125" customWidth="1"/>
    <col min="4" max="4" width="12" bestFit="1" customWidth="1"/>
    <col min="5" max="5" width="15.42578125" customWidth="1"/>
  </cols>
  <sheetData>
    <row r="1" spans="1:5" ht="30" x14ac:dyDescent="0.25">
      <c r="A1" s="8" t="s">
        <v>0</v>
      </c>
      <c r="B1" s="8" t="s">
        <v>1</v>
      </c>
      <c r="C1" s="7" t="s">
        <v>2</v>
      </c>
      <c r="D1" s="8" t="s">
        <v>3</v>
      </c>
      <c r="E1" s="7" t="s">
        <v>4</v>
      </c>
    </row>
    <row r="2" spans="1:5" x14ac:dyDescent="0.25">
      <c r="A2" s="23" t="s">
        <v>58</v>
      </c>
      <c r="B2" s="24" t="s">
        <v>54</v>
      </c>
      <c r="C2" s="24"/>
      <c r="D2" s="24"/>
      <c r="E2" s="24"/>
    </row>
    <row r="3" spans="1:5" x14ac:dyDescent="0.25">
      <c r="A3" s="5" t="s">
        <v>57</v>
      </c>
      <c r="B3" s="5" t="s">
        <v>56</v>
      </c>
      <c r="C3" s="5"/>
      <c r="D3" s="5"/>
      <c r="E3" s="5"/>
    </row>
    <row r="4" spans="1:5" x14ac:dyDescent="0.25">
      <c r="B4" t="s">
        <v>59</v>
      </c>
      <c r="C4" s="1" t="s">
        <v>14</v>
      </c>
      <c r="D4" s="3">
        <f>'COMPOSIÇÃO DE CUSTOS'!E9</f>
        <v>460</v>
      </c>
    </row>
    <row r="5" spans="1:5" x14ac:dyDescent="0.25">
      <c r="B5" t="s">
        <v>60</v>
      </c>
      <c r="C5" s="1" t="s">
        <v>14</v>
      </c>
      <c r="D5" s="3">
        <f>'COMPOSIÇÃO DE CUSTOS'!E16</f>
        <v>4440</v>
      </c>
    </row>
    <row r="6" spans="1:5" x14ac:dyDescent="0.25">
      <c r="B6" t="s">
        <v>61</v>
      </c>
      <c r="C6" s="1" t="s">
        <v>14</v>
      </c>
      <c r="D6" s="3">
        <f>'COMPOSIÇÃO DE CUSTOS'!E23</f>
        <v>3130</v>
      </c>
    </row>
    <row r="7" spans="1:5" x14ac:dyDescent="0.25">
      <c r="B7" t="s">
        <v>81</v>
      </c>
      <c r="C7" s="1" t="s">
        <v>14</v>
      </c>
      <c r="D7" s="3">
        <f>'COMPOSIÇÃO DE CUSTOS'!E28</f>
        <v>2528</v>
      </c>
    </row>
    <row r="8" spans="1:5" x14ac:dyDescent="0.25">
      <c r="B8" t="s">
        <v>62</v>
      </c>
      <c r="C8" s="1" t="s">
        <v>14</v>
      </c>
      <c r="D8" s="3">
        <f>'COMPOSIÇÃO DE CUSTOS'!E36</f>
        <v>109.17</v>
      </c>
    </row>
    <row r="9" spans="1:5" x14ac:dyDescent="0.25">
      <c r="B9" t="s">
        <v>63</v>
      </c>
      <c r="C9" s="1" t="s">
        <v>14</v>
      </c>
      <c r="D9" s="3">
        <f>'COMPOSIÇÃO DE CUSTOS'!E41</f>
        <v>232.5</v>
      </c>
    </row>
    <row r="10" spans="1:5" x14ac:dyDescent="0.25">
      <c r="A10" s="25"/>
      <c r="B10" s="25" t="s">
        <v>64</v>
      </c>
      <c r="C10" s="28" t="s">
        <v>14</v>
      </c>
      <c r="D10" s="25"/>
      <c r="E10" s="25">
        <f>SUM(D4:D9)</f>
        <v>10899.67</v>
      </c>
    </row>
    <row r="11" spans="1:5" x14ac:dyDescent="0.25">
      <c r="B11" t="s">
        <v>65</v>
      </c>
      <c r="C11" s="1" t="s">
        <v>14</v>
      </c>
      <c r="D11">
        <f>E10*37.9%</f>
        <v>4130.9749300000003</v>
      </c>
    </row>
    <row r="12" spans="1:5" x14ac:dyDescent="0.25">
      <c r="A12" s="25"/>
      <c r="B12" s="25" t="s">
        <v>66</v>
      </c>
      <c r="C12" s="28" t="s">
        <v>14</v>
      </c>
      <c r="D12" s="25"/>
      <c r="E12" s="25">
        <f>E10+D11</f>
        <v>15030.64493</v>
      </c>
    </row>
    <row r="13" spans="1:5" x14ac:dyDescent="0.25">
      <c r="A13" s="25" t="s">
        <v>67</v>
      </c>
      <c r="B13" s="25" t="s">
        <v>71</v>
      </c>
      <c r="C13" s="28" t="s">
        <v>14</v>
      </c>
      <c r="D13" s="25"/>
      <c r="E13" s="25"/>
    </row>
    <row r="14" spans="1:5" x14ac:dyDescent="0.25">
      <c r="B14" t="s">
        <v>72</v>
      </c>
      <c r="C14" s="1" t="s">
        <v>14</v>
      </c>
      <c r="D14" s="3">
        <f>'COMPOSIÇÃO DE CUSTOS'!E48</f>
        <v>17139.22</v>
      </c>
    </row>
    <row r="15" spans="1:5" x14ac:dyDescent="0.25">
      <c r="A15" s="25"/>
      <c r="B15" s="25" t="s">
        <v>73</v>
      </c>
      <c r="C15" s="28" t="s">
        <v>14</v>
      </c>
      <c r="D15" s="25"/>
      <c r="E15" s="25">
        <f>D14</f>
        <v>17139.22</v>
      </c>
    </row>
    <row r="16" spans="1:5" x14ac:dyDescent="0.25">
      <c r="A16" s="11" t="s">
        <v>68</v>
      </c>
      <c r="B16" s="11" t="s">
        <v>74</v>
      </c>
      <c r="C16" s="29" t="s">
        <v>14</v>
      </c>
      <c r="D16" s="11"/>
      <c r="E16" s="11"/>
    </row>
    <row r="17" spans="1:5" x14ac:dyDescent="0.25">
      <c r="B17" t="s">
        <v>75</v>
      </c>
      <c r="C17" s="1" t="s">
        <v>14</v>
      </c>
    </row>
    <row r="18" spans="1:5" x14ac:dyDescent="0.25">
      <c r="B18" s="9" t="s">
        <v>79</v>
      </c>
      <c r="C18" s="30" t="s">
        <v>14</v>
      </c>
      <c r="D18" s="9"/>
      <c r="E18" s="10">
        <f>E12/160</f>
        <v>93.941530812500005</v>
      </c>
    </row>
    <row r="19" spans="1:5" x14ac:dyDescent="0.25">
      <c r="A19" t="s">
        <v>69</v>
      </c>
      <c r="B19" t="s">
        <v>78</v>
      </c>
      <c r="C19" s="1" t="s">
        <v>14</v>
      </c>
    </row>
    <row r="20" spans="1:5" x14ac:dyDescent="0.25">
      <c r="B20" s="9" t="s">
        <v>77</v>
      </c>
      <c r="C20" s="1" t="s">
        <v>14</v>
      </c>
      <c r="E20" s="10">
        <f>E15/160</f>
        <v>107.120125</v>
      </c>
    </row>
    <row r="21" spans="1:5" x14ac:dyDescent="0.25">
      <c r="A21" t="s">
        <v>70</v>
      </c>
      <c r="B21" t="s">
        <v>76</v>
      </c>
      <c r="C21" s="1" t="s">
        <v>14</v>
      </c>
    </row>
    <row r="22" spans="1:5" x14ac:dyDescent="0.25">
      <c r="A22" s="6"/>
      <c r="B22" s="6" t="s">
        <v>80</v>
      </c>
      <c r="C22" s="31" t="s">
        <v>14</v>
      </c>
      <c r="D22" s="6"/>
      <c r="E22" s="26">
        <f>E18+E20</f>
        <v>201.06165581250002</v>
      </c>
    </row>
    <row r="23" spans="1:5" x14ac:dyDescent="0.25">
      <c r="A23" s="27"/>
      <c r="B23" s="27" t="s">
        <v>55</v>
      </c>
      <c r="C23" s="32" t="s">
        <v>14</v>
      </c>
      <c r="D23" s="27"/>
      <c r="E23" s="27"/>
    </row>
  </sheetData>
  <pageMargins left="0.511811024" right="0.511811024" top="0.78740157499999996" bottom="0.78740157499999996" header="0.31496062000000002" footer="0.31496062000000002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COMPOSIÇÃO DE CUSTOS</vt:lpstr>
      <vt:lpstr>RESUMO</vt:lpstr>
      <vt:lpstr>RESUMO!Area_de_impressao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 Barros</cp:lastModifiedBy>
  <dcterms:created xsi:type="dcterms:W3CDTF">2017-08-17T19:06:01Z</dcterms:created>
  <dcterms:modified xsi:type="dcterms:W3CDTF">2019-10-12T04:11:35Z</dcterms:modified>
</cp:coreProperties>
</file>