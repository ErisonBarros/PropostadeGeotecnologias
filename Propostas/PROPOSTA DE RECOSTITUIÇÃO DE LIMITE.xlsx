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B5CB86E8-7CB8-471A-8876-7E71E3BA0F87}" xr6:coauthVersionLast="47" xr6:coauthVersionMax="47" xr10:uidLastSave="{00000000-0000-0000-0000-000000000000}"/>
  <bookViews>
    <workbookView xWindow="28680" yWindow="-120" windowWidth="15600" windowHeight="11040" xr2:uid="{183E06E7-7245-4608-B2CA-EC89939C82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6" i="1" s="1"/>
  <c r="F13" i="1"/>
  <c r="F14" i="1"/>
  <c r="F15" i="1"/>
</calcChain>
</file>

<file path=xl/sharedStrings.xml><?xml version="1.0" encoding="utf-8"?>
<sst xmlns="http://schemas.openxmlformats.org/spreadsheetml/2006/main" count="35" uniqueCount="31">
  <si>
    <t>ITEM</t>
  </si>
  <si>
    <t>DESCRIÇÃO</t>
  </si>
  <si>
    <t>UNID</t>
  </si>
  <si>
    <t>QUANT</t>
  </si>
  <si>
    <t>PREÇO (R$)</t>
  </si>
  <si>
    <t>UNIT</t>
  </si>
  <si>
    <t>TOTAL</t>
  </si>
  <si>
    <t>Levantamento Planialtimétrico Cadastral Georreferenciado</t>
  </si>
  <si>
    <t>Verba</t>
  </si>
  <si>
    <t>Elaboração de plantas e memorias descritivos em escala e precisão  copativel  com a NBR 13133/2021 e NBR 17047/22</t>
  </si>
  <si>
    <t>Levantamento Planialtimétrico Cadastral Georreferenciado com uso de receptores GNSS pelo métodos de posicionamento relativo estático rapido por NTRIP em escala e precisão  copativel  com a NBR 13133/2021 e NBR 17047/22</t>
  </si>
  <si>
    <t>Reconstituição de Limites apartir de dados descritivos de limites de área de interesse.</t>
  </si>
  <si>
    <t>Reconstituição de Limites</t>
  </si>
  <si>
    <t>1.</t>
  </si>
  <si>
    <t>1. 1</t>
  </si>
  <si>
    <t>2.0</t>
  </si>
  <si>
    <t>2.1</t>
  </si>
  <si>
    <t>2.2</t>
  </si>
  <si>
    <t xml:space="preserve">Levantamento Aerofotogrametrico </t>
  </si>
  <si>
    <t>Implantação e Rastreio de Pontos de Apoio</t>
  </si>
  <si>
    <t>unidade</t>
  </si>
  <si>
    <t>Vôo com Drone (com toda a regulamentação necessária)</t>
  </si>
  <si>
    <t>hora</t>
  </si>
  <si>
    <t>Geração de Produtos Cartógraficos</t>
  </si>
  <si>
    <t>conjunto</t>
  </si>
  <si>
    <t>Geração de Ortoimagem</t>
  </si>
  <si>
    <t>3.0</t>
  </si>
  <si>
    <t>3.1</t>
  </si>
  <si>
    <t>3.2</t>
  </si>
  <si>
    <t>3.3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</si>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</sst>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(* #,##0.00_);_(* \(#,##0.00\);_(* &quot;-&quot;??_);_(@_)"/>
    <numFmt numFmtId="166" formatCode="&quot;R$ &quot;#,##0.00_);\(&quot;R$ &quot;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4" xfId="0" applyFont="1" applyBorder="1"/>
    <xf numFmtId="164" fontId="3" fillId="2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6" xfId="0" applyBorder="1"/>
    <xf numFmtId="0" fontId="8" fillId="0" borderId="4" xfId="0" applyFont="1" applyBorder="1" applyAlignment="1">
      <alignment horizontal="right"/>
    </xf>
    <xf numFmtId="0" fontId="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44" fontId="6" fillId="0" borderId="7" xfId="1" applyFont="1" applyBorder="1"/>
    <xf numFmtId="44" fontId="6" fillId="0" borderId="3" xfId="1" applyFont="1" applyBorder="1"/>
    <xf numFmtId="165" fontId="6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166" fontId="7" fillId="0" borderId="5" xfId="0" applyNumberFormat="1" applyFont="1" applyBorder="1" applyAlignment="1">
      <alignment horizontal="right" vertical="center"/>
    </xf>
    <xf numFmtId="7" fontId="7" fillId="0" borderId="5" xfId="0" applyNumberFormat="1" applyFont="1" applyBorder="1" applyAlignment="1">
      <alignment horizontal="center" vertical="center"/>
    </xf>
    <xf numFmtId="0" fontId="2" fillId="0" borderId="0" xfId="0" applyFont="1"/>
    <xf numFmtId="164" fontId="3" fillId="2" borderId="2" xfId="0" applyNumberFormat="1" applyFont="1" applyFill="1" applyBorder="1" applyAlignment="1">
      <alignment vertical="center"/>
    </xf>
    <xf numFmtId="0" fontId="0" fillId="3" borderId="0" xfId="0" applyFill="1"/>
    <xf numFmtId="7" fontId="7" fillId="3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/>
    <xf numFmtId="3" fontId="3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FEBD-88F2-4178-A3DD-EF7DAB4150E5}">
  <dimension ref="A2:F16"/>
  <sheetViews>
    <sheetView tabSelected="1" zoomScale="177" zoomScaleNormal="177" workbookViewId="0">
      <selection activeCell="B5" sqref="B5"/>
    </sheetView>
  </sheetViews>
  <sheetFormatPr defaultRowHeight="14.4" x14ac:dyDescent="0.3"/>
  <cols>
    <col min="1" max="1" width="5.77734375" bestFit="1" customWidth="1"/>
    <col min="2" max="2" width="55.88671875" customWidth="1"/>
    <col min="5" max="5" width="13.33203125" bestFit="1" customWidth="1"/>
    <col min="6" max="6" width="12.44140625" bestFit="1" customWidth="1"/>
  </cols>
  <sheetData>
    <row r="2" spans="1:6" x14ac:dyDescent="0.3">
      <c r="A2" s="21" t="s">
        <v>0</v>
      </c>
      <c r="B2" s="21" t="s">
        <v>1</v>
      </c>
      <c r="C2" s="21" t="s">
        <v>2</v>
      </c>
      <c r="D2" s="23" t="s">
        <v>3</v>
      </c>
      <c r="E2" s="18" t="s">
        <v>4</v>
      </c>
      <c r="F2" s="24" t="s">
        <v>6</v>
      </c>
    </row>
    <row r="3" spans="1:6" x14ac:dyDescent="0.3">
      <c r="A3" s="22"/>
      <c r="B3" s="22"/>
      <c r="C3" s="22"/>
      <c r="D3" s="22"/>
      <c r="E3" s="2" t="s">
        <v>5</v>
      </c>
      <c r="F3" s="22" t="s">
        <v>6</v>
      </c>
    </row>
    <row r="4" spans="1:6" x14ac:dyDescent="0.3">
      <c r="A4" s="8" t="s">
        <v>13</v>
      </c>
      <c r="B4" s="3" t="s">
        <v>12</v>
      </c>
      <c r="C4" s="1"/>
      <c r="D4" s="1"/>
      <c r="E4" s="1"/>
      <c r="F4" s="1"/>
    </row>
    <row r="5" spans="1:6" ht="26.4" x14ac:dyDescent="0.3">
      <c r="A5" s="6" t="s">
        <v>14</v>
      </c>
      <c r="B5" s="4" t="s">
        <v>11</v>
      </c>
      <c r="C5" s="9" t="s">
        <v>8</v>
      </c>
      <c r="D5" s="5"/>
      <c r="E5" s="5"/>
      <c r="F5" s="10">
        <v>600</v>
      </c>
    </row>
    <row r="6" spans="1:6" ht="16.2" customHeight="1" x14ac:dyDescent="0.3">
      <c r="A6" s="1"/>
      <c r="B6" s="1"/>
      <c r="C6" s="1"/>
      <c r="D6" s="1"/>
      <c r="E6" s="1"/>
      <c r="F6" s="1"/>
    </row>
    <row r="7" spans="1:6" x14ac:dyDescent="0.3">
      <c r="A7" s="7" t="s">
        <v>15</v>
      </c>
      <c r="B7" s="3" t="s">
        <v>7</v>
      </c>
      <c r="D7" s="12"/>
      <c r="E7" s="1"/>
      <c r="F7" s="1"/>
    </row>
    <row r="8" spans="1:6" ht="52.8" x14ac:dyDescent="0.3">
      <c r="A8" t="s">
        <v>16</v>
      </c>
      <c r="B8" s="4" t="s">
        <v>10</v>
      </c>
      <c r="C8" s="9" t="s">
        <v>8</v>
      </c>
      <c r="D8" s="5"/>
      <c r="E8" s="5"/>
      <c r="F8" s="10">
        <v>1500</v>
      </c>
    </row>
    <row r="9" spans="1:6" ht="26.4" x14ac:dyDescent="0.3">
      <c r="A9" t="s">
        <v>17</v>
      </c>
      <c r="B9" s="4" t="s">
        <v>9</v>
      </c>
      <c r="C9" s="9" t="s">
        <v>8</v>
      </c>
      <c r="D9" s="5"/>
      <c r="E9" s="5"/>
      <c r="F9" s="11">
        <v>500</v>
      </c>
    </row>
    <row r="11" spans="1:6" x14ac:dyDescent="0.3">
      <c r="A11" s="17" t="s">
        <v>26</v>
      </c>
      <c r="B11" s="3" t="s">
        <v>18</v>
      </c>
    </row>
    <row r="12" spans="1:6" x14ac:dyDescent="0.3">
      <c r="A12" t="s">
        <v>27</v>
      </c>
      <c r="B12" s="4" t="s">
        <v>19</v>
      </c>
      <c r="C12" s="13" t="s">
        <v>20</v>
      </c>
      <c r="D12" s="14">
        <v>10</v>
      </c>
      <c r="E12" s="15">
        <v>60</v>
      </c>
      <c r="F12" s="16">
        <f>ROUND(D12*E12,2)</f>
        <v>600</v>
      </c>
    </row>
    <row r="13" spans="1:6" x14ac:dyDescent="0.3">
      <c r="A13" t="s">
        <v>28</v>
      </c>
      <c r="B13" s="4" t="s">
        <v>21</v>
      </c>
      <c r="C13" s="13" t="s">
        <v>22</v>
      </c>
      <c r="D13" s="14">
        <v>4</v>
      </c>
      <c r="E13" s="15">
        <v>300</v>
      </c>
      <c r="F13" s="16">
        <f>ROUND(D13*E13,2)</f>
        <v>1200</v>
      </c>
    </row>
    <row r="14" spans="1:6" x14ac:dyDescent="0.3">
      <c r="A14" t="s">
        <v>29</v>
      </c>
      <c r="B14" s="4" t="s">
        <v>23</v>
      </c>
      <c r="C14" s="13" t="s">
        <v>24</v>
      </c>
      <c r="D14" s="14">
        <v>1</v>
      </c>
      <c r="E14" s="15">
        <v>50</v>
      </c>
      <c r="F14" s="16">
        <f>ROUND(D14*E14,2)</f>
        <v>50</v>
      </c>
    </row>
    <row r="15" spans="1:6" x14ac:dyDescent="0.3">
      <c r="A15" t="s">
        <v>30</v>
      </c>
      <c r="B15" s="4" t="s">
        <v>25</v>
      </c>
      <c r="C15" s="13" t="s">
        <v>24</v>
      </c>
      <c r="D15" s="14">
        <v>1</v>
      </c>
      <c r="E15" s="15">
        <v>50</v>
      </c>
      <c r="F15" s="16">
        <f>ROUND(D15*E15,2)</f>
        <v>50</v>
      </c>
    </row>
    <row r="16" spans="1:6" x14ac:dyDescent="0.3">
      <c r="A16" s="19"/>
      <c r="B16" s="19"/>
      <c r="C16" s="19"/>
      <c r="D16" s="19"/>
      <c r="E16" s="19"/>
      <c r="F16" s="20">
        <f>SUM(F4:F15)</f>
        <v>4500</v>
      </c>
    </row>
  </sheetData>
  <mergeCells count="5">
    <mergeCell ref="A2:A3"/>
    <mergeCell ref="B2:B3"/>
    <mergeCell ref="C2:C3"/>
    <mergeCell ref="D2:D3"/>
    <mergeCell ref="F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2023-05-25T13:41:25Z</dcterms:created>
  <dcterms:modified xsi:type="dcterms:W3CDTF">2023-06-09T00:38:27Z</dcterms:modified>
</cp:coreProperties>
</file>