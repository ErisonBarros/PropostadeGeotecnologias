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rquivos Dayvson\zDownloads\Planilha Viabilidade\"/>
    </mc:Choice>
  </mc:AlternateContent>
  <bookViews>
    <workbookView xWindow="0" yWindow="0" windowWidth="20490" windowHeight="7755"/>
  </bookViews>
  <sheets>
    <sheet name="Painel Inicial" sheetId="8" r:id="rId1"/>
    <sheet name="Como Utilizar" sheetId="9" r:id="rId2"/>
    <sheet name="Taxas" sheetId="6" r:id="rId3"/>
    <sheet name="Investimentos" sheetId="1" r:id="rId4"/>
    <sheet name="Receitas" sheetId="2" r:id="rId5"/>
    <sheet name="Gastos" sheetId="3" r:id="rId6"/>
    <sheet name="Depreciação" sheetId="4" r:id="rId7"/>
    <sheet name="Indicadores" sheetId="5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5" l="1"/>
  <c r="C8" i="5"/>
  <c r="G11" i="5"/>
  <c r="F11" i="5"/>
  <c r="E11" i="5"/>
  <c r="D11" i="5"/>
  <c r="C11" i="5"/>
  <c r="G9" i="5"/>
  <c r="F9" i="5"/>
  <c r="E9" i="5"/>
  <c r="D9" i="5"/>
  <c r="C9" i="5"/>
  <c r="G8" i="5"/>
  <c r="F8" i="5"/>
  <c r="E8" i="5"/>
  <c r="D8" i="5"/>
  <c r="G5" i="5"/>
  <c r="F5" i="5"/>
  <c r="E5" i="5"/>
  <c r="D5" i="5"/>
  <c r="B9" i="5" l="1"/>
  <c r="B13" i="5" s="1"/>
  <c r="B14" i="5" s="1"/>
  <c r="E6" i="5"/>
  <c r="E7" i="5" s="1"/>
  <c r="D6" i="5"/>
  <c r="D7" i="5" s="1"/>
  <c r="F6" i="5"/>
  <c r="F7" i="5" s="1"/>
  <c r="G6" i="5"/>
  <c r="G7" i="5" s="1"/>
  <c r="G10" i="5" s="1"/>
  <c r="C6" i="5"/>
  <c r="C7" i="5" s="1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20" i="5" l="1"/>
  <c r="G12" i="5"/>
  <c r="G13" i="5" s="1"/>
  <c r="D10" i="5"/>
  <c r="C10" i="5"/>
  <c r="F10" i="5"/>
  <c r="E10" i="5"/>
  <c r="C5" i="3"/>
  <c r="C11" i="1"/>
  <c r="C6" i="2"/>
  <c r="C103" i="1"/>
  <c r="C76" i="4"/>
  <c r="C80" i="4"/>
  <c r="C84" i="4"/>
  <c r="C88" i="4"/>
  <c r="C92" i="4"/>
  <c r="C96" i="4"/>
  <c r="C100" i="4"/>
  <c r="C6" i="4"/>
  <c r="C10" i="4"/>
  <c r="C14" i="4"/>
  <c r="C18" i="4"/>
  <c r="C22" i="4"/>
  <c r="C26" i="4"/>
  <c r="C30" i="4"/>
  <c r="C34" i="4"/>
  <c r="C38" i="4"/>
  <c r="C42" i="4"/>
  <c r="C46" i="4"/>
  <c r="C50" i="4"/>
  <c r="C54" i="4"/>
  <c r="C58" i="4"/>
  <c r="C62" i="4"/>
  <c r="C66" i="4"/>
  <c r="C70" i="4"/>
  <c r="C74" i="4"/>
  <c r="C78" i="4"/>
  <c r="C82" i="4"/>
  <c r="C86" i="4"/>
  <c r="C90" i="4"/>
  <c r="C94" i="4"/>
  <c r="C98" i="4"/>
  <c r="C102" i="4"/>
  <c r="C85" i="4"/>
  <c r="C8" i="4"/>
  <c r="C12" i="4"/>
  <c r="C16" i="4"/>
  <c r="C20" i="4"/>
  <c r="C24" i="4"/>
  <c r="C28" i="4"/>
  <c r="C32" i="4"/>
  <c r="C36" i="4"/>
  <c r="C40" i="4"/>
  <c r="C44" i="4"/>
  <c r="C48" i="4"/>
  <c r="C52" i="4"/>
  <c r="C56" i="4"/>
  <c r="C60" i="4"/>
  <c r="C64" i="4"/>
  <c r="C68" i="4"/>
  <c r="C72" i="4"/>
  <c r="C103" i="4"/>
  <c r="C9" i="3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97" i="3"/>
  <c r="C101" i="3"/>
  <c r="C6" i="3"/>
  <c r="C10" i="3"/>
  <c r="C14" i="3"/>
  <c r="C18" i="3"/>
  <c r="C22" i="3"/>
  <c r="C26" i="3"/>
  <c r="C30" i="3"/>
  <c r="C34" i="3"/>
  <c r="C38" i="3"/>
  <c r="C42" i="3"/>
  <c r="C46" i="3"/>
  <c r="C50" i="3"/>
  <c r="C54" i="3"/>
  <c r="C58" i="3"/>
  <c r="C62" i="3"/>
  <c r="C66" i="3"/>
  <c r="C70" i="3"/>
  <c r="C74" i="3"/>
  <c r="C78" i="3"/>
  <c r="C82" i="3"/>
  <c r="C86" i="3"/>
  <c r="C90" i="3"/>
  <c r="C94" i="3"/>
  <c r="C98" i="3"/>
  <c r="C102" i="3"/>
  <c r="C4" i="3"/>
  <c r="C8" i="3"/>
  <c r="C12" i="3"/>
  <c r="C16" i="3"/>
  <c r="C14" i="2"/>
  <c r="C30" i="2"/>
  <c r="C42" i="2"/>
  <c r="C54" i="2"/>
  <c r="C66" i="2"/>
  <c r="C78" i="2"/>
  <c r="C90" i="2"/>
  <c r="C98" i="2"/>
  <c r="C3" i="2"/>
  <c r="C7" i="2"/>
  <c r="C11" i="2"/>
  <c r="C15" i="2"/>
  <c r="C19" i="2"/>
  <c r="C23" i="2"/>
  <c r="C27" i="2"/>
  <c r="C31" i="2"/>
  <c r="C35" i="2"/>
  <c r="C39" i="2"/>
  <c r="C43" i="2"/>
  <c r="C47" i="2"/>
  <c r="C51" i="2"/>
  <c r="C55" i="2"/>
  <c r="C59" i="2"/>
  <c r="C63" i="2"/>
  <c r="C67" i="2"/>
  <c r="C71" i="2"/>
  <c r="C75" i="2"/>
  <c r="C79" i="2"/>
  <c r="C83" i="2"/>
  <c r="C87" i="2"/>
  <c r="C91" i="2"/>
  <c r="C95" i="2"/>
  <c r="C99" i="2"/>
  <c r="C103" i="2"/>
  <c r="C10" i="2"/>
  <c r="C22" i="2"/>
  <c r="C34" i="2"/>
  <c r="C46" i="2"/>
  <c r="C58" i="2"/>
  <c r="C70" i="2"/>
  <c r="C82" i="2"/>
  <c r="C102" i="2"/>
  <c r="C4" i="2"/>
  <c r="C8" i="2"/>
  <c r="C12" i="2"/>
  <c r="C16" i="2"/>
  <c r="C20" i="2"/>
  <c r="C24" i="2"/>
  <c r="C28" i="2"/>
  <c r="C32" i="2"/>
  <c r="C36" i="2"/>
  <c r="C40" i="2"/>
  <c r="C44" i="2"/>
  <c r="C48" i="2"/>
  <c r="C52" i="2"/>
  <c r="C56" i="2"/>
  <c r="C60" i="2"/>
  <c r="C64" i="2"/>
  <c r="C68" i="2"/>
  <c r="C72" i="2"/>
  <c r="C76" i="2"/>
  <c r="C80" i="2"/>
  <c r="C84" i="2"/>
  <c r="C88" i="2"/>
  <c r="C92" i="2"/>
  <c r="C96" i="2"/>
  <c r="C100" i="2"/>
  <c r="C18" i="2"/>
  <c r="C26" i="2"/>
  <c r="C38" i="2"/>
  <c r="C50" i="2"/>
  <c r="C62" i="2"/>
  <c r="C74" i="2"/>
  <c r="C86" i="2"/>
  <c r="C94" i="2"/>
  <c r="C5" i="2"/>
  <c r="C9" i="2"/>
  <c r="C13" i="2"/>
  <c r="C17" i="2"/>
  <c r="C21" i="2"/>
  <c r="C25" i="2"/>
  <c r="C29" i="2"/>
  <c r="C33" i="2"/>
  <c r="C37" i="2"/>
  <c r="C41" i="2"/>
  <c r="C45" i="2"/>
  <c r="C49" i="2"/>
  <c r="C53" i="2"/>
  <c r="C57" i="2"/>
  <c r="C61" i="2"/>
  <c r="C65" i="2"/>
  <c r="C69" i="2"/>
  <c r="C73" i="2"/>
  <c r="C77" i="2"/>
  <c r="C81" i="2"/>
  <c r="C85" i="2"/>
  <c r="C89" i="2"/>
  <c r="C93" i="2"/>
  <c r="C97" i="2"/>
  <c r="C101" i="2"/>
  <c r="C19" i="1"/>
  <c r="C4" i="1"/>
  <c r="C87" i="1"/>
  <c r="C67" i="1"/>
  <c r="C43" i="1"/>
  <c r="C102" i="1"/>
  <c r="C83" i="1"/>
  <c r="C59" i="1"/>
  <c r="C35" i="1"/>
  <c r="C99" i="1"/>
  <c r="C75" i="1"/>
  <c r="C55" i="1"/>
  <c r="C27" i="1"/>
  <c r="C7" i="1"/>
  <c r="C91" i="1"/>
  <c r="C71" i="1"/>
  <c r="C51" i="1"/>
  <c r="C3" i="3"/>
  <c r="C7" i="3"/>
  <c r="C11" i="3"/>
  <c r="C15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95" i="3"/>
  <c r="C99" i="3"/>
  <c r="C103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C4" i="4"/>
  <c r="C3" i="4"/>
  <c r="C5" i="4"/>
  <c r="C7" i="4"/>
  <c r="C9" i="4"/>
  <c r="C11" i="4"/>
  <c r="C13" i="4"/>
  <c r="C15" i="4"/>
  <c r="C17" i="4"/>
  <c r="C19" i="4"/>
  <c r="C21" i="4"/>
  <c r="C23" i="4"/>
  <c r="C25" i="4"/>
  <c r="C27" i="4"/>
  <c r="C29" i="4"/>
  <c r="C31" i="4"/>
  <c r="C33" i="4"/>
  <c r="C35" i="4"/>
  <c r="C37" i="4"/>
  <c r="C39" i="4"/>
  <c r="C41" i="4"/>
  <c r="C43" i="4"/>
  <c r="C45" i="4"/>
  <c r="C47" i="4"/>
  <c r="C49" i="4"/>
  <c r="C51" i="4"/>
  <c r="C53" i="4"/>
  <c r="C55" i="4"/>
  <c r="C57" i="4"/>
  <c r="C59" i="4"/>
  <c r="C61" i="4"/>
  <c r="C63" i="4"/>
  <c r="C65" i="4"/>
  <c r="C67" i="4"/>
  <c r="C69" i="4"/>
  <c r="C71" i="4"/>
  <c r="C73" i="4"/>
  <c r="C75" i="4"/>
  <c r="C77" i="4"/>
  <c r="C79" i="4"/>
  <c r="C81" i="4"/>
  <c r="C83" i="4"/>
  <c r="C87" i="4"/>
  <c r="C89" i="4"/>
  <c r="C91" i="4"/>
  <c r="C93" i="4"/>
  <c r="C95" i="4"/>
  <c r="C97" i="4"/>
  <c r="C99" i="4"/>
  <c r="C101" i="4"/>
  <c r="C95" i="1"/>
  <c r="C79" i="1"/>
  <c r="C63" i="1"/>
  <c r="C47" i="1"/>
  <c r="C31" i="1"/>
  <c r="C15" i="1"/>
  <c r="C39" i="1"/>
  <c r="C23" i="1"/>
  <c r="C98" i="1"/>
  <c r="C90" i="1"/>
  <c r="C86" i="1"/>
  <c r="C82" i="1"/>
  <c r="C78" i="1"/>
  <c r="C74" i="1"/>
  <c r="C70" i="1"/>
  <c r="C66" i="1"/>
  <c r="C62" i="1"/>
  <c r="C58" i="1"/>
  <c r="C54" i="1"/>
  <c r="C50" i="1"/>
  <c r="C46" i="1"/>
  <c r="C42" i="1"/>
  <c r="C38" i="1"/>
  <c r="C34" i="1"/>
  <c r="C30" i="1"/>
  <c r="C26" i="1"/>
  <c r="C22" i="1"/>
  <c r="C18" i="1"/>
  <c r="C14" i="1"/>
  <c r="C10" i="1"/>
  <c r="C6" i="1"/>
  <c r="C94" i="1"/>
  <c r="C101" i="1"/>
  <c r="C97" i="1"/>
  <c r="C93" i="1"/>
  <c r="C89" i="1"/>
  <c r="C85" i="1"/>
  <c r="C81" i="1"/>
  <c r="C77" i="1"/>
  <c r="C73" i="1"/>
  <c r="C69" i="1"/>
  <c r="C65" i="1"/>
  <c r="C61" i="1"/>
  <c r="C57" i="1"/>
  <c r="C53" i="1"/>
  <c r="C49" i="1"/>
  <c r="C45" i="1"/>
  <c r="C41" i="1"/>
  <c r="C37" i="1"/>
  <c r="C33" i="1"/>
  <c r="C29" i="1"/>
  <c r="C25" i="1"/>
  <c r="C21" i="1"/>
  <c r="C17" i="1"/>
  <c r="C13" i="1"/>
  <c r="C9" i="1"/>
  <c r="C5" i="1"/>
  <c r="C3" i="1"/>
  <c r="C100" i="1"/>
  <c r="C96" i="1"/>
  <c r="C92" i="1"/>
  <c r="C88" i="1"/>
  <c r="C84" i="1"/>
  <c r="C80" i="1"/>
  <c r="C76" i="1"/>
  <c r="C72" i="1"/>
  <c r="C68" i="1"/>
  <c r="C64" i="1"/>
  <c r="C60" i="1"/>
  <c r="C56" i="1"/>
  <c r="C52" i="1"/>
  <c r="C48" i="1"/>
  <c r="C44" i="1"/>
  <c r="C40" i="1"/>
  <c r="C36" i="1"/>
  <c r="C32" i="1"/>
  <c r="C28" i="1"/>
  <c r="C24" i="1"/>
  <c r="C20" i="1"/>
  <c r="C16" i="1"/>
  <c r="C12" i="1"/>
  <c r="C8" i="1"/>
  <c r="D12" i="5" l="1"/>
  <c r="D13" i="5" s="1"/>
  <c r="E12" i="5"/>
  <c r="E13" i="5" s="1"/>
  <c r="F12" i="5"/>
  <c r="F13" i="5" s="1"/>
  <c r="B19" i="5" s="1"/>
  <c r="C12" i="5"/>
  <c r="C13" i="5" s="1"/>
  <c r="C14" i="5" l="1"/>
  <c r="D14" i="5" s="1"/>
  <c r="E14" i="5" s="1"/>
  <c r="F14" i="5" s="1"/>
  <c r="G14" i="5" s="1"/>
  <c r="E19" i="5"/>
  <c r="B18" i="5"/>
  <c r="E18" i="5" s="1"/>
  <c r="A22" i="5" l="1"/>
</calcChain>
</file>

<file path=xl/comments1.xml><?xml version="1.0" encoding="utf-8"?>
<comments xmlns="http://schemas.openxmlformats.org/spreadsheetml/2006/main">
  <authors>
    <author>Luiza Moura Cardoso</author>
  </authors>
  <commentList>
    <comment ref="A8" authorId="0" shapeId="0">
      <text>
        <r>
          <rPr>
            <sz val="9"/>
            <color indexed="81"/>
            <rFont val="Segoe UI"/>
            <family val="2"/>
          </rPr>
          <t xml:space="preserve">Taxa Mínima de Atratividade
</t>
        </r>
      </text>
    </comment>
  </commentList>
</comments>
</file>

<file path=xl/comments2.xml><?xml version="1.0" encoding="utf-8"?>
<comments xmlns="http://schemas.openxmlformats.org/spreadsheetml/2006/main">
  <authors>
    <author>Luiza Moura Cardoso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Preencher na célula ao lado, que está em verde. O Investimento Inicial é o Único que preenchemos no Total e não mês a mês.</t>
        </r>
      </text>
    </comment>
  </commentList>
</comments>
</file>

<file path=xl/comments3.xml><?xml version="1.0" encoding="utf-8"?>
<comments xmlns="http://schemas.openxmlformats.org/spreadsheetml/2006/main">
  <authors>
    <author>Luiza Moura Cardoso</author>
  </authors>
  <commentList>
    <comment ref="A10" authorId="0" shapeId="0">
      <text>
        <r>
          <rPr>
            <b/>
            <sz val="9"/>
            <color indexed="81"/>
            <rFont val="Segoe UI"/>
            <family val="2"/>
          </rPr>
          <t>EBITDA é a sigla de “Earnings Before Interest, Taxes, Depreciation and Amortization”, que significa "Lucros antes de juros, impostos, depreciação e amortização", em português.</t>
        </r>
      </text>
    </comment>
    <comment ref="A18" authorId="0" shapeId="0">
      <text>
        <r>
          <rPr>
            <b/>
            <sz val="9"/>
            <color indexed="81"/>
            <rFont val="Segoe UI"/>
            <family val="2"/>
          </rPr>
          <t>O valor presente líquido (VPL), também conhecido como valor atual líquido (VAL) ou método do valor atual, é a fórmula matemático-financeira capaz de determinar o valor presente de pagamentos futuros descontados a uma taxa de juros apropriada, menos o custo do investimento inicial.</t>
        </r>
      </text>
    </comment>
    <comment ref="A19" authorId="0" shapeId="0">
      <text>
        <r>
          <rPr>
            <b/>
            <sz val="9"/>
            <color indexed="81"/>
            <rFont val="Segoe UI"/>
            <family val="2"/>
          </rPr>
          <t>A Taxa Interna de Retorno (TIR), em inglês IRR (Internal Rate of Return), é uma taxa de desconto hipotética que, quando aplicada a um fluxo de caixa, faz com que os valores das despesas, trazidos ao valor presente, seja igual aos valores dos retornos dos investimentos, também trazidos ao valor presente.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ROI é a sigla em inglês para Return on Investment, que em português significa “Retorno sobre Investimento”. ROI é a relação entre o dinheiro ganho ou perdido através de um investimento, e o montante de dinheiro investido, Este é um termo muito usado em publicidade online.</t>
        </r>
      </text>
    </comment>
  </commentList>
</comments>
</file>

<file path=xl/sharedStrings.xml><?xml version="1.0" encoding="utf-8"?>
<sst xmlns="http://schemas.openxmlformats.org/spreadsheetml/2006/main" count="349" uniqueCount="100">
  <si>
    <t>Total</t>
  </si>
  <si>
    <t>% Total</t>
  </si>
  <si>
    <t>DESCRIÇÃO DO INVESTIMENTO</t>
  </si>
  <si>
    <t>DESCRIÇÃO DAS RECEITAS</t>
  </si>
  <si>
    <t>DESCRIÇÃO DOS GASTOS</t>
  </si>
  <si>
    <t>DESCRIÇÃO DAS DEPRECIAÇÕES</t>
  </si>
  <si>
    <t>FLUXO DE CAIXA</t>
  </si>
  <si>
    <t>Receita Bruta</t>
  </si>
  <si>
    <t>Gastos</t>
  </si>
  <si>
    <t>EBITDA</t>
  </si>
  <si>
    <t>Depreciação</t>
  </si>
  <si>
    <t>Investimentos</t>
  </si>
  <si>
    <t>Lucro Livre Acumulado</t>
  </si>
  <si>
    <t>TMA</t>
  </si>
  <si>
    <t>INDICADORES</t>
  </si>
  <si>
    <t>VPL</t>
  </si>
  <si>
    <t>TIR</t>
  </si>
  <si>
    <t>ROI</t>
  </si>
  <si>
    <t>Investimento Inicial</t>
  </si>
  <si>
    <t>-</t>
  </si>
  <si>
    <t>INICIAL</t>
  </si>
  <si>
    <r>
      <rPr>
        <b/>
        <sz val="9"/>
        <color indexed="63"/>
        <rFont val="Calibri1"/>
      </rPr>
      <t xml:space="preserve">
</t>
    </r>
    <r>
      <rPr>
        <sz val="9"/>
        <color indexed="63"/>
        <rFont val="Calibri1"/>
      </rPr>
      <t>Apareceu uma barra rosa no topo do arquivo dizendo que a planilha não é segura? 
Basta clicar em "</t>
    </r>
    <r>
      <rPr>
        <u/>
        <sz val="9"/>
        <color indexed="63"/>
        <rFont val="Calibri1"/>
      </rPr>
      <t>Obter mais detalhes"</t>
    </r>
    <r>
      <rPr>
        <sz val="9"/>
        <color indexed="63"/>
        <rFont val="Calibri1"/>
      </rPr>
      <t xml:space="preserve"> 
e posteriormente clicar no 
botão “</t>
    </r>
    <r>
      <rPr>
        <u/>
        <sz val="9"/>
        <color indexed="63"/>
        <rFont val="Calibri1"/>
      </rPr>
      <t>Editar mesmo assim</t>
    </r>
    <r>
      <rPr>
        <sz val="9"/>
        <color indexed="63"/>
        <rFont val="Calibri1"/>
      </rPr>
      <t>”.</t>
    </r>
  </si>
  <si>
    <r>
      <t xml:space="preserve">Caso você precise fazer algum tipo de edição, fique tranquilo, pois esse arquivo é desbloqueado e permite a adaptação para sua empresa. 
E não esqueça, se as planilhas não permitirem mais o desempenho desejado para sua empresa e você quiser uma gestão mais madura, sem retrabalho e que permita fácil acesso a informações gerenciais, você precisa de um ERP, um Software de Gestão de Obras. Quem sabe não é a hora de conhecer o Sienge? Acesse: </t>
    </r>
    <r>
      <rPr>
        <u/>
        <sz val="11"/>
        <rFont val="Arial"/>
        <family val="2"/>
      </rPr>
      <t>www.sienge.com.br</t>
    </r>
    <r>
      <rPr>
        <sz val="11"/>
        <rFont val="Arial"/>
        <family val="2"/>
      </rPr>
      <t xml:space="preserve"> .</t>
    </r>
  </si>
  <si>
    <t>Faça a gestão completa de sua obra com o Sienge, saiba mais em www.sienge.com.br ou (48) 3027 8110.</t>
  </si>
  <si>
    <r>
      <rPr>
        <b/>
        <sz val="16"/>
        <color rgb="FF015D44"/>
        <rFont val="Calibri1"/>
      </rPr>
      <t>Como Utilizar</t>
    </r>
    <r>
      <rPr>
        <sz val="11"/>
        <color indexed="63"/>
        <rFont val="Calibri1"/>
      </rPr>
      <t xml:space="preserve">
    </t>
    </r>
  </si>
  <si>
    <t>Em todas as abas da Planilha de Viabilidade Econômica, preencha apenas os campos com fundo verde claro. 
Todos as outras informações são geradas automaticamente.</t>
  </si>
  <si>
    <t>Taxas</t>
  </si>
  <si>
    <r>
      <rPr>
        <b/>
        <sz val="16"/>
        <color rgb="FF015D44"/>
        <rFont val="Calibri1"/>
      </rPr>
      <t>Bem-vindo à Planilha de Viabilidade Econômica do Sienge</t>
    </r>
    <r>
      <rPr>
        <b/>
        <sz val="16"/>
        <color indexed="8"/>
        <rFont val="Calibri1"/>
      </rPr>
      <t xml:space="preserve">
</t>
    </r>
    <r>
      <rPr>
        <sz val="11"/>
        <color indexed="8"/>
        <rFont val="Calibri1"/>
      </rPr>
      <t xml:space="preserve">
</t>
    </r>
    <r>
      <rPr>
        <sz val="11"/>
        <color indexed="63"/>
        <rFont val="Calibri1"/>
      </rPr>
      <t xml:space="preserve">Esse modelo de Planilha de Viabilidade Econômica permite inserir até 100 informações diferentes em cada uma das abas de Previsões Financeiras (Investimentos, Receitas, Gastos e Depreciação). Na aba Indicadores você conseguirá ver, de maneira clara, o Fluxo de Caixa e os principais Indicadores de Viabilidade do seu projeto.
Acesse um dos botões do menu abaixo:  
    </t>
    </r>
  </si>
  <si>
    <t>PIS/COFINS/ISS</t>
  </si>
  <si>
    <t>Últimos 12 meses (jan-17 a jan-18)</t>
  </si>
  <si>
    <t>CDI ano (Taxa de Desconto)</t>
  </si>
  <si>
    <t>IR (Imposto de Renda)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</si>
  <si>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</si>
  <si>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</si>
  <si>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</si>
  <si>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</si>
  <si>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</si>
  <si>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</si>
  <si>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</si>
  <si>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</si>
  <si>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</si>
  <si>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</si>
  <si>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</si>
  <si>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</si>
  <si>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</si>
  <si>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</si>
  <si>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</si>
  <si>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</si>
  <si>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</si>
  <si>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</si>
  <si>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</si>
  <si>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</si>
  <si>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Mês 21</t>
  </si>
  <si>
    <t>Mês 22</t>
  </si>
  <si>
    <t>Mês 23</t>
  </si>
  <si>
    <t>Mês 24</t>
  </si>
  <si>
    <t>Mês 25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</si>
  <si>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</si>
  <si>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</si>
  <si>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</si>
  <si>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</si>
  <si>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</si>
  <si>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</si>
  <si>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</si>
  <si>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</si>
  <si>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</si>
  <si>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</si>
  <si>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</si>
  <si>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Mês 37</t>
  </si>
  <si>
    <t>Mês 38</t>
  </si>
  <si>
    <t>Mês 39</t>
  </si>
  <si>
    <t>Mês 40</t>
  </si>
  <si>
    <t>Mês 41</t>
  </si>
  <si>
    <t>Mês 42</t>
  </si>
  <si>
    <t>Mês 43</t>
  </si>
  <si>
    <t>Mês 44</t>
  </si>
  <si>
    <t>Mês 45</t>
  </si>
  <si>
    <t>Mês 46</t>
  </si>
  <si>
    <t>Mês 47</t>
  </si>
  <si>
    <t>Mês 48</t>
  </si>
  <si>
    <t>Mês 49</t>
  </si>
  <si>
    <t>Mês 50</t>
  </si>
  <si>
    <t>Mês 51</t>
  </si>
  <si>
    <t>Mês 52</t>
  </si>
  <si>
    <t>Mês 53</t>
  </si>
  <si>
    <t>Mês 54</t>
  </si>
  <si>
    <t>Mês 55</t>
  </si>
  <si>
    <t>Mês 56</t>
  </si>
  <si>
    <t>Mês 57</t>
  </si>
  <si>
    <t>Mês 58</t>
  </si>
  <si>
    <t>Mês 59</t>
  </si>
  <si>
    <t>Mês 60</t>
  </si>
  <si>
    <t>1º Ano</t>
  </si>
  <si>
    <t>2º Ano</t>
  </si>
  <si>
    <t>3º Ano</t>
  </si>
  <si>
    <t>4º Ano</t>
  </si>
  <si>
    <t>5º Ano</t>
  </si>
  <si>
    <t>Receita Líquida</t>
  </si>
  <si>
    <t>DRE - Demonstrativo de Resultado do Exercício</t>
  </si>
  <si>
    <t>Lucro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</si>
</sst>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R$&quot;#,##0.00;[Red]\-&quot;R$&quot;#,##0.00"/>
    <numFmt numFmtId="165" formatCode="_-&quot;R$&quot;* #,##0.00_-;\-&quot;R$&quot;* #,##0.00_-;_-&quot;R$&quot;* &quot;-&quot;??_-;_-@_-"/>
    <numFmt numFmtId="166" formatCode="[$-416]mmm\-yy;@"/>
    <numFmt numFmtId="167" formatCode="0.0%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1"/>
    </font>
    <font>
      <b/>
      <sz val="16"/>
      <color indexed="8"/>
      <name val="Calibri1"/>
    </font>
    <font>
      <sz val="11"/>
      <color indexed="63"/>
      <name val="Calibri1"/>
    </font>
    <font>
      <sz val="9"/>
      <color indexed="63"/>
      <name val="Calibri1"/>
    </font>
    <font>
      <b/>
      <sz val="9"/>
      <color indexed="63"/>
      <name val="Calibri1"/>
    </font>
    <font>
      <u/>
      <sz val="9"/>
      <color indexed="63"/>
      <name val="Calibri1"/>
    </font>
    <font>
      <sz val="11"/>
      <name val="Arial"/>
      <family val="2"/>
    </font>
    <font>
      <u/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6"/>
      <color rgb="FF015D44"/>
      <name val="Calibri1"/>
    </font>
    <font>
      <b/>
      <sz val="16"/>
      <color rgb="FF015D44"/>
      <name val="Calibri"/>
      <family val="2"/>
      <scheme val="minor"/>
    </font>
    <font>
      <b/>
      <sz val="11"/>
      <color rgb="FF015D44"/>
      <name val="Calibri"/>
      <family val="2"/>
      <scheme val="minor"/>
    </font>
    <font>
      <sz val="10"/>
      <color theme="9" tint="-0.499984740745262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15D44"/>
        <bgColor rgb="FF9C9B7A"/>
      </patternFill>
    </fill>
    <fill>
      <patternFill patternType="solid">
        <fgColor rgb="FF015D44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FF5050"/>
      </left>
      <right/>
      <top style="medium">
        <color rgb="FFFF5050"/>
      </top>
      <bottom style="medium">
        <color rgb="FFFF5050"/>
      </bottom>
      <diagonal/>
    </border>
    <border>
      <left/>
      <right/>
      <top style="medium">
        <color rgb="FFFF5050"/>
      </top>
      <bottom style="medium">
        <color rgb="FFFF5050"/>
      </bottom>
      <diagonal/>
    </border>
    <border>
      <left/>
      <right style="medium">
        <color rgb="FFFF5050"/>
      </right>
      <top style="medium">
        <color rgb="FFFF5050"/>
      </top>
      <bottom style="medium">
        <color rgb="FFFF5050"/>
      </bottom>
      <diagonal/>
    </border>
    <border>
      <left style="thin">
        <color theme="9" tint="-0.499984740745262"/>
      </left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2" tint="-9.9978637043366805E-2"/>
      </left>
      <right/>
      <top/>
      <bottom/>
      <diagonal/>
    </border>
    <border>
      <left/>
      <right/>
      <top/>
      <bottom style="thin">
        <color theme="2" tint="-9.9978637043366805E-2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2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Border="1"/>
    <xf numFmtId="0" fontId="0" fillId="0" borderId="0" xfId="0" applyFont="1" applyBorder="1" applyAlignment="1"/>
    <xf numFmtId="0" fontId="9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vertical="center" wrapText="1"/>
    </xf>
    <xf numFmtId="0" fontId="8" fillId="4" borderId="0" xfId="0" applyFont="1" applyFill="1" applyBorder="1"/>
    <xf numFmtId="0" fontId="0" fillId="4" borderId="0" xfId="0" applyFont="1" applyFill="1" applyBorder="1" applyAlignment="1"/>
    <xf numFmtId="0" fontId="8" fillId="6" borderId="0" xfId="0" applyFont="1" applyFill="1" applyBorder="1"/>
    <xf numFmtId="0" fontId="0" fillId="7" borderId="0" xfId="0" applyFont="1" applyFill="1" applyBorder="1" applyAlignment="1"/>
    <xf numFmtId="0" fontId="20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12" fillId="8" borderId="0" xfId="0" applyFont="1" applyFill="1" applyBorder="1" applyAlignment="1">
      <alignment vertical="top" wrapText="1"/>
    </xf>
    <xf numFmtId="0" fontId="15" fillId="0" borderId="0" xfId="0" applyFont="1" applyBorder="1" applyAlignment="1">
      <alignment vertical="center" wrapText="1"/>
    </xf>
    <xf numFmtId="167" fontId="0" fillId="5" borderId="1" xfId="0" applyNumberFormat="1" applyFill="1" applyBorder="1" applyAlignment="1">
      <alignment horizontal="center" vertical="center"/>
    </xf>
    <xf numFmtId="167" fontId="0" fillId="5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5" borderId="1" xfId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top" wrapText="1"/>
    </xf>
    <xf numFmtId="0" fontId="12" fillId="3" borderId="2" xfId="0" applyFont="1" applyFill="1" applyBorder="1" applyAlignment="1">
      <alignment horizontal="center" vertical="top" wrapText="1"/>
    </xf>
    <xf numFmtId="0" fontId="12" fillId="3" borderId="3" xfId="0" applyFont="1" applyFill="1" applyBorder="1" applyAlignment="1">
      <alignment horizontal="center" vertical="top" wrapText="1"/>
    </xf>
    <xf numFmtId="0" fontId="12" fillId="3" borderId="4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left" vertical="center" wrapText="1"/>
    </xf>
    <xf numFmtId="0" fontId="18" fillId="4" borderId="0" xfId="3" applyFont="1" applyFill="1" applyAlignment="1">
      <alignment horizontal="center" vertical="center"/>
    </xf>
    <xf numFmtId="0" fontId="9" fillId="0" borderId="0" xfId="0" applyFont="1" applyBorder="1" applyAlignment="1">
      <alignment horizontal="center" vertical="top" wrapText="1"/>
    </xf>
    <xf numFmtId="0" fontId="22" fillId="5" borderId="7" xfId="0" applyFont="1" applyFill="1" applyBorder="1" applyAlignment="1">
      <alignment horizontal="center" vertical="center" wrapText="1"/>
    </xf>
    <xf numFmtId="0" fontId="22" fillId="5" borderId="8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2" fillId="5" borderId="0" xfId="0" applyFont="1" applyFill="1" applyBorder="1" applyAlignment="1">
      <alignment horizontal="center" vertical="center" wrapText="1"/>
    </xf>
    <xf numFmtId="0" fontId="22" fillId="5" borderId="10" xfId="0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165" fontId="23" fillId="0" borderId="14" xfId="0" applyNumberFormat="1" applyFont="1" applyFill="1" applyBorder="1" applyAlignment="1">
      <alignment horizontal="left" vertical="center"/>
    </xf>
    <xf numFmtId="165" fontId="23" fillId="0" borderId="0" xfId="0" applyNumberFormat="1" applyFont="1" applyFill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3">
    <dxf>
      <font>
        <b/>
        <i val="0"/>
        <color theme="9" tint="-0.499984740745262"/>
      </font>
      <fill>
        <patternFill>
          <bgColor theme="9" tint="0.39994506668294322"/>
        </patternFill>
      </fill>
      <border>
        <left style="dashDot">
          <color theme="9" tint="-0.499984740745262"/>
        </left>
        <right style="dashDot">
          <color theme="9" tint="-0.499984740745262"/>
        </right>
        <top style="dashDot">
          <color theme="9" tint="-0.499984740745262"/>
        </top>
        <bottom style="dashDot">
          <color theme="9" tint="-0.499984740745262"/>
        </bottom>
        <vertical/>
        <horizontal/>
      </border>
    </dxf>
    <dxf>
      <font>
        <color rgb="FFC00000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15D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ienge.com.br/solucoes/?utm_source=materiais-uteis&amp;utm_medium=links-planilha&amp;utm_campaign=planilha-de-viabilidade-economica" TargetMode="External"/><Relationship Id="rId13" Type="http://schemas.openxmlformats.org/officeDocument/2006/relationships/hyperlink" Target="https://www.sienge.com.br/ebooks/estudo-de-viabilidade-economica-mais-garantia-de-retorno/?utm_source=materiais-uteis&amp;utm_medium=links-planilha&amp;utm_campaign=planilha-de-viabilidade-economica" TargetMode="External"/><Relationship Id="rId3" Type="http://schemas.openxmlformats.org/officeDocument/2006/relationships/hyperlink" Target="#Taxas!A1"/><Relationship Id="rId7" Type="http://schemas.openxmlformats.org/officeDocument/2006/relationships/hyperlink" Target="#Receitas!A1"/><Relationship Id="rId12" Type="http://schemas.openxmlformats.org/officeDocument/2006/relationships/image" Target="../media/image3.png"/><Relationship Id="rId2" Type="http://schemas.openxmlformats.org/officeDocument/2006/relationships/hyperlink" Target="#Gastos!A1"/><Relationship Id="rId1" Type="http://schemas.openxmlformats.org/officeDocument/2006/relationships/hyperlink" Target="#'Como Utilizar'!A1"/><Relationship Id="rId6" Type="http://schemas.openxmlformats.org/officeDocument/2006/relationships/hyperlink" Target="#Indicadores!A1"/><Relationship Id="rId11" Type="http://schemas.openxmlformats.org/officeDocument/2006/relationships/hyperlink" Target="http://www.sienge.com.br/demonstracao/?utm_source=materiais-uteis&amp;utm_medium=links-planilha&amp;utm_campaign=planilha-de-viabilidade-economica" TargetMode="External"/><Relationship Id="rId5" Type="http://schemas.openxmlformats.org/officeDocument/2006/relationships/hyperlink" Target="#Investimentos!A1"/><Relationship Id="rId15" Type="http://schemas.openxmlformats.org/officeDocument/2006/relationships/image" Target="../media/image5.png"/><Relationship Id="rId10" Type="http://schemas.openxmlformats.org/officeDocument/2006/relationships/image" Target="../media/image2.png"/><Relationship Id="rId4" Type="http://schemas.openxmlformats.org/officeDocument/2006/relationships/hyperlink" Target="#Deprecia&#231;&#227;o!A1"/><Relationship Id="rId9" Type="http://schemas.openxmlformats.org/officeDocument/2006/relationships/image" Target="../media/image1.png"/><Relationship Id="rId1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hyperlink" Target="http://www.sienge.com.br/demonstracao/?utm_source=materiais-uteis&amp;utm_medium=links-planilha&amp;utm_campaign=planilha-de-viabilidade-economica" TargetMode="External"/><Relationship Id="rId1" Type="http://schemas.openxmlformats.org/officeDocument/2006/relationships/image" Target="../media/image1.png"/><Relationship Id="rId6" Type="http://schemas.openxmlformats.org/officeDocument/2006/relationships/hyperlink" Target="#'Painel Inicial'!A1"/><Relationship Id="rId5" Type="http://schemas.openxmlformats.org/officeDocument/2006/relationships/image" Target="../media/image4.png"/><Relationship Id="rId4" Type="http://schemas.openxmlformats.org/officeDocument/2006/relationships/hyperlink" Target="https://www.sienge.com.br/ebooks/estudo-de-viabilidade-economica-mais-garantia-de-retorno/?utm_source=materiais-uteis&amp;utm_medium=links-planilha&amp;utm_campaign=planilha-de-viabilidade-economica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://www.sienge.com.br/demonstracao/?utm_source=materiais-uteis&amp;utm_medium=links-planilha&amp;utm_campaign=planilha-de-viabilidade-economica" TargetMode="External"/><Relationship Id="rId1" Type="http://schemas.openxmlformats.org/officeDocument/2006/relationships/image" Target="../media/image1.png"/><Relationship Id="rId6" Type="http://schemas.openxmlformats.org/officeDocument/2006/relationships/hyperlink" Target="#'Painel Inicial'!A1"/><Relationship Id="rId5" Type="http://schemas.openxmlformats.org/officeDocument/2006/relationships/image" Target="../media/image4.png"/><Relationship Id="rId4" Type="http://schemas.openxmlformats.org/officeDocument/2006/relationships/hyperlink" Target="https://www.sienge.com.br/ebooks/estudo-de-viabilidade-economica-mais-garantia-de-retorno/?utm_source=materiais-uteis&amp;utm_medium=links-planilha&amp;utm_campaign=planilha-de-viabilidade-economica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://www.sienge.com.br/demonstracao/?utm_source=materiais-uteis&amp;utm_medium=links-planilha&amp;utm_campaign=planilha-de-viabilidade-economica" TargetMode="External"/><Relationship Id="rId1" Type="http://schemas.openxmlformats.org/officeDocument/2006/relationships/image" Target="../media/image1.png"/><Relationship Id="rId6" Type="http://schemas.openxmlformats.org/officeDocument/2006/relationships/hyperlink" Target="#'Painel Inicial'!A1"/><Relationship Id="rId5" Type="http://schemas.openxmlformats.org/officeDocument/2006/relationships/image" Target="../media/image4.png"/><Relationship Id="rId4" Type="http://schemas.openxmlformats.org/officeDocument/2006/relationships/hyperlink" Target="https://www.sienge.com.br/ebooks/estudo-de-viabilidade-economica-mais-garantia-de-retorno/?utm_source=materiais-uteis&amp;utm_medium=links-planilha&amp;utm_campaign=planilha-de-viabilidade-economica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://www.sienge.com.br/demonstracao/?utm_source=materiais-uteis&amp;utm_medium=links-planilha&amp;utm_campaign=planilha-de-viabilidade-economica" TargetMode="External"/><Relationship Id="rId1" Type="http://schemas.openxmlformats.org/officeDocument/2006/relationships/image" Target="../media/image1.png"/><Relationship Id="rId6" Type="http://schemas.openxmlformats.org/officeDocument/2006/relationships/hyperlink" Target="#'Painel Inicial'!A1"/><Relationship Id="rId5" Type="http://schemas.openxmlformats.org/officeDocument/2006/relationships/image" Target="../media/image4.png"/><Relationship Id="rId4" Type="http://schemas.openxmlformats.org/officeDocument/2006/relationships/hyperlink" Target="https://www.sienge.com.br/ebooks/estudo-de-viabilidade-economica-mais-garantia-de-retorno/?utm_source=materiais-uteis&amp;utm_medium=links-planilha&amp;utm_campaign=planilha-de-viabilidade-economica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://www.sienge.com.br/demonstracao/?utm_source=materiais-uteis&amp;utm_medium=links-planilha&amp;utm_campaign=planilha-de-viabilidade-economica" TargetMode="External"/><Relationship Id="rId1" Type="http://schemas.openxmlformats.org/officeDocument/2006/relationships/image" Target="../media/image1.png"/><Relationship Id="rId6" Type="http://schemas.openxmlformats.org/officeDocument/2006/relationships/hyperlink" Target="#'Painel Inicial'!A1"/><Relationship Id="rId5" Type="http://schemas.openxmlformats.org/officeDocument/2006/relationships/image" Target="../media/image4.png"/><Relationship Id="rId4" Type="http://schemas.openxmlformats.org/officeDocument/2006/relationships/hyperlink" Target="https://www.sienge.com.br/ebooks/estudo-de-viabilidade-economica-mais-garantia-de-retorno/?utm_source=materiais-uteis&amp;utm_medium=links-planilha&amp;utm_campaign=planilha-de-viabilidade-economica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://www.sienge.com.br/demonstracao/?utm_source=materiais-uteis&amp;utm_medium=links-planilha&amp;utm_campaign=planilha-de-viabilidade-economica" TargetMode="External"/><Relationship Id="rId1" Type="http://schemas.openxmlformats.org/officeDocument/2006/relationships/image" Target="../media/image1.png"/><Relationship Id="rId6" Type="http://schemas.openxmlformats.org/officeDocument/2006/relationships/hyperlink" Target="#'Painel Inicial'!A1"/><Relationship Id="rId5" Type="http://schemas.openxmlformats.org/officeDocument/2006/relationships/image" Target="../media/image4.png"/><Relationship Id="rId4" Type="http://schemas.openxmlformats.org/officeDocument/2006/relationships/hyperlink" Target="https://www.sienge.com.br/ebooks/estudo-de-viabilidade-economica-mais-garantia-de-retorno/?utm_source=materiais-uteis&amp;utm_medium=links-planilha&amp;utm_campaign=planilha-de-viabilidade-economica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hyperlink" Target="http://www.sienge.com.br/demonstracao/?utm_source=materiais-uteis&amp;utm_medium=links-planilha&amp;utm_campaign=planilha-de-viabilidade-economica" TargetMode="External"/><Relationship Id="rId1" Type="http://schemas.openxmlformats.org/officeDocument/2006/relationships/image" Target="../media/image1.png"/><Relationship Id="rId6" Type="http://schemas.openxmlformats.org/officeDocument/2006/relationships/hyperlink" Target="#'Painel Inicial'!A1"/><Relationship Id="rId5" Type="http://schemas.openxmlformats.org/officeDocument/2006/relationships/image" Target="../media/image4.png"/><Relationship Id="rId4" Type="http://schemas.openxmlformats.org/officeDocument/2006/relationships/hyperlink" Target="https://www.sienge.com.br/ebooks/estudo-de-viabilidade-economica-mais-garantia-de-retorno/?utm_source=materiais-uteis&amp;utm_medium=links-planilha&amp;utm_campaign=planilha-de-viabilidade-economic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2</xdr:row>
      <xdr:rowOff>1439703</xdr:rowOff>
    </xdr:from>
    <xdr:to>
      <xdr:col>3</xdr:col>
      <xdr:colOff>400050</xdr:colOff>
      <xdr:row>3</xdr:row>
      <xdr:rowOff>112871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457201" y="2363628"/>
          <a:ext cx="1819274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Como Utilizar</a:t>
          </a:r>
        </a:p>
      </xdr:txBody>
    </xdr:sp>
    <xdr:clientData/>
  </xdr:twoCellAnchor>
  <xdr:twoCellAnchor>
    <xdr:from>
      <xdr:col>1</xdr:col>
      <xdr:colOff>9526</xdr:colOff>
      <xdr:row>3</xdr:row>
      <xdr:rowOff>277653</xdr:rowOff>
    </xdr:from>
    <xdr:to>
      <xdr:col>3</xdr:col>
      <xdr:colOff>400050</xdr:colOff>
      <xdr:row>4</xdr:row>
      <xdr:rowOff>46196</xdr:rowOff>
    </xdr:to>
    <xdr:sp macro="" textlink="">
      <xdr:nvSpPr>
        <xdr:cNvPr id="16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457201" y="2916078"/>
          <a:ext cx="1819274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Gastos</a:t>
          </a:r>
        </a:p>
      </xdr:txBody>
    </xdr:sp>
    <xdr:clientData/>
  </xdr:twoCellAnchor>
  <xdr:twoCellAnchor>
    <xdr:from>
      <xdr:col>3</xdr:col>
      <xdr:colOff>584201</xdr:colOff>
      <xdr:row>2</xdr:row>
      <xdr:rowOff>1439703</xdr:rowOff>
    </xdr:from>
    <xdr:to>
      <xdr:col>6</xdr:col>
      <xdr:colOff>260350</xdr:colOff>
      <xdr:row>3</xdr:row>
      <xdr:rowOff>112871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2460626" y="2363628"/>
          <a:ext cx="1819274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Taxas</a:t>
          </a:r>
        </a:p>
      </xdr:txBody>
    </xdr:sp>
    <xdr:clientData/>
  </xdr:twoCellAnchor>
  <xdr:twoCellAnchor>
    <xdr:from>
      <xdr:col>3</xdr:col>
      <xdr:colOff>584201</xdr:colOff>
      <xdr:row>3</xdr:row>
      <xdr:rowOff>277653</xdr:rowOff>
    </xdr:from>
    <xdr:to>
      <xdr:col>6</xdr:col>
      <xdr:colOff>260350</xdr:colOff>
      <xdr:row>4</xdr:row>
      <xdr:rowOff>46196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2460626" y="2916078"/>
          <a:ext cx="1819274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Depreciação</a:t>
          </a:r>
        </a:p>
      </xdr:txBody>
    </xdr:sp>
    <xdr:clientData/>
  </xdr:twoCellAnchor>
  <xdr:twoCellAnchor>
    <xdr:from>
      <xdr:col>6</xdr:col>
      <xdr:colOff>444501</xdr:colOff>
      <xdr:row>2</xdr:row>
      <xdr:rowOff>1439703</xdr:rowOff>
    </xdr:from>
    <xdr:to>
      <xdr:col>9</xdr:col>
      <xdr:colOff>120650</xdr:colOff>
      <xdr:row>3</xdr:row>
      <xdr:rowOff>112871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4464051" y="2363628"/>
          <a:ext cx="1819274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Investimentos</a:t>
          </a:r>
        </a:p>
      </xdr:txBody>
    </xdr:sp>
    <xdr:clientData/>
  </xdr:twoCellAnchor>
  <xdr:twoCellAnchor>
    <xdr:from>
      <xdr:col>6</xdr:col>
      <xdr:colOff>444501</xdr:colOff>
      <xdr:row>3</xdr:row>
      <xdr:rowOff>277653</xdr:rowOff>
    </xdr:from>
    <xdr:to>
      <xdr:col>9</xdr:col>
      <xdr:colOff>120650</xdr:colOff>
      <xdr:row>4</xdr:row>
      <xdr:rowOff>46196</xdr:rowOff>
    </xdr:to>
    <xdr:sp macro="" textlink="">
      <xdr:nvSpPr>
        <xdr:cNvPr id="18" name="Retângulo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4464051" y="2916078"/>
          <a:ext cx="1819274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Indicadores</a:t>
          </a:r>
        </a:p>
      </xdr:txBody>
    </xdr:sp>
    <xdr:clientData/>
  </xdr:twoCellAnchor>
  <xdr:twoCellAnchor>
    <xdr:from>
      <xdr:col>9</xdr:col>
      <xdr:colOff>304801</xdr:colOff>
      <xdr:row>2</xdr:row>
      <xdr:rowOff>1439703</xdr:rowOff>
    </xdr:from>
    <xdr:to>
      <xdr:col>12</xdr:col>
      <xdr:colOff>171450</xdr:colOff>
      <xdr:row>3</xdr:row>
      <xdr:rowOff>112871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6467476" y="2363628"/>
          <a:ext cx="1819274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Receitas</a:t>
          </a:r>
        </a:p>
      </xdr:txBody>
    </xdr:sp>
    <xdr:clientData/>
  </xdr:twoCellAnchor>
  <xdr:twoCellAnchor>
    <xdr:from>
      <xdr:col>9</xdr:col>
      <xdr:colOff>304801</xdr:colOff>
      <xdr:row>3</xdr:row>
      <xdr:rowOff>277653</xdr:rowOff>
    </xdr:from>
    <xdr:to>
      <xdr:col>12</xdr:col>
      <xdr:colOff>171450</xdr:colOff>
      <xdr:row>4</xdr:row>
      <xdr:rowOff>46196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6467476" y="2916078"/>
          <a:ext cx="1819274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Sienge</a:t>
          </a:r>
        </a:p>
      </xdr:txBody>
    </xdr:sp>
    <xdr:clientData/>
  </xdr:twoCellAnchor>
  <xdr:twoCellAnchor editAs="oneCell">
    <xdr:from>
      <xdr:col>1</xdr:col>
      <xdr:colOff>9525</xdr:colOff>
      <xdr:row>0</xdr:row>
      <xdr:rowOff>161925</xdr:rowOff>
    </xdr:from>
    <xdr:to>
      <xdr:col>6</xdr:col>
      <xdr:colOff>571500</xdr:colOff>
      <xdr:row>0</xdr:row>
      <xdr:rowOff>590550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61925"/>
          <a:ext cx="4133850" cy="428625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2</xdr:row>
      <xdr:rowOff>257175</xdr:rowOff>
    </xdr:from>
    <xdr:to>
      <xdr:col>16</xdr:col>
      <xdr:colOff>762000</xdr:colOff>
      <xdr:row>2</xdr:row>
      <xdr:rowOff>476250</xdr:rowOff>
    </xdr:to>
    <xdr:pic>
      <xdr:nvPicPr>
        <xdr:cNvPr id="25" name="Imagem 1"/>
        <xdr:cNvPicPr>
          <a:picLocks noChangeAspect="1"/>
        </xdr:cNvPicPr>
      </xdr:nvPicPr>
      <xdr:blipFill>
        <a:blip xmlns:r="http://schemas.openxmlformats.org/officeDocument/2006/relationships" r:embed="rId10">
          <a:clrChange>
            <a:clrFrom>
              <a:srgbClr val="F8D4D4"/>
            </a:clrFrom>
            <a:clrTo>
              <a:srgbClr val="F8D4D4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" t="6613" r="85846" b="90640"/>
        <a:stretch>
          <a:fillRect/>
        </a:stretch>
      </xdr:blipFill>
      <xdr:spPr bwMode="auto">
        <a:xfrm>
          <a:off x="10144125" y="10668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428625</xdr:colOff>
      <xdr:row>0</xdr:row>
      <xdr:rowOff>714375</xdr:rowOff>
    </xdr:to>
    <xdr:pic>
      <xdr:nvPicPr>
        <xdr:cNvPr id="26" name="Imagem 25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0"/>
          <a:ext cx="3095625" cy="714375"/>
        </a:xfrm>
        <a:prstGeom prst="rect">
          <a:avLst/>
        </a:prstGeom>
      </xdr:spPr>
    </xdr:pic>
    <xdr:clientData/>
  </xdr:twoCellAnchor>
  <xdr:twoCellAnchor editAs="oneCell">
    <xdr:from>
      <xdr:col>14</xdr:col>
      <xdr:colOff>609600</xdr:colOff>
      <xdr:row>0</xdr:row>
      <xdr:rowOff>0</xdr:rowOff>
    </xdr:from>
    <xdr:to>
      <xdr:col>17</xdr:col>
      <xdr:colOff>933450</xdr:colOff>
      <xdr:row>0</xdr:row>
      <xdr:rowOff>714375</xdr:rowOff>
    </xdr:to>
    <xdr:pic>
      <xdr:nvPicPr>
        <xdr:cNvPr id="27" name="Imagem 26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0"/>
          <a:ext cx="2857500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</xdr:row>
      <xdr:rowOff>19050</xdr:rowOff>
    </xdr:from>
    <xdr:to>
      <xdr:col>9</xdr:col>
      <xdr:colOff>647700</xdr:colOff>
      <xdr:row>11</xdr:row>
      <xdr:rowOff>133350</xdr:rowOff>
    </xdr:to>
    <xdr:pic>
      <xdr:nvPicPr>
        <xdr:cNvPr id="28" name="Imagem 27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105275"/>
          <a:ext cx="6353175" cy="65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161925</xdr:rowOff>
    </xdr:from>
    <xdr:to>
      <xdr:col>6</xdr:col>
      <xdr:colOff>571500</xdr:colOff>
      <xdr:row>0</xdr:row>
      <xdr:rowOff>590550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61925"/>
          <a:ext cx="4133850" cy="428625"/>
        </a:xfrm>
        <a:prstGeom prst="rect">
          <a:avLst/>
        </a:prstGeom>
      </xdr:spPr>
    </xdr:pic>
    <xdr:clientData/>
  </xdr:twoCellAnchor>
  <xdr:twoCellAnchor editAs="oneCell">
    <xdr:from>
      <xdr:col>10</xdr:col>
      <xdr:colOff>676275</xdr:colOff>
      <xdr:row>0</xdr:row>
      <xdr:rowOff>0</xdr:rowOff>
    </xdr:from>
    <xdr:to>
      <xdr:col>15</xdr:col>
      <xdr:colOff>76200</xdr:colOff>
      <xdr:row>0</xdr:row>
      <xdr:rowOff>714375</xdr:rowOff>
    </xdr:to>
    <xdr:pic>
      <xdr:nvPicPr>
        <xdr:cNvPr id="12" name="Imagem 11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325" y="0"/>
          <a:ext cx="3095625" cy="714375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0</xdr:row>
      <xdr:rowOff>0</xdr:rowOff>
    </xdr:from>
    <xdr:to>
      <xdr:col>18</xdr:col>
      <xdr:colOff>828675</xdr:colOff>
      <xdr:row>0</xdr:row>
      <xdr:rowOff>714375</xdr:rowOff>
    </xdr:to>
    <xdr:pic>
      <xdr:nvPicPr>
        <xdr:cNvPr id="13" name="Imagem 12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0"/>
          <a:ext cx="2857500" cy="714375"/>
        </a:xfrm>
        <a:prstGeom prst="rect">
          <a:avLst/>
        </a:prstGeom>
      </xdr:spPr>
    </xdr:pic>
    <xdr:clientData/>
  </xdr:twoCellAnchor>
  <xdr:twoCellAnchor>
    <xdr:from>
      <xdr:col>7</xdr:col>
      <xdr:colOff>476250</xdr:colOff>
      <xdr:row>0</xdr:row>
      <xdr:rowOff>190500</xdr:rowOff>
    </xdr:from>
    <xdr:to>
      <xdr:col>10</xdr:col>
      <xdr:colOff>152399</xdr:colOff>
      <xdr:row>0</xdr:row>
      <xdr:rowOff>578168</xdr:rowOff>
    </xdr:to>
    <xdr:sp macro="" textlink="">
      <xdr:nvSpPr>
        <xdr:cNvPr id="15" name="Retângul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5210175" y="190500"/>
          <a:ext cx="1819274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Menu</a:t>
          </a:r>
          <a:r>
            <a:rPr lang="pt-BR" sz="1100" b="1" baseline="0">
              <a:solidFill>
                <a:schemeClr val="bg1"/>
              </a:solidFill>
            </a:rPr>
            <a:t> Principal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266700</xdr:colOff>
      <xdr:row>2</xdr:row>
      <xdr:rowOff>409575</xdr:rowOff>
    </xdr:from>
    <xdr:to>
      <xdr:col>12</xdr:col>
      <xdr:colOff>219075</xdr:colOff>
      <xdr:row>26</xdr:row>
      <xdr:rowOff>76200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1323975"/>
          <a:ext cx="7620000" cy="6191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161925</xdr:rowOff>
    </xdr:from>
    <xdr:to>
      <xdr:col>5</xdr:col>
      <xdr:colOff>180975</xdr:colOff>
      <xdr:row>0</xdr:row>
      <xdr:rowOff>590550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61925"/>
          <a:ext cx="4133850" cy="428625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0</xdr:row>
      <xdr:rowOff>0</xdr:rowOff>
    </xdr:from>
    <xdr:to>
      <xdr:col>14</xdr:col>
      <xdr:colOff>285750</xdr:colOff>
      <xdr:row>0</xdr:row>
      <xdr:rowOff>714375</xdr:rowOff>
    </xdr:to>
    <xdr:pic>
      <xdr:nvPicPr>
        <xdr:cNvPr id="23" name="Imagem 2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0" y="0"/>
          <a:ext cx="3095625" cy="714375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0</xdr:row>
      <xdr:rowOff>0</xdr:rowOff>
    </xdr:from>
    <xdr:to>
      <xdr:col>19</xdr:col>
      <xdr:colOff>504825</xdr:colOff>
      <xdr:row>0</xdr:row>
      <xdr:rowOff>714375</xdr:rowOff>
    </xdr:to>
    <xdr:pic>
      <xdr:nvPicPr>
        <xdr:cNvPr id="24" name="Imagem 2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0"/>
          <a:ext cx="2857500" cy="714375"/>
        </a:xfrm>
        <a:prstGeom prst="rect">
          <a:avLst/>
        </a:prstGeom>
      </xdr:spPr>
    </xdr:pic>
    <xdr:clientData/>
  </xdr:twoCellAnchor>
  <xdr:twoCellAnchor>
    <xdr:from>
      <xdr:col>6</xdr:col>
      <xdr:colOff>133350</xdr:colOff>
      <xdr:row>0</xdr:row>
      <xdr:rowOff>190500</xdr:rowOff>
    </xdr:from>
    <xdr:to>
      <xdr:col>8</xdr:col>
      <xdr:colOff>419099</xdr:colOff>
      <xdr:row>0</xdr:row>
      <xdr:rowOff>578168</xdr:rowOff>
    </xdr:to>
    <xdr:sp macro="" textlink="">
      <xdr:nvSpPr>
        <xdr:cNvPr id="25" name="Retângulo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5114925" y="190500"/>
          <a:ext cx="1504949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Menu</a:t>
          </a:r>
          <a:r>
            <a:rPr lang="pt-BR" sz="1100" b="1" baseline="0">
              <a:solidFill>
                <a:schemeClr val="bg1"/>
              </a:solidFill>
            </a:rPr>
            <a:t> Principal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161925</xdr:rowOff>
    </xdr:from>
    <xdr:to>
      <xdr:col>4</xdr:col>
      <xdr:colOff>333375</xdr:colOff>
      <xdr:row>0</xdr:row>
      <xdr:rowOff>590550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61925"/>
          <a:ext cx="4133850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0</xdr:row>
      <xdr:rowOff>0</xdr:rowOff>
    </xdr:from>
    <xdr:to>
      <xdr:col>11</xdr:col>
      <xdr:colOff>638175</xdr:colOff>
      <xdr:row>0</xdr:row>
      <xdr:rowOff>714375</xdr:rowOff>
    </xdr:to>
    <xdr:pic>
      <xdr:nvPicPr>
        <xdr:cNvPr id="3" name="Imagem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0"/>
          <a:ext cx="3095625" cy="71437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0</xdr:rowOff>
    </xdr:from>
    <xdr:to>
      <xdr:col>15</xdr:col>
      <xdr:colOff>762000</xdr:colOff>
      <xdr:row>0</xdr:row>
      <xdr:rowOff>714375</xdr:rowOff>
    </xdr:to>
    <xdr:pic>
      <xdr:nvPicPr>
        <xdr:cNvPr id="4" name="Imagem 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50" y="0"/>
          <a:ext cx="2857500" cy="71437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0</xdr:row>
      <xdr:rowOff>190500</xdr:rowOff>
    </xdr:from>
    <xdr:to>
      <xdr:col>7</xdr:col>
      <xdr:colOff>342899</xdr:colOff>
      <xdr:row>0</xdr:row>
      <xdr:rowOff>578168</xdr:rowOff>
    </xdr:to>
    <xdr:sp macro="" textlink="">
      <xdr:nvSpPr>
        <xdr:cNvPr id="5" name="Retângulo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5124450" y="190500"/>
          <a:ext cx="1981199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Menu</a:t>
          </a:r>
          <a:r>
            <a:rPr lang="pt-BR" sz="1100" b="1" baseline="0">
              <a:solidFill>
                <a:schemeClr val="bg1"/>
              </a:solidFill>
            </a:rPr>
            <a:t> Principal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161925</xdr:rowOff>
    </xdr:from>
    <xdr:to>
      <xdr:col>4</xdr:col>
      <xdr:colOff>333375</xdr:colOff>
      <xdr:row>0</xdr:row>
      <xdr:rowOff>590550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61925"/>
          <a:ext cx="4133850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0</xdr:row>
      <xdr:rowOff>0</xdr:rowOff>
    </xdr:from>
    <xdr:to>
      <xdr:col>11</xdr:col>
      <xdr:colOff>638175</xdr:colOff>
      <xdr:row>0</xdr:row>
      <xdr:rowOff>714375</xdr:rowOff>
    </xdr:to>
    <xdr:pic>
      <xdr:nvPicPr>
        <xdr:cNvPr id="3" name="Imagem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0"/>
          <a:ext cx="3095625" cy="71437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0</xdr:rowOff>
    </xdr:from>
    <xdr:to>
      <xdr:col>15</xdr:col>
      <xdr:colOff>762000</xdr:colOff>
      <xdr:row>0</xdr:row>
      <xdr:rowOff>714375</xdr:rowOff>
    </xdr:to>
    <xdr:pic>
      <xdr:nvPicPr>
        <xdr:cNvPr id="4" name="Imagem 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50" y="0"/>
          <a:ext cx="2857500" cy="71437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0</xdr:row>
      <xdr:rowOff>190500</xdr:rowOff>
    </xdr:from>
    <xdr:to>
      <xdr:col>7</xdr:col>
      <xdr:colOff>342899</xdr:colOff>
      <xdr:row>0</xdr:row>
      <xdr:rowOff>578168</xdr:rowOff>
    </xdr:to>
    <xdr:sp macro="" textlink="">
      <xdr:nvSpPr>
        <xdr:cNvPr id="5" name="Retângulo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5124450" y="190500"/>
          <a:ext cx="1981199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Menu</a:t>
          </a:r>
          <a:r>
            <a:rPr lang="pt-BR" sz="1100" b="1" baseline="0">
              <a:solidFill>
                <a:schemeClr val="bg1"/>
              </a:solidFill>
            </a:rPr>
            <a:t> Principal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161925</xdr:rowOff>
    </xdr:from>
    <xdr:to>
      <xdr:col>4</xdr:col>
      <xdr:colOff>333375</xdr:colOff>
      <xdr:row>0</xdr:row>
      <xdr:rowOff>590550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61925"/>
          <a:ext cx="4133850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0</xdr:row>
      <xdr:rowOff>0</xdr:rowOff>
    </xdr:from>
    <xdr:to>
      <xdr:col>11</xdr:col>
      <xdr:colOff>638175</xdr:colOff>
      <xdr:row>0</xdr:row>
      <xdr:rowOff>714375</xdr:rowOff>
    </xdr:to>
    <xdr:pic>
      <xdr:nvPicPr>
        <xdr:cNvPr id="3" name="Imagem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0"/>
          <a:ext cx="3095625" cy="71437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0</xdr:rowOff>
    </xdr:from>
    <xdr:to>
      <xdr:col>15</xdr:col>
      <xdr:colOff>762000</xdr:colOff>
      <xdr:row>0</xdr:row>
      <xdr:rowOff>714375</xdr:rowOff>
    </xdr:to>
    <xdr:pic>
      <xdr:nvPicPr>
        <xdr:cNvPr id="4" name="Imagem 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50" y="0"/>
          <a:ext cx="2857500" cy="71437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0</xdr:row>
      <xdr:rowOff>190500</xdr:rowOff>
    </xdr:from>
    <xdr:to>
      <xdr:col>7</xdr:col>
      <xdr:colOff>342899</xdr:colOff>
      <xdr:row>0</xdr:row>
      <xdr:rowOff>578168</xdr:rowOff>
    </xdr:to>
    <xdr:sp macro="" textlink="">
      <xdr:nvSpPr>
        <xdr:cNvPr id="5" name="Retângulo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5124450" y="190500"/>
          <a:ext cx="1981199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Menu</a:t>
          </a:r>
          <a:r>
            <a:rPr lang="pt-BR" sz="1100" b="1" baseline="0">
              <a:solidFill>
                <a:schemeClr val="bg1"/>
              </a:solidFill>
            </a:rPr>
            <a:t> Principal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161925</xdr:rowOff>
    </xdr:from>
    <xdr:to>
      <xdr:col>4</xdr:col>
      <xdr:colOff>333375</xdr:colOff>
      <xdr:row>0</xdr:row>
      <xdr:rowOff>590550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61925"/>
          <a:ext cx="4133850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0</xdr:row>
      <xdr:rowOff>0</xdr:rowOff>
    </xdr:from>
    <xdr:to>
      <xdr:col>11</xdr:col>
      <xdr:colOff>638175</xdr:colOff>
      <xdr:row>0</xdr:row>
      <xdr:rowOff>714375</xdr:rowOff>
    </xdr:to>
    <xdr:pic>
      <xdr:nvPicPr>
        <xdr:cNvPr id="3" name="Imagem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0"/>
          <a:ext cx="3095625" cy="71437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0</xdr:rowOff>
    </xdr:from>
    <xdr:to>
      <xdr:col>15</xdr:col>
      <xdr:colOff>762000</xdr:colOff>
      <xdr:row>0</xdr:row>
      <xdr:rowOff>714375</xdr:rowOff>
    </xdr:to>
    <xdr:pic>
      <xdr:nvPicPr>
        <xdr:cNvPr id="4" name="Imagem 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50" y="0"/>
          <a:ext cx="2857500" cy="71437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0</xdr:row>
      <xdr:rowOff>190500</xdr:rowOff>
    </xdr:from>
    <xdr:to>
      <xdr:col>7</xdr:col>
      <xdr:colOff>342899</xdr:colOff>
      <xdr:row>0</xdr:row>
      <xdr:rowOff>578168</xdr:rowOff>
    </xdr:to>
    <xdr:sp macro="" textlink="">
      <xdr:nvSpPr>
        <xdr:cNvPr id="5" name="Retângulo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5124450" y="190500"/>
          <a:ext cx="1981199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Menu</a:t>
          </a:r>
          <a:r>
            <a:rPr lang="pt-BR" sz="1100" b="1" baseline="0">
              <a:solidFill>
                <a:schemeClr val="bg1"/>
              </a:solidFill>
            </a:rPr>
            <a:t> Principal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161925</xdr:rowOff>
    </xdr:from>
    <xdr:to>
      <xdr:col>5</xdr:col>
      <xdr:colOff>180975</xdr:colOff>
      <xdr:row>0</xdr:row>
      <xdr:rowOff>590550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61925"/>
          <a:ext cx="4133850" cy="428625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0</xdr:row>
      <xdr:rowOff>0</xdr:rowOff>
    </xdr:from>
    <xdr:to>
      <xdr:col>14</xdr:col>
      <xdr:colOff>504825</xdr:colOff>
      <xdr:row>0</xdr:row>
      <xdr:rowOff>714375</xdr:rowOff>
    </xdr:to>
    <xdr:pic>
      <xdr:nvPicPr>
        <xdr:cNvPr id="3" name="Imagem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0"/>
          <a:ext cx="3095625" cy="714375"/>
        </a:xfrm>
        <a:prstGeom prst="rect">
          <a:avLst/>
        </a:prstGeom>
      </xdr:spPr>
    </xdr:pic>
    <xdr:clientData/>
  </xdr:twoCellAnchor>
  <xdr:twoCellAnchor editAs="oneCell">
    <xdr:from>
      <xdr:col>15</xdr:col>
      <xdr:colOff>514350</xdr:colOff>
      <xdr:row>0</xdr:row>
      <xdr:rowOff>0</xdr:rowOff>
    </xdr:from>
    <xdr:to>
      <xdr:col>20</xdr:col>
      <xdr:colOff>323850</xdr:colOff>
      <xdr:row>0</xdr:row>
      <xdr:rowOff>714375</xdr:rowOff>
    </xdr:to>
    <xdr:pic>
      <xdr:nvPicPr>
        <xdr:cNvPr id="4" name="Imagem 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325" y="0"/>
          <a:ext cx="2857500" cy="714375"/>
        </a:xfrm>
        <a:prstGeom prst="rect">
          <a:avLst/>
        </a:prstGeom>
      </xdr:spPr>
    </xdr:pic>
    <xdr:clientData/>
  </xdr:twoCellAnchor>
  <xdr:twoCellAnchor>
    <xdr:from>
      <xdr:col>6</xdr:col>
      <xdr:colOff>171450</xdr:colOff>
      <xdr:row>0</xdr:row>
      <xdr:rowOff>190500</xdr:rowOff>
    </xdr:from>
    <xdr:to>
      <xdr:col>8</xdr:col>
      <xdr:colOff>457199</xdr:colOff>
      <xdr:row>0</xdr:row>
      <xdr:rowOff>578168</xdr:rowOff>
    </xdr:to>
    <xdr:sp macro="" textlink="">
      <xdr:nvSpPr>
        <xdr:cNvPr id="5" name="Retângulo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5153025" y="190500"/>
          <a:ext cx="1504949" cy="387668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Menu</a:t>
          </a:r>
          <a:r>
            <a:rPr lang="pt-BR" sz="1100" b="1" baseline="0">
              <a:solidFill>
                <a:schemeClr val="bg1"/>
              </a:solidFill>
            </a:rPr>
            <a:t> Principal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371475</xdr:colOff>
      <xdr:row>17</xdr:row>
      <xdr:rowOff>0</xdr:rowOff>
    </xdr:from>
    <xdr:to>
      <xdr:col>4</xdr:col>
      <xdr:colOff>371479</xdr:colOff>
      <xdr:row>20</xdr:row>
      <xdr:rowOff>38104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3581400"/>
          <a:ext cx="609604" cy="609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sienge.com.br/demonstracao/?utm_source=materiais-uteis&amp;utm_medium=links-planilha&amp;utm_campaign=planilha-de-cronograma-de-obra" TargetMode="External"/><Relationship Id="rId1" Type="http://schemas.openxmlformats.org/officeDocument/2006/relationships/hyperlink" Target="http://www.sienge.com.br/demonstracao/?utm_source=materiais-uteis&amp;utm_medium=links-planilha&amp;utm_campaign=planilha-de-calculo-de-bd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"/>
  <sheetViews>
    <sheetView showGridLines="0" tabSelected="1" workbookViewId="0">
      <selection activeCell="B2" sqref="B2"/>
    </sheetView>
  </sheetViews>
  <sheetFormatPr defaultColWidth="14.42578125" defaultRowHeight="15.75" customHeight="1"/>
  <cols>
    <col min="1" max="1" width="6.7109375" style="20" customWidth="1"/>
    <col min="2" max="11" width="10.7109375" style="20" customWidth="1"/>
    <col min="12" max="12" width="7.85546875" style="20" customWidth="1"/>
    <col min="13" max="13" width="10.7109375" style="20" customWidth="1"/>
    <col min="14" max="14" width="15.42578125" style="20" customWidth="1"/>
    <col min="15" max="16" width="10.7109375" style="20" customWidth="1"/>
    <col min="17" max="17" width="16.5703125" style="20" customWidth="1"/>
    <col min="18" max="16384" width="14.42578125" style="20"/>
  </cols>
  <sheetData>
    <row r="1" spans="1:27" s="26" customFormat="1" ht="57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135" customHeight="1" thickBot="1">
      <c r="A3" s="19"/>
      <c r="B3" s="39" t="s">
        <v>27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21"/>
      <c r="O3" s="40" t="s">
        <v>21</v>
      </c>
      <c r="P3" s="41"/>
      <c r="Q3" s="42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ht="48.75" customHeight="1">
      <c r="A4" s="1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21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22.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14.25" customHeight="1">
      <c r="A6" s="19"/>
      <c r="B6" s="43" t="s">
        <v>22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22"/>
      <c r="N6" s="22"/>
      <c r="O6" s="22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14.25" customHeight="1">
      <c r="A7" s="19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22"/>
      <c r="N7" s="22"/>
      <c r="O7" s="22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14.25" customHeight="1">
      <c r="A8" s="19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22"/>
      <c r="N8" s="22"/>
      <c r="O8" s="2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14.25" customHeight="1">
      <c r="A9" s="19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22"/>
      <c r="N9" s="22"/>
      <c r="O9" s="22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14.25" customHeight="1">
      <c r="A10" s="19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22"/>
      <c r="N10" s="22"/>
      <c r="O10" s="22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14.25" customHeight="1">
      <c r="A11" s="19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22"/>
      <c r="N11" s="22"/>
      <c r="O11" s="22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14.25" customHeight="1">
      <c r="A12" s="19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22"/>
      <c r="N12" s="22"/>
      <c r="O12" s="22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14.25" customHeight="1">
      <c r="A13" s="19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22"/>
      <c r="N13" s="22"/>
      <c r="O13" s="22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14.25" customHeight="1">
      <c r="A14" s="19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22"/>
      <c r="N14" s="22"/>
      <c r="O14" s="22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14.25" customHeight="1">
      <c r="A15" s="19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22"/>
      <c r="N15" s="22"/>
      <c r="O15" s="22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15">
      <c r="A16" s="19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22"/>
      <c r="N16" s="22"/>
      <c r="O16" s="2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5">
      <c r="A17" s="19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s="24" customFormat="1" ht="15">
      <c r="A18" s="23"/>
      <c r="B18" s="44" t="s">
        <v>23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1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1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ht="1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1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1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1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1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1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1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1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1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1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1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1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spans="1:27" ht="1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spans="1:27" ht="1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1:27" ht="1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spans="1:27" ht="1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1:27" ht="1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spans="1:27" ht="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1:27" ht="1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1:27" ht="1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spans="1:27" ht="1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1:27" ht="1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spans="1:27" ht="1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spans="1:27" ht="1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1:27" ht="1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1:27" ht="1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ht="1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ht="1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ht="1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ht="1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ht="1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ht="1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1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ht="1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ht="1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ht="1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ht="1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1:27" ht="1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ht="1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1:27" ht="1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1:27" ht="1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ht="1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1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1:27" ht="1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1:27" ht="1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1:27" ht="1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1:27" ht="1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1:27" ht="1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1:27" ht="1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1:27" ht="1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1:27" ht="1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1:27" ht="1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1:27" ht="1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1:27" ht="1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1:27" ht="1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1:27" ht="1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ht="1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1:27" ht="1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1:27" ht="1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1:27" ht="1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1:27" ht="1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1:27" ht="1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1:27" ht="1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1:27" ht="1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1:27" ht="1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1:27" ht="1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1:27" ht="1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1:27" ht="1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1:27" ht="1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1:27" ht="1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1:27" ht="1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1:27" ht="1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1:27" ht="1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1:27" ht="1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1:27" ht="1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1:27" ht="1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1:27" ht="1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1:27" ht="1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1:27" ht="1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1:27" ht="1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1:27" ht="1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1:27" ht="1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1:27" ht="1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1:27" ht="1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1:27" ht="1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1:27" ht="1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1:27" ht="1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1:27" ht="1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1:27" ht="1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1:27" ht="1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1:27" ht="1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1:27" ht="1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1:27" ht="1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1:27" ht="1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1:27" ht="1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1:27" ht="1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1:27" ht="1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1:27" ht="1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1:27" ht="1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1:27" ht="1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1:27" ht="1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1:27" ht="1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1:27" ht="1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1:27" ht="1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1:27" ht="1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1:27" ht="1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1:27" ht="1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1:27" ht="1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1:27" ht="1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1:27" ht="1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1:27" ht="1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1:27" ht="1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1:27" ht="1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1:27" ht="1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1:27" ht="1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1:27" ht="1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1:27" ht="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1:27" ht="1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1:27" ht="1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1:27" ht="1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1:27" ht="1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1:27" ht="1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1:27" ht="1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1:27" ht="1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1:27" ht="1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1:27" ht="1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1:27" ht="1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1:27" ht="1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1:27" ht="1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1:27" ht="1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1:27" ht="1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1:27" ht="1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1:27" ht="1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1:27" ht="1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1:27" ht="1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1:27" ht="1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1:27" ht="1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1:27" ht="1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1:27" ht="1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1:27" ht="1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1:27" ht="1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1:27" ht="1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1:27" ht="1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1:27" ht="1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1:27" ht="1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1:27" ht="1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1:27" ht="1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1:27" ht="1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1:27" ht="1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1:27" ht="1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1:27" ht="1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1:27" ht="1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1:27" ht="1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1:27" ht="1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1:27" ht="1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1:27" ht="1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1:27" ht="1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1:27" ht="1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1:27" ht="1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1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1:27" ht="1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1:27" ht="1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1:27" ht="1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1:27" ht="1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1:27" ht="1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1:27" ht="1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1:27" ht="1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1:27" ht="1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1:27" ht="1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1:27" ht="1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1:27" ht="1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1:27" ht="1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1:27" ht="1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1:27" ht="1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1:27" ht="1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1:27" ht="1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1:27" ht="1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1:27" ht="1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1:27" ht="1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1:27" ht="1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1:27" ht="1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1:27" ht="1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1:27" ht="1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1:27" ht="1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1:27" ht="1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1:27" ht="1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1:27" ht="1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1:27" ht="1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1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 ht="1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1:27" ht="1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1:27" ht="1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1:27" ht="1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1:27" ht="1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1:27" ht="1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1:27" ht="1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1:27" ht="1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1:27" ht="1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1:27" ht="1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1:27" ht="1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1:27" ht="1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1:27" ht="1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1:27" ht="1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1:27" ht="1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1:27" ht="1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1:27" ht="1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1:27" ht="1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1:27" ht="1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1:27" ht="1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1:27" ht="1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1:27" ht="1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1:27" ht="1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1:27" ht="1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1:27" ht="1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1:27" ht="1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1:27" ht="1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1:27" ht="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1:27" ht="1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1:27" ht="1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1:27" ht="1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1:27" ht="1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1:27" ht="1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1:27" ht="1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1:27" ht="1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1:27" ht="1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1:27" ht="1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1:27" ht="1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1:27" ht="1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1:27" ht="1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1:27" ht="1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1:27" ht="1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1:27" ht="1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1:27" ht="1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1:27" ht="1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1:27" ht="1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1:27" ht="1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1:27" ht="1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1:27" ht="1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1:27" ht="1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1:27" ht="1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1:27" ht="1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1:27" ht="1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1:27" ht="1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1:27" ht="1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1:27" ht="1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1:27" ht="1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1:27" ht="1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1:27" ht="1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1:27" ht="1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1:27" ht="1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1:27" ht="1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1:27" ht="1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1:27" ht="1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1:27" ht="1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1:27" ht="1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1:27" ht="1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1:27" ht="1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1:27" ht="1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1:27" ht="1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1:27" ht="1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1:27" ht="1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1:27" ht="1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1:27" ht="1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1:27" ht="1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1:27" ht="1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1:27" ht="1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1:27" ht="1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1:27" ht="1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1:27" ht="1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1:27" ht="1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1:27" ht="1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1:27" ht="1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1:27" ht="1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1:27" ht="1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1:27" ht="1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1:27" ht="1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1:27" ht="1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1:27" ht="1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1:27" ht="1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1:27" ht="1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1:27" ht="1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1:27" ht="1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1:27" ht="1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1:27" ht="1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1:27" ht="1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1:27" ht="1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1:27" ht="1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1:27" ht="1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1:27" ht="1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1:27" ht="1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1:27" ht="1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1:27" ht="1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1:27" ht="1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1:27" ht="1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1:27" ht="1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1:27" ht="1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1:27" ht="1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1:27" ht="1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1:27" ht="1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1:27" ht="1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1:27" ht="1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1:27" ht="1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1:27" ht="1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1:27" ht="1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1:27" ht="1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1:27" ht="1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1:27" ht="1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1:27" ht="1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1:27" ht="1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1:27" ht="1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1:27" ht="1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1:27" ht="1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1:27" ht="1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1:27" ht="1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1:27" ht="1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1:27" ht="1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1:27" ht="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1:27" ht="1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1:27" ht="1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1:27" ht="1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1:27" ht="1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1:27" ht="1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1:27" ht="1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1:27" ht="1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1:27" ht="1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1:27" ht="1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1:27" ht="1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1:27" ht="1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1:27" ht="1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1:27" ht="1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1:27" ht="1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1:27" ht="1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1:27" ht="1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1:27" ht="1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1:27" ht="1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1:27" ht="1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1:27" ht="1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1:27" ht="1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1:27" ht="1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1:27" ht="1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1:27" ht="1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1:27" ht="1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1:27" ht="1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1:27" ht="1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1:27" ht="1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1:27" ht="1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1:27" ht="1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1:27" ht="1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1:27" ht="1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1:27" ht="1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1:27" ht="1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1:27" ht="1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1:27" ht="1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1:27" ht="1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1:27" ht="1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1:27" ht="1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1:27" ht="1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1:27" ht="1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1:27" ht="1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1:27" ht="1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1:27" ht="1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1:27" ht="1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1:27" ht="1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1:27" ht="1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1:27" ht="1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1:27" ht="1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1:27" ht="1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1:27" ht="1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1:27" ht="1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1:27" ht="1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1:27" ht="1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1:27" ht="1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1:27" ht="1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1:27" ht="1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1:27" ht="1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1:27" ht="1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1:27" ht="1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1:27" ht="1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1:27" ht="1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1:27" ht="1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1:27" ht="1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1:27" ht="1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1:27" ht="1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1:27" ht="1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1:27" ht="1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1:27" ht="1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1:27" ht="1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1:27" ht="1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1:27" ht="1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1:27" ht="1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1:27" ht="1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1:27" ht="1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1:27" ht="1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1:27" ht="1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1:27" ht="1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1:27" ht="1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1:27" ht="1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1:27" ht="1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1:27" ht="1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1:27" ht="1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1:27" ht="1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1:27" ht="1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1:27" ht="1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1:27" ht="1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1:27" ht="1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1:27" ht="1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1:27" ht="1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1:27" ht="1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1:27" ht="1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1:27" ht="1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1:27" ht="1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1:27" ht="1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1:27" ht="1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1:27" ht="1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1:27" ht="1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1:27" ht="1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1:27" ht="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1:27" ht="1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1:27" ht="1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1:27" ht="1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1:27" ht="1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1:27" ht="1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1:27" ht="1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1:27" ht="1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1:27" ht="1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1:27" ht="1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1:27" ht="1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1:27" ht="1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1:27" ht="1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1:27" ht="1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1:27" ht="1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1:27" ht="1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1:27" ht="1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1:27" ht="1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1:27" ht="1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1:27" ht="1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1:27" ht="1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1:27" ht="1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1:27" ht="1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1:27" ht="1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1:27" ht="1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1:27" ht="1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1:27" ht="1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1:27" ht="1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1:27" ht="1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1:27" ht="1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1:27" ht="1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1:27" ht="1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1:27" ht="1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1:27" ht="1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1:27" ht="1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1:27" ht="1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1:27" ht="1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1:27" ht="1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1:27" ht="1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1:27" ht="1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1:27" ht="1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1:27" ht="1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1:27" ht="1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1:27" ht="1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1:27" ht="1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1:27" ht="1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1:27" ht="1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1:27" ht="1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1:27" ht="1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1:27" ht="1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1:27" ht="1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1:27" ht="1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1:27" ht="1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1:27" ht="1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1:27" ht="1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1:27" ht="1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1:27" ht="1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1:27" ht="1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1:27" ht="1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1:27" ht="1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1:27" ht="1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1:27" ht="1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1:27" ht="1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1:27" ht="1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1:27" ht="1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1:27" ht="1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1:27" ht="1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1:27" ht="1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1:27" ht="1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1:27" ht="1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1:27" ht="1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1:27" ht="1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1:27" ht="1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1:27" ht="1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1:27" ht="1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1:27" ht="1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1:27" ht="1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1:27" ht="1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1:27" ht="1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1:27" ht="1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1:27" ht="1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1:27" ht="1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1:27" ht="1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1:27" ht="1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1:27" ht="1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1:27" ht="1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1:27" ht="1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1:27" ht="1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1:27" ht="1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1:27" ht="1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1:27" ht="1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1:27" ht="1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1:27" ht="1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1:27" ht="1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1:27" ht="1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1:27" ht="1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1:27" ht="1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1:27" ht="1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1:27" ht="1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1:27" ht="1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1:27" ht="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1:27" ht="1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1:27" ht="1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1:27" ht="1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1:27" ht="1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1:27" ht="1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1:27" ht="1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1:27" ht="1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1:27" ht="1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1:27" ht="1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1:27" ht="1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1:27" ht="1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1:27" ht="1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1:27" ht="1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1:27" ht="1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1:27" ht="1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1:27" ht="1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1:27" ht="1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1:27" ht="1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1:27" ht="1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1:27" ht="1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1:27" ht="1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1:27" ht="1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1:27" ht="1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1:27" ht="1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1:27" ht="1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1:27" ht="1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1:27" ht="1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1:27" ht="1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1:27" ht="1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1:27" ht="1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1:27" ht="1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1:27" ht="1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1:27" ht="1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1:27" ht="1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1:27" ht="1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1:27" ht="1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1:27" ht="1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1:27" ht="1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1:27" ht="1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1:27" ht="1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1:27" ht="1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1:27" ht="1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1:27" ht="1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1:27" ht="1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1:27" ht="1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1:27" ht="1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1:27" ht="1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1:27" ht="1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1:27" ht="1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1:27" ht="1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1:27" ht="1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1:27" ht="1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1:27" ht="1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1:27" ht="1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1:27" ht="1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1:27" ht="1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1:27" ht="1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1:27" ht="1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1:27" ht="1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1:27" ht="1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1:27" ht="1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1:27" ht="1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1:27" ht="1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1:27" ht="1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1:27" ht="1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1:27" ht="1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1:27" ht="1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1:27" ht="1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1:27" ht="1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1:27" ht="1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1:27" ht="1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1:27" ht="1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1:27" ht="1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1:27" ht="1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1:27" ht="1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1:27" ht="1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1:27" ht="1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1:27" ht="1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1:27" ht="1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1:27" ht="1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1:27" ht="1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1:27" ht="1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1:27" ht="1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1:27" ht="1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1:27" ht="1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1:27" ht="1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1:27" ht="1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1:27" ht="1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1:27" ht="1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1:27" ht="1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1:27" ht="1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1:27" ht="1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1:27" ht="1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1:27" ht="1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1:27" ht="1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1:27" ht="1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1:27" ht="1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1:27" ht="1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1:27" ht="1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1:27" ht="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1:27" ht="1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1:27" ht="1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1:27" ht="1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1:27" ht="1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1:27" ht="1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1:27" ht="1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1:27" ht="1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1:27" ht="1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1:27" ht="1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1:27" ht="1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1:27" ht="1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1:27" ht="1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1:27" ht="1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1:27" ht="1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1:27" ht="1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1:27" ht="1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1:27" ht="1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1:27" ht="1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1:27" ht="1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1:27" ht="1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1:27" ht="1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1:27" ht="1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1:27" ht="1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1:27" ht="1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1:27" ht="1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1:27" ht="1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1:27" ht="1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1:27" ht="1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1:27" ht="1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1:27" ht="1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1:27" ht="1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1:27" ht="1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1:27" ht="1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1:27" ht="1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1:27" ht="1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1:27" ht="1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1:27" ht="1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1:27" ht="1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1:27" ht="1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1:27" ht="1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1:27" ht="1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1:27" ht="1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1:27" ht="1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1:27" ht="1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1:27" ht="1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1:27" ht="1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1:27" ht="1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1:27" ht="1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1:27" ht="1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1:27" ht="1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1:27" ht="1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1:27" ht="1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1:27" ht="1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1:27" ht="1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1:27" ht="1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1:27" ht="1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1:27" ht="1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1:27" ht="1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1:27" ht="1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1:27" ht="1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1:27" ht="1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1:27" ht="1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1:27" ht="1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1:27" ht="1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1:27" ht="1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1:27" ht="1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1:27" ht="1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1:27" ht="1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1:27" ht="1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1:27" ht="1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1:27" ht="1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1:27" ht="1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1:27" ht="1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1:27" ht="1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1:27" ht="1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1:27" ht="1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1:27" ht="1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1:27" ht="1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1:27" ht="1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1:27" ht="1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1:27" ht="1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1:27" ht="1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1:27" ht="1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1:27" ht="1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1:27" ht="1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1:27" ht="1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1:27" ht="1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1:27" ht="1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1:27" ht="1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1:27" ht="1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1:27" ht="1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1:27" ht="1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1:27" ht="1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1:27" ht="1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1:27" ht="1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1:27" ht="1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1:27" ht="1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1:27" ht="1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1:27" ht="1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1:27" ht="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1:27" ht="1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1:27" ht="1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1:27" ht="1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1:27" ht="1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1:27" ht="1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1:27" ht="1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1:27" ht="1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1:27" ht="1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1:27" ht="1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1:27" ht="1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1:27" ht="1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1:27" ht="1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1:27" ht="1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1:27" ht="1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1:27" ht="1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1:27" ht="1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1:27" ht="1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1:27" ht="1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1:27" ht="1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1:27" ht="1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1:27" ht="1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1:27" ht="1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1:27" ht="1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1:27" ht="1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1:27" ht="1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1:27" ht="1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1:27" ht="1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1:27" ht="1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1:27" ht="1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1:27" ht="1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1:27" ht="1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1:27" ht="1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1:27" ht="1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1:27" ht="1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1:27" ht="1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1:27" ht="1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1:27" ht="1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1:27" ht="1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1:27" ht="1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1:27" ht="1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1:27" ht="1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1:27" ht="1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1:27" ht="1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1:27" ht="1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1:27" ht="1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1:27" ht="1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1:27" ht="1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1:27" ht="1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1:27" ht="1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1:27" ht="1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1:27" ht="1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1:27" ht="1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1:27" ht="1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1:27" ht="1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1:27" ht="1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1:27" ht="1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1:27" ht="1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1:27" ht="1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1:27" ht="1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1:27" ht="1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1:27" ht="1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1:27" ht="1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1:27" ht="1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1:27" ht="1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1:27" ht="1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1:27" ht="1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1:27" ht="1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1:27" ht="1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1:27" ht="1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1:27" ht="1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1:27" ht="1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1:27" ht="1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1:27" ht="1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1:27" ht="1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1:27" ht="1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1:27" ht="1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1:27" ht="1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1:27" ht="1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1:27" ht="1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1:27" ht="1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1:27" ht="1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1:27" ht="1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1:27" ht="1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1:27" ht="1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1:27" ht="1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1:27" ht="1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1:27" ht="1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1:27" ht="1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1:27" ht="1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1:27" ht="1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1:27" ht="1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1:27" ht="1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1:27" ht="1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1:27" ht="1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1:27" ht="1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1:27" ht="1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1:27" ht="1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1:27" ht="1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1:27" ht="1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1:27" ht="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1:27" ht="1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1:27" ht="1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1:27" ht="1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1:27" ht="1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1:27" ht="1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1:27" ht="1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1:27" ht="1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1:27" ht="1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1:27" ht="1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1:27" ht="1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1:27" ht="1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1:27" ht="1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1:27" ht="1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1:27" ht="1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1:27" ht="1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1:27" ht="1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1:27" ht="1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1:27" ht="1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1:27" ht="1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1:27" ht="1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1:27" ht="1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1:27" ht="1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1:27" ht="1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1:27" ht="1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1:27" ht="1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1:27" ht="1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1:27" ht="1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1:27" ht="1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1:27" ht="1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1:27" ht="1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1:27" ht="1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1:27" ht="1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1:27" ht="1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1:27" ht="1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1:27" ht="1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1:27" ht="1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1:27" ht="1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1:27" ht="1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1:27" ht="1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1:27" ht="1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1:27" ht="1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1:27" ht="1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1:27" ht="1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1:27" ht="1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1:27" ht="1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1:27" ht="1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1:27" ht="1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1:27" ht="1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1:27" ht="1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1:27" ht="1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1:27" ht="1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1:27" ht="1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1:27" ht="1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1:27" ht="1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1:27" ht="1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1:27" ht="1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1:27" ht="1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1:27" ht="1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1:27" ht="1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1:27" ht="1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1:27" ht="1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1:27" ht="1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1:27" ht="1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1:27" ht="1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1:27" ht="1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1:27" ht="1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1:27" ht="1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1:27" ht="1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1:27" ht="1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1:27" ht="1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1:27" ht="1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1:27" ht="1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1:27" ht="1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1:27" ht="1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1:27" ht="1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1:27" ht="1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1:27" ht="1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1:27" ht="1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spans="1:27" ht="1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spans="1:27" ht="1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spans="1:27" ht="1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spans="1:27" ht="1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spans="1:27" ht="1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spans="1:27" ht="1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</sheetData>
  <mergeCells count="4">
    <mergeCell ref="B3:M4"/>
    <mergeCell ref="O3:Q3"/>
    <mergeCell ref="B6:L16"/>
    <mergeCell ref="B18:P18"/>
  </mergeCells>
  <hyperlinks>
    <hyperlink ref="B18:C18" r:id="rId1" display="Faça a gestão completa de sua obra com o Sienge, saiba mais em www.sienge.com.br ou (48) 3027 8110."/>
    <hyperlink ref="B18:P18" r:id="rId2" display="Faça a gestão completa de sua obra com o Sienge, saiba mais em www.sienge.com.br ou (48) 3027 8110."/>
  </hyperlinks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showGridLines="0" workbookViewId="0">
      <selection activeCell="B2" sqref="B2"/>
    </sheetView>
  </sheetViews>
  <sheetFormatPr defaultColWidth="14.42578125" defaultRowHeight="15.75" customHeight="1"/>
  <cols>
    <col min="1" max="1" width="6.7109375" style="20" customWidth="1"/>
    <col min="2" max="11" width="10.7109375" style="20" customWidth="1"/>
    <col min="12" max="12" width="7.85546875" style="20" customWidth="1"/>
    <col min="13" max="13" width="10.7109375" style="20" customWidth="1"/>
    <col min="14" max="14" width="15.42578125" style="20" customWidth="1"/>
    <col min="15" max="16" width="10.7109375" style="20" customWidth="1"/>
    <col min="17" max="17" width="16.5703125" style="20" customWidth="1"/>
    <col min="18" max="16384" width="14.42578125" style="20"/>
  </cols>
  <sheetData>
    <row r="1" spans="1:27" s="26" customFormat="1" ht="57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135" customHeight="1">
      <c r="A3" s="19"/>
      <c r="B3" s="45" t="s">
        <v>24</v>
      </c>
      <c r="C3" s="45"/>
      <c r="D3" s="45"/>
      <c r="E3" s="21"/>
      <c r="F3" s="21"/>
      <c r="G3" s="21"/>
      <c r="H3" s="21"/>
      <c r="I3" s="21"/>
      <c r="J3" s="21"/>
      <c r="K3" s="21"/>
      <c r="L3" s="21"/>
      <c r="M3" s="21"/>
      <c r="N3" s="21"/>
      <c r="O3" s="33"/>
      <c r="P3" s="33"/>
      <c r="Q3" s="33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ht="48.75" customHeight="1">
      <c r="A4" s="19"/>
      <c r="B4" s="21"/>
      <c r="C4" s="21"/>
      <c r="D4" s="21"/>
      <c r="E4" s="21"/>
      <c r="F4" s="21"/>
      <c r="G4" s="21"/>
      <c r="H4" s="21"/>
      <c r="I4" s="21"/>
      <c r="J4" s="21"/>
      <c r="K4" s="21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22.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N5" s="46" t="s">
        <v>25</v>
      </c>
      <c r="O5" s="47"/>
      <c r="P5" s="47"/>
      <c r="Q5" s="47"/>
      <c r="R5" s="48"/>
      <c r="S5" s="19"/>
      <c r="T5" s="19"/>
      <c r="U5" s="19"/>
      <c r="V5" s="19"/>
      <c r="W5" s="19"/>
      <c r="X5" s="19"/>
      <c r="Y5" s="19"/>
      <c r="Z5" s="19"/>
      <c r="AA5" s="19"/>
    </row>
    <row r="6" spans="1:27" ht="14.25" customHeight="1">
      <c r="A6" s="19"/>
      <c r="B6" s="34"/>
      <c r="C6" s="34"/>
      <c r="D6" s="34"/>
      <c r="E6" s="34"/>
      <c r="F6" s="34"/>
      <c r="G6" s="34"/>
      <c r="H6" s="34"/>
      <c r="I6" s="34"/>
      <c r="J6" s="34"/>
      <c r="K6" s="34"/>
      <c r="N6" s="49"/>
      <c r="O6" s="50"/>
      <c r="P6" s="50"/>
      <c r="Q6" s="50"/>
      <c r="R6" s="51"/>
      <c r="S6" s="19"/>
      <c r="T6" s="19"/>
      <c r="U6" s="19"/>
      <c r="V6" s="19"/>
      <c r="W6" s="19"/>
      <c r="X6" s="19"/>
      <c r="Y6" s="19"/>
      <c r="Z6" s="19"/>
      <c r="AA6" s="19"/>
    </row>
    <row r="7" spans="1:27" ht="14.25" customHeight="1">
      <c r="A7" s="19"/>
      <c r="B7" s="34"/>
      <c r="C7" s="34"/>
      <c r="D7" s="34"/>
      <c r="E7" s="34"/>
      <c r="F7" s="34"/>
      <c r="G7" s="34"/>
      <c r="H7" s="34"/>
      <c r="I7" s="34"/>
      <c r="J7" s="34"/>
      <c r="K7" s="34"/>
      <c r="N7" s="52"/>
      <c r="O7" s="53"/>
      <c r="P7" s="53"/>
      <c r="Q7" s="53"/>
      <c r="R7" s="54"/>
      <c r="S7" s="19"/>
      <c r="T7" s="19"/>
      <c r="U7" s="19"/>
      <c r="V7" s="19"/>
      <c r="W7" s="19"/>
      <c r="X7" s="19"/>
      <c r="Y7" s="19"/>
      <c r="Z7" s="19"/>
      <c r="AA7" s="19"/>
    </row>
    <row r="8" spans="1:27" ht="14.25" customHeight="1">
      <c r="A8" s="19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22"/>
      <c r="S8" s="19"/>
      <c r="T8" s="19"/>
      <c r="U8" s="19"/>
      <c r="V8" s="19"/>
      <c r="W8" s="19"/>
      <c r="X8" s="19"/>
      <c r="Y8" s="19"/>
      <c r="Z8" s="19"/>
      <c r="AA8" s="19"/>
    </row>
    <row r="9" spans="1:27" ht="14.25" customHeight="1">
      <c r="A9" s="19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22"/>
      <c r="S9" s="19"/>
      <c r="T9" s="19"/>
      <c r="U9" s="19"/>
      <c r="V9" s="19"/>
      <c r="W9" s="19"/>
      <c r="X9" s="19"/>
      <c r="Y9" s="19"/>
      <c r="Z9" s="19"/>
      <c r="AA9" s="19"/>
    </row>
    <row r="10" spans="1:27" ht="14.25" customHeight="1">
      <c r="A10" s="19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22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14.25" customHeight="1">
      <c r="A11" s="19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22"/>
      <c r="N11" s="22"/>
      <c r="O11" s="22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14.25" customHeight="1">
      <c r="A12" s="19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22"/>
      <c r="N12" s="22"/>
      <c r="O12" s="22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14.25" customHeight="1">
      <c r="A13" s="19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22"/>
      <c r="N13" s="22"/>
      <c r="O13" s="22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14.25" customHeight="1">
      <c r="A14" s="19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22"/>
      <c r="N14" s="22"/>
      <c r="O14" s="22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14.25" customHeight="1">
      <c r="A15" s="19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22"/>
      <c r="N15" s="22"/>
      <c r="O15" s="22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15">
      <c r="A16" s="19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22"/>
      <c r="N16" s="22"/>
      <c r="O16" s="2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5">
      <c r="A17" s="19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1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1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ht="1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1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1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1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1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1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1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1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1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1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1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1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spans="1:27" ht="1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spans="1:27" ht="1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1:27" ht="1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spans="1:27" ht="1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1:27" ht="1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spans="1:27" ht="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1:27" ht="1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1:27" ht="1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spans="1:27" ht="1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1:27" ht="1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spans="1:27" ht="1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spans="1:27" ht="1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1:27" ht="1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1:27" ht="1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ht="1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ht="1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ht="1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ht="1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ht="1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ht="1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1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ht="1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ht="1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ht="1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ht="1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1:27" ht="1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ht="1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1:27" ht="1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1:27" ht="1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ht="1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1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1:27" ht="1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1:27" ht="1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1:27" ht="1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1:27" ht="1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1:27" ht="1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1:27" ht="1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1:27" ht="1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1:27" ht="1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1:27" ht="1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1:27" ht="1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1:27" ht="1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1:27" ht="1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1:27" ht="1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ht="1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1:27" ht="1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1:27" ht="1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1:27" ht="1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1:27" ht="1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1:27" ht="1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1:27" ht="1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1:27" ht="1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1:27" ht="1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1:27" ht="1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1:27" ht="1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1:27" ht="1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1:27" ht="1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1:27" ht="1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1:27" ht="1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1:27" ht="1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1:27" ht="1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1:27" ht="1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1:27" ht="1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1:27" ht="1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1:27" ht="1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1:27" ht="1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1:27" ht="1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1:27" ht="1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1:27" ht="1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1:27" ht="1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1:27" ht="1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1:27" ht="1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1:27" ht="1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1:27" ht="1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1:27" ht="1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1:27" ht="1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1:27" ht="1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1:27" ht="1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1:27" ht="1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1:27" ht="1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1:27" ht="1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1:27" ht="1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1:27" ht="1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1:27" ht="1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1:27" ht="1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1:27" ht="1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1:27" ht="1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1:27" ht="1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1:27" ht="1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1:27" ht="1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1:27" ht="1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1:27" ht="1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1:27" ht="1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1:27" ht="1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1:27" ht="1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1:27" ht="1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1:27" ht="1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1:27" ht="1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1:27" ht="1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1:27" ht="1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1:27" ht="1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1:27" ht="1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1:27" ht="1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1:27" ht="1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1:27" ht="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1:27" ht="1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1:27" ht="1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1:27" ht="1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1:27" ht="1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1:27" ht="1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1:27" ht="1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1:27" ht="1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1:27" ht="1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1:27" ht="1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1:27" ht="1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1:27" ht="1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1:27" ht="1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1:27" ht="1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1:27" ht="1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1:27" ht="1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1:27" ht="1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1:27" ht="1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1:27" ht="1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1:27" ht="1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1:27" ht="1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1:27" ht="1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1:27" ht="1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1:27" ht="1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1:27" ht="1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1:27" ht="1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1:27" ht="1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1:27" ht="1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1:27" ht="1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1:27" ht="1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1:27" ht="1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1:27" ht="1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1:27" ht="1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1:27" ht="1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1:27" ht="1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1:27" ht="1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1:27" ht="1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1:27" ht="1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1:27" ht="1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1:27" ht="1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1:27" ht="1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1:27" ht="1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1:27" ht="1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1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1:27" ht="1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1:27" ht="1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1:27" ht="1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1:27" ht="1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1:27" ht="1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1:27" ht="1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1:27" ht="1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1:27" ht="1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1:27" ht="1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1:27" ht="1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1:27" ht="1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1:27" ht="1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1:27" ht="1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1:27" ht="1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1:27" ht="1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1:27" ht="1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1:27" ht="1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1:27" ht="1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1:27" ht="1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1:27" ht="1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1:27" ht="1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1:27" ht="1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1:27" ht="1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1:27" ht="1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1:27" ht="1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1:27" ht="1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1:27" ht="1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1:27" ht="1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1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 ht="1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1:27" ht="1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1:27" ht="1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1:27" ht="1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1:27" ht="1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1:27" ht="1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1:27" ht="1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1:27" ht="1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1:27" ht="1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1:27" ht="1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1:27" ht="1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1:27" ht="1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1:27" ht="1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1:27" ht="1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1:27" ht="1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1:27" ht="1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1:27" ht="1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1:27" ht="1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1:27" ht="1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1:27" ht="1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1:27" ht="1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1:27" ht="1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1:27" ht="1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1:27" ht="1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1:27" ht="1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1:27" ht="1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1:27" ht="1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1:27" ht="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1:27" ht="1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1:27" ht="1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1:27" ht="1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1:27" ht="1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1:27" ht="1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1:27" ht="1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1:27" ht="1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1:27" ht="1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1:27" ht="1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1:27" ht="1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1:27" ht="1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1:27" ht="1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1:27" ht="1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1:27" ht="1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1:27" ht="1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1:27" ht="1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1:27" ht="1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1:27" ht="1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1:27" ht="1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1:27" ht="1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1:27" ht="1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1:27" ht="1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1:27" ht="1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1:27" ht="1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1:27" ht="1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1:27" ht="1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1:27" ht="1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1:27" ht="1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1:27" ht="1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1:27" ht="1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1:27" ht="1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1:27" ht="1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1:27" ht="1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1:27" ht="1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1:27" ht="1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1:27" ht="1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1:27" ht="1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1:27" ht="1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1:27" ht="1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1:27" ht="1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1:27" ht="1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1:27" ht="1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1:27" ht="1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1:27" ht="1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1:27" ht="1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1:27" ht="1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1:27" ht="1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1:27" ht="1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1:27" ht="1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1:27" ht="1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1:27" ht="1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1:27" ht="1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1:27" ht="1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1:27" ht="1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1:27" ht="1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1:27" ht="1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1:27" ht="1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1:27" ht="1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1:27" ht="1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1:27" ht="1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1:27" ht="1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1:27" ht="1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1:27" ht="1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1:27" ht="1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1:27" ht="1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1:27" ht="1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1:27" ht="1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1:27" ht="1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1:27" ht="1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1:27" ht="1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1:27" ht="1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1:27" ht="1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1:27" ht="1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1:27" ht="1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1:27" ht="1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1:27" ht="1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1:27" ht="1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1:27" ht="1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1:27" ht="1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1:27" ht="1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1:27" ht="1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1:27" ht="1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1:27" ht="1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1:27" ht="1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1:27" ht="1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1:27" ht="1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1:27" ht="1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1:27" ht="1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1:27" ht="1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1:27" ht="1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1:27" ht="1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1:27" ht="1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1:27" ht="1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1:27" ht="1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1:27" ht="1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1:27" ht="1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1:27" ht="1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1:27" ht="1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1:27" ht="1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1:27" ht="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1:27" ht="1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1:27" ht="1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1:27" ht="1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1:27" ht="1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1:27" ht="1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1:27" ht="1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1:27" ht="1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1:27" ht="1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1:27" ht="1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1:27" ht="1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1:27" ht="1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1:27" ht="1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1:27" ht="1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1:27" ht="1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1:27" ht="1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1:27" ht="1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1:27" ht="1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1:27" ht="1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1:27" ht="1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1:27" ht="1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1:27" ht="1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1:27" ht="1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1:27" ht="1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1:27" ht="1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1:27" ht="1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1:27" ht="1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1:27" ht="1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1:27" ht="1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1:27" ht="1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1:27" ht="1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1:27" ht="1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1:27" ht="1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1:27" ht="1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1:27" ht="1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1:27" ht="1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1:27" ht="1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1:27" ht="1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1:27" ht="1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1:27" ht="1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1:27" ht="1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1:27" ht="1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1:27" ht="1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1:27" ht="1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1:27" ht="1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1:27" ht="1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1:27" ht="1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1:27" ht="1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1:27" ht="1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1:27" ht="1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1:27" ht="1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1:27" ht="1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1:27" ht="1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1:27" ht="1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1:27" ht="1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1:27" ht="1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1:27" ht="1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1:27" ht="1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1:27" ht="1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1:27" ht="1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1:27" ht="1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1:27" ht="1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1:27" ht="1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1:27" ht="1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1:27" ht="1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1:27" ht="1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1:27" ht="1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1:27" ht="1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1:27" ht="1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1:27" ht="1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1:27" ht="1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1:27" ht="1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1:27" ht="1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1:27" ht="1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1:27" ht="1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1:27" ht="1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1:27" ht="1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1:27" ht="1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1:27" ht="1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1:27" ht="1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1:27" ht="1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1:27" ht="1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1:27" ht="1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1:27" ht="1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1:27" ht="1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1:27" ht="1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1:27" ht="1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1:27" ht="1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1:27" ht="1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1:27" ht="1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1:27" ht="1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1:27" ht="1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1:27" ht="1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1:27" ht="1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1:27" ht="1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1:27" ht="1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1:27" ht="1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1:27" ht="1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1:27" ht="1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1:27" ht="1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1:27" ht="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1:27" ht="1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1:27" ht="1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1:27" ht="1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1:27" ht="1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1:27" ht="1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1:27" ht="1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1:27" ht="1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1:27" ht="1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1:27" ht="1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1:27" ht="1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1:27" ht="1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1:27" ht="1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1:27" ht="1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1:27" ht="1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1:27" ht="1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1:27" ht="1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1:27" ht="1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1:27" ht="1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1:27" ht="1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1:27" ht="1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1:27" ht="1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1:27" ht="1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1:27" ht="1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1:27" ht="1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1:27" ht="1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1:27" ht="1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1:27" ht="1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1:27" ht="1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1:27" ht="1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1:27" ht="1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1:27" ht="1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1:27" ht="1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1:27" ht="1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1:27" ht="1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1:27" ht="1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1:27" ht="1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1:27" ht="1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1:27" ht="1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1:27" ht="1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1:27" ht="1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1:27" ht="1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1:27" ht="1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1:27" ht="1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1:27" ht="1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1:27" ht="1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1:27" ht="1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1:27" ht="1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1:27" ht="1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1:27" ht="1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1:27" ht="1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1:27" ht="1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1:27" ht="1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1:27" ht="1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1:27" ht="1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1:27" ht="1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1:27" ht="1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1:27" ht="1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1:27" ht="1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1:27" ht="1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1:27" ht="1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1:27" ht="1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1:27" ht="1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1:27" ht="1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1:27" ht="1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1:27" ht="1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1:27" ht="1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1:27" ht="1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1:27" ht="1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1:27" ht="1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1:27" ht="1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1:27" ht="1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1:27" ht="1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1:27" ht="1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1:27" ht="1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1:27" ht="1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1:27" ht="1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1:27" ht="1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1:27" ht="1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1:27" ht="1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1:27" ht="1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1:27" ht="1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1:27" ht="1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1:27" ht="1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1:27" ht="1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1:27" ht="1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1:27" ht="1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1:27" ht="1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1:27" ht="1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1:27" ht="1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1:27" ht="1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1:27" ht="1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1:27" ht="1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1:27" ht="1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1:27" ht="1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1:27" ht="1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1:27" ht="1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1:27" ht="1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1:27" ht="1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1:27" ht="1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1:27" ht="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1:27" ht="1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1:27" ht="1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1:27" ht="1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1:27" ht="1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1:27" ht="1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1:27" ht="1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1:27" ht="1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1:27" ht="1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1:27" ht="1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1:27" ht="1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1:27" ht="1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1:27" ht="1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1:27" ht="1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1:27" ht="1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1:27" ht="1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1:27" ht="1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1:27" ht="1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1:27" ht="1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1:27" ht="1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1:27" ht="1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1:27" ht="1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1:27" ht="1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1:27" ht="1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1:27" ht="1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1:27" ht="1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1:27" ht="1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1:27" ht="1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1:27" ht="1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1:27" ht="1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1:27" ht="1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1:27" ht="1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1:27" ht="1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1:27" ht="1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1:27" ht="1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1:27" ht="1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1:27" ht="1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1:27" ht="1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1:27" ht="1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1:27" ht="1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1:27" ht="1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1:27" ht="1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1:27" ht="1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1:27" ht="1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1:27" ht="1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1:27" ht="1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1:27" ht="1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1:27" ht="1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1:27" ht="1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1:27" ht="1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1:27" ht="1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1:27" ht="1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1:27" ht="1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1:27" ht="1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1:27" ht="1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1:27" ht="1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1:27" ht="1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1:27" ht="1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1:27" ht="1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1:27" ht="1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1:27" ht="1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1:27" ht="1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1:27" ht="1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1:27" ht="1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1:27" ht="1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1:27" ht="1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1:27" ht="1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1:27" ht="1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1:27" ht="1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1:27" ht="1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1:27" ht="1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1:27" ht="1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1:27" ht="1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1:27" ht="1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1:27" ht="1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1:27" ht="1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1:27" ht="1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1:27" ht="1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1:27" ht="1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1:27" ht="1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1:27" ht="1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1:27" ht="1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1:27" ht="1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1:27" ht="1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1:27" ht="1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1:27" ht="1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1:27" ht="1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1:27" ht="1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1:27" ht="1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1:27" ht="1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1:27" ht="1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1:27" ht="1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1:27" ht="1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1:27" ht="1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1:27" ht="1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1:27" ht="1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1:27" ht="1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1:27" ht="1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1:27" ht="1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1:27" ht="1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1:27" ht="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1:27" ht="1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1:27" ht="1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1:27" ht="1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1:27" ht="1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1:27" ht="1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1:27" ht="1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1:27" ht="1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1:27" ht="1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1:27" ht="1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1:27" ht="1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1:27" ht="1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1:27" ht="1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1:27" ht="1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1:27" ht="1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1:27" ht="1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1:27" ht="1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1:27" ht="1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1:27" ht="1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1:27" ht="1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1:27" ht="1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1:27" ht="1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1:27" ht="1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1:27" ht="1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1:27" ht="1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1:27" ht="1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1:27" ht="1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1:27" ht="1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1:27" ht="1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1:27" ht="1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1:27" ht="1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1:27" ht="1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1:27" ht="1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1:27" ht="1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1:27" ht="1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1:27" ht="1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1:27" ht="1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1:27" ht="1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1:27" ht="1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1:27" ht="1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1:27" ht="1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1:27" ht="1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1:27" ht="1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1:27" ht="1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1:27" ht="1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1:27" ht="1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1:27" ht="1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1:27" ht="1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1:27" ht="1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1:27" ht="1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1:27" ht="1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1:27" ht="1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1:27" ht="1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1:27" ht="1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1:27" ht="1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1:27" ht="1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1:27" ht="1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1:27" ht="1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1:27" ht="1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1:27" ht="1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1:27" ht="1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1:27" ht="1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1:27" ht="1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1:27" ht="1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1:27" ht="1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1:27" ht="1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1:27" ht="1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1:27" ht="1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1:27" ht="1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1:27" ht="1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1:27" ht="1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1:27" ht="1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1:27" ht="1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1:27" ht="1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1:27" ht="1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1:27" ht="1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1:27" ht="1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1:27" ht="1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1:27" ht="1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1:27" ht="1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1:27" ht="1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1:27" ht="1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1:27" ht="1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1:27" ht="1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1:27" ht="1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1:27" ht="1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1:27" ht="1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1:27" ht="1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1:27" ht="1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1:27" ht="1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1:27" ht="1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1:27" ht="1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1:27" ht="1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1:27" ht="1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1:27" ht="1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1:27" ht="1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1:27" ht="1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1:27" ht="1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1:27" ht="1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1:27" ht="1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1:27" ht="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1:27" ht="1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1:27" ht="1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1:27" ht="1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1:27" ht="1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1:27" ht="1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1:27" ht="1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1:27" ht="1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1:27" ht="1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1:27" ht="1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1:27" ht="1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1:27" ht="1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1:27" ht="1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1:27" ht="1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1:27" ht="1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1:27" ht="1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1:27" ht="1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1:27" ht="1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1:27" ht="1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1:27" ht="1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1:27" ht="1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1:27" ht="1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1:27" ht="1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1:27" ht="1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1:27" ht="1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1:27" ht="1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1:27" ht="1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1:27" ht="1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1:27" ht="1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1:27" ht="1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1:27" ht="1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1:27" ht="1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1:27" ht="1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1:27" ht="1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1:27" ht="1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1:27" ht="1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1:27" ht="1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1:27" ht="1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1:27" ht="1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1:27" ht="1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1:27" ht="1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1:27" ht="1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1:27" ht="1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1:27" ht="1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1:27" ht="1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1:27" ht="1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1:27" ht="1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1:27" ht="1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1:27" ht="1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1:27" ht="1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1:27" ht="1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1:27" ht="1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1:27" ht="1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1:27" ht="1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1:27" ht="1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1:27" ht="1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1:27" ht="1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1:27" ht="1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1:27" ht="1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1:27" ht="1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1:27" ht="1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1:27" ht="1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1:27" ht="1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1:27" ht="1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1:27" ht="1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1:27" ht="1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1:27" ht="1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1:27" ht="1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1:27" ht="1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1:27" ht="1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1:27" ht="1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1:27" ht="1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1:27" ht="1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1:27" ht="1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1:27" ht="1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1:27" ht="1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1:27" ht="1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1:27" ht="1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1:27" ht="1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1:27" ht="1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1:27" ht="1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1:27" ht="1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1:27" ht="1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1:27" ht="1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1:27" ht="1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1:27" ht="1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1:27" ht="1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1:27" ht="1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1:27" ht="1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1:27" ht="1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1:27" ht="1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1:27" ht="1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1:27" ht="1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1:27" ht="1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1:27" ht="1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1:27" ht="1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1:27" ht="1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1:27" ht="1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1:27" ht="1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1:27" ht="1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1:27" ht="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1:27" ht="1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1:27" ht="1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1:27" ht="1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1:27" ht="1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1:27" ht="1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1:27" ht="1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1:27" ht="1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1:27" ht="1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1:27" ht="1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1:27" ht="1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1:27" ht="1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1:27" ht="1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1:27" ht="1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1:27" ht="1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1:27" ht="1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1:27" ht="1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1:27" ht="1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1:27" ht="1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1:27" ht="1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1:27" ht="1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1:27" ht="1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1:27" ht="1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1:27" ht="1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1:27" ht="1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1:27" ht="1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1:27" ht="1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1:27" ht="1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1:27" ht="1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1:27" ht="1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1:27" ht="1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1:27" ht="1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1:27" ht="1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1:27" ht="1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1:27" ht="1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1:27" ht="1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1:27" ht="1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1:27" ht="1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1:27" ht="1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1:27" ht="1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1:27" ht="1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1:27" ht="1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1:27" ht="1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1:27" ht="1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1:27" ht="1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1:27" ht="1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1:27" ht="1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1:27" ht="1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1:27" ht="1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1:27" ht="1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1:27" ht="1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1:27" ht="1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1:27" ht="1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1:27" ht="1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1:27" ht="1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1:27" ht="1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1:27" ht="1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1:27" ht="1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1:27" ht="1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1:27" ht="1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1:27" ht="1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1:27" ht="1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1:27" ht="1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1:27" ht="1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1:27" ht="1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1:27" ht="1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1:27" ht="1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1:27" ht="1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1:27" ht="1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1:27" ht="1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1:27" ht="1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1:27" ht="1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1:27" ht="1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1:27" ht="1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1:27" ht="1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1:27" ht="1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1:27" ht="1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1:27" ht="1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1:27" ht="1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spans="1:27" ht="1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spans="1:27" ht="1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spans="1:27" ht="1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spans="1:27" ht="1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spans="1:27" ht="1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</sheetData>
  <mergeCells count="2">
    <mergeCell ref="B3:D3"/>
    <mergeCell ref="N5:R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7"/>
  <sheetViews>
    <sheetView showGridLines="0" workbookViewId="0">
      <selection activeCell="B8" sqref="B8"/>
    </sheetView>
  </sheetViews>
  <sheetFormatPr defaultRowHeight="15"/>
  <cols>
    <col min="1" max="1" width="29" style="12" customWidth="1"/>
    <col min="2" max="16384" width="9.140625" style="1"/>
  </cols>
  <sheetData>
    <row r="1" spans="1:27" s="26" customFormat="1" ht="57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s="14" customFormat="1">
      <c r="A2" s="13"/>
    </row>
    <row r="3" spans="1:27" ht="15" customHeight="1">
      <c r="B3" s="4"/>
      <c r="C3" s="4"/>
      <c r="D3" s="4"/>
      <c r="E3" s="4"/>
      <c r="F3" s="4"/>
    </row>
    <row r="4" spans="1:27" ht="21">
      <c r="A4" s="27" t="s">
        <v>26</v>
      </c>
      <c r="C4" s="4"/>
      <c r="D4" s="4"/>
      <c r="E4" s="4"/>
      <c r="F4" s="4"/>
    </row>
    <row r="5" spans="1:27" ht="15" customHeight="1">
      <c r="C5" s="4"/>
      <c r="D5" s="4"/>
      <c r="E5" s="4"/>
      <c r="F5" s="4"/>
      <c r="G5" s="55" t="s">
        <v>25</v>
      </c>
      <c r="H5" s="55"/>
      <c r="I5" s="55"/>
      <c r="J5" s="55"/>
      <c r="K5" s="55"/>
      <c r="L5" s="55"/>
      <c r="M5" s="55"/>
    </row>
    <row r="6" spans="1:27">
      <c r="A6" s="9" t="s">
        <v>28</v>
      </c>
      <c r="B6" s="35">
        <v>0.10150000000000001</v>
      </c>
      <c r="C6" s="4"/>
      <c r="D6" s="4"/>
      <c r="E6" s="4"/>
      <c r="F6" s="4"/>
      <c r="G6" s="55"/>
      <c r="H6" s="55"/>
      <c r="I6" s="55"/>
      <c r="J6" s="55"/>
      <c r="K6" s="55"/>
      <c r="L6" s="55"/>
      <c r="M6" s="55"/>
    </row>
    <row r="7" spans="1:27">
      <c r="A7" s="9" t="s">
        <v>31</v>
      </c>
      <c r="B7" s="35">
        <v>0.32</v>
      </c>
      <c r="C7" s="4"/>
      <c r="D7" s="4"/>
      <c r="E7" s="4"/>
      <c r="F7" s="4"/>
      <c r="G7" s="55"/>
      <c r="H7" s="55"/>
      <c r="I7" s="55"/>
      <c r="J7" s="55"/>
      <c r="K7" s="55"/>
      <c r="L7" s="55"/>
      <c r="M7" s="55"/>
    </row>
    <row r="8" spans="1:27">
      <c r="A8" s="9" t="s">
        <v>13</v>
      </c>
      <c r="B8" s="36">
        <v>0.14000000000000001</v>
      </c>
      <c r="C8" s="4"/>
      <c r="D8" s="4"/>
      <c r="E8" s="4"/>
      <c r="F8" s="4"/>
    </row>
    <row r="9" spans="1:27">
      <c r="A9" s="9" t="s">
        <v>30</v>
      </c>
      <c r="B9" s="36">
        <v>9.4E-2</v>
      </c>
      <c r="C9" s="56" t="s">
        <v>29</v>
      </c>
      <c r="D9" s="57"/>
      <c r="E9" s="57"/>
      <c r="F9" s="57"/>
    </row>
    <row r="10" spans="1:27">
      <c r="B10" s="4"/>
      <c r="C10" s="4"/>
      <c r="D10" s="4"/>
      <c r="E10" s="4"/>
      <c r="F10" s="4"/>
    </row>
    <row r="11" spans="1:27">
      <c r="B11" s="4"/>
      <c r="C11" s="4"/>
      <c r="D11" s="4"/>
      <c r="E11" s="4"/>
      <c r="F11" s="4"/>
    </row>
    <row r="12" spans="1:27">
      <c r="B12" s="4"/>
      <c r="C12" s="4"/>
      <c r="D12" s="4"/>
      <c r="E12" s="4"/>
      <c r="F12" s="4"/>
    </row>
    <row r="17" spans="12:12">
      <c r="L17" s="18"/>
    </row>
  </sheetData>
  <mergeCells count="2">
    <mergeCell ref="G5:M7"/>
    <mergeCell ref="C9:F9"/>
  </mergeCells>
  <conditionalFormatting sqref="B3:F3 B10:F12 C4:F8">
    <cfRule type="cellIs" dxfId="2" priority="3" operator="greaterThan">
      <formula>0</formula>
    </cfRule>
    <cfRule type="cellIs" dxfId="1" priority="4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103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4" sqref="D4"/>
    </sheetView>
  </sheetViews>
  <sheetFormatPr defaultRowHeight="15"/>
  <cols>
    <col min="1" max="1" width="29" style="1" customWidth="1"/>
    <col min="2" max="2" width="13.140625" style="1" customWidth="1"/>
    <col min="3" max="3" width="8.42578125" style="5" customWidth="1"/>
    <col min="4" max="63" width="12.7109375" style="2" bestFit="1" customWidth="1"/>
    <col min="64" max="16384" width="9.140625" style="1"/>
  </cols>
  <sheetData>
    <row r="1" spans="1:63" s="26" customFormat="1" ht="57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63" s="3" customFormat="1">
      <c r="A2" s="6" t="s">
        <v>2</v>
      </c>
      <c r="B2" s="6" t="s">
        <v>0</v>
      </c>
      <c r="C2" s="7" t="s">
        <v>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8" t="s">
        <v>41</v>
      </c>
      <c r="N2" s="8" t="s">
        <v>42</v>
      </c>
      <c r="O2" s="8" t="s">
        <v>43</v>
      </c>
      <c r="P2" s="8" t="s">
        <v>44</v>
      </c>
      <c r="Q2" s="8" t="s">
        <v>45</v>
      </c>
      <c r="R2" s="8" t="s">
        <v>46</v>
      </c>
      <c r="S2" s="8" t="s">
        <v>47</v>
      </c>
      <c r="T2" s="8" t="s">
        <v>48</v>
      </c>
      <c r="U2" s="8" t="s">
        <v>49</v>
      </c>
      <c r="V2" s="8" t="s">
        <v>50</v>
      </c>
      <c r="W2" s="8" t="s">
        <v>51</v>
      </c>
      <c r="X2" s="8" t="s">
        <v>52</v>
      </c>
      <c r="Y2" s="8" t="s">
        <v>53</v>
      </c>
      <c r="Z2" s="8" t="s">
        <v>54</v>
      </c>
      <c r="AA2" s="8" t="s">
        <v>55</v>
      </c>
      <c r="AB2" s="8" t="s">
        <v>56</v>
      </c>
      <c r="AC2" s="8" t="s">
        <v>57</v>
      </c>
      <c r="AD2" s="8" t="s">
        <v>58</v>
      </c>
      <c r="AE2" s="8" t="s">
        <v>59</v>
      </c>
      <c r="AF2" s="8" t="s">
        <v>60</v>
      </c>
      <c r="AG2" s="8" t="s">
        <v>61</v>
      </c>
      <c r="AH2" s="8" t="s">
        <v>62</v>
      </c>
      <c r="AI2" s="8" t="s">
        <v>63</v>
      </c>
      <c r="AJ2" s="8" t="s">
        <v>64</v>
      </c>
      <c r="AK2" s="8" t="s">
        <v>65</v>
      </c>
      <c r="AL2" s="8" t="s">
        <v>66</v>
      </c>
      <c r="AM2" s="8" t="s">
        <v>67</v>
      </c>
      <c r="AN2" s="8" t="s">
        <v>68</v>
      </c>
      <c r="AO2" s="8" t="s">
        <v>69</v>
      </c>
      <c r="AP2" s="8" t="s">
        <v>70</v>
      </c>
      <c r="AQ2" s="8" t="s">
        <v>71</v>
      </c>
      <c r="AR2" s="8" t="s">
        <v>72</v>
      </c>
      <c r="AS2" s="8" t="s">
        <v>73</v>
      </c>
      <c r="AT2" s="8" t="s">
        <v>74</v>
      </c>
      <c r="AU2" s="8" t="s">
        <v>75</v>
      </c>
      <c r="AV2" s="8" t="s">
        <v>76</v>
      </c>
      <c r="AW2" s="8" t="s">
        <v>77</v>
      </c>
      <c r="AX2" s="8" t="s">
        <v>78</v>
      </c>
      <c r="AY2" s="8" t="s">
        <v>79</v>
      </c>
      <c r="AZ2" s="8" t="s">
        <v>80</v>
      </c>
      <c r="BA2" s="8" t="s">
        <v>81</v>
      </c>
      <c r="BB2" s="8" t="s">
        <v>82</v>
      </c>
      <c r="BC2" s="8" t="s">
        <v>83</v>
      </c>
      <c r="BD2" s="8" t="s">
        <v>84</v>
      </c>
      <c r="BE2" s="8" t="s">
        <v>85</v>
      </c>
      <c r="BF2" s="8" t="s">
        <v>86</v>
      </c>
      <c r="BG2" s="8" t="s">
        <v>87</v>
      </c>
      <c r="BH2" s="8" t="s">
        <v>88</v>
      </c>
      <c r="BI2" s="8" t="s">
        <v>89</v>
      </c>
      <c r="BJ2" s="8" t="s">
        <v>90</v>
      </c>
      <c r="BK2" s="8" t="s">
        <v>91</v>
      </c>
    </row>
    <row r="3" spans="1:63">
      <c r="A3" s="37" t="s">
        <v>18</v>
      </c>
      <c r="B3" s="38">
        <v>0</v>
      </c>
      <c r="C3" s="11" t="e">
        <f>B3/SUM($B$3:$B$103)</f>
        <v>#DIV/0!</v>
      </c>
      <c r="D3" s="38" t="s">
        <v>19</v>
      </c>
      <c r="E3" s="38" t="s">
        <v>19</v>
      </c>
      <c r="F3" s="38" t="s">
        <v>19</v>
      </c>
      <c r="G3" s="38" t="s">
        <v>19</v>
      </c>
      <c r="H3" s="38" t="s">
        <v>19</v>
      </c>
      <c r="I3" s="38" t="s">
        <v>19</v>
      </c>
      <c r="J3" s="38" t="s">
        <v>19</v>
      </c>
      <c r="K3" s="38" t="s">
        <v>19</v>
      </c>
      <c r="L3" s="38" t="s">
        <v>19</v>
      </c>
      <c r="M3" s="38" t="s">
        <v>19</v>
      </c>
      <c r="N3" s="38" t="s">
        <v>19</v>
      </c>
      <c r="O3" s="38" t="s">
        <v>19</v>
      </c>
      <c r="P3" s="38" t="s">
        <v>19</v>
      </c>
      <c r="Q3" s="38" t="s">
        <v>19</v>
      </c>
      <c r="R3" s="38" t="s">
        <v>19</v>
      </c>
      <c r="S3" s="38" t="s">
        <v>19</v>
      </c>
      <c r="T3" s="38" t="s">
        <v>19</v>
      </c>
      <c r="U3" s="38" t="s">
        <v>19</v>
      </c>
      <c r="V3" s="38" t="s">
        <v>19</v>
      </c>
      <c r="W3" s="38" t="s">
        <v>19</v>
      </c>
      <c r="X3" s="38" t="s">
        <v>19</v>
      </c>
      <c r="Y3" s="38" t="s">
        <v>19</v>
      </c>
      <c r="Z3" s="38" t="s">
        <v>19</v>
      </c>
      <c r="AA3" s="38" t="s">
        <v>19</v>
      </c>
      <c r="AB3" s="38" t="s">
        <v>19</v>
      </c>
      <c r="AC3" s="38" t="s">
        <v>19</v>
      </c>
      <c r="AD3" s="38" t="s">
        <v>19</v>
      </c>
      <c r="AE3" s="38" t="s">
        <v>19</v>
      </c>
      <c r="AF3" s="38" t="s">
        <v>19</v>
      </c>
      <c r="AG3" s="38" t="s">
        <v>19</v>
      </c>
      <c r="AH3" s="38" t="s">
        <v>19</v>
      </c>
      <c r="AI3" s="38" t="s">
        <v>19</v>
      </c>
      <c r="AJ3" s="38" t="s">
        <v>19</v>
      </c>
      <c r="AK3" s="38" t="s">
        <v>19</v>
      </c>
      <c r="AL3" s="38" t="s">
        <v>19</v>
      </c>
      <c r="AM3" s="38" t="s">
        <v>19</v>
      </c>
      <c r="AN3" s="38" t="s">
        <v>19</v>
      </c>
      <c r="AO3" s="38" t="s">
        <v>19</v>
      </c>
      <c r="AP3" s="38" t="s">
        <v>19</v>
      </c>
      <c r="AQ3" s="38" t="s">
        <v>19</v>
      </c>
      <c r="AR3" s="38" t="s">
        <v>19</v>
      </c>
      <c r="AS3" s="38" t="s">
        <v>19</v>
      </c>
      <c r="AT3" s="38" t="s">
        <v>19</v>
      </c>
      <c r="AU3" s="38" t="s">
        <v>19</v>
      </c>
      <c r="AV3" s="38" t="s">
        <v>19</v>
      </c>
      <c r="AW3" s="38" t="s">
        <v>19</v>
      </c>
      <c r="AX3" s="38" t="s">
        <v>19</v>
      </c>
      <c r="AY3" s="38" t="s">
        <v>19</v>
      </c>
      <c r="AZ3" s="38" t="s">
        <v>19</v>
      </c>
      <c r="BA3" s="38" t="s">
        <v>19</v>
      </c>
      <c r="BB3" s="38" t="s">
        <v>19</v>
      </c>
      <c r="BC3" s="38" t="s">
        <v>19</v>
      </c>
      <c r="BD3" s="38" t="s">
        <v>19</v>
      </c>
      <c r="BE3" s="38" t="s">
        <v>19</v>
      </c>
      <c r="BF3" s="38" t="s">
        <v>19</v>
      </c>
      <c r="BG3" s="38" t="s">
        <v>19</v>
      </c>
      <c r="BH3" s="38" t="s">
        <v>19</v>
      </c>
      <c r="BI3" s="38" t="s">
        <v>19</v>
      </c>
      <c r="BJ3" s="38" t="s">
        <v>19</v>
      </c>
      <c r="BK3" s="38" t="s">
        <v>19</v>
      </c>
    </row>
    <row r="4" spans="1:63">
      <c r="A4" s="37"/>
      <c r="B4" s="10">
        <f t="shared" ref="B4:B34" si="0">SUM(D4:BK4)</f>
        <v>0</v>
      </c>
      <c r="C4" s="11" t="e">
        <f t="shared" ref="C4:C67" si="1">B4/SUM($B$3:$B$103)</f>
        <v>#DIV/0!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</row>
    <row r="5" spans="1:63">
      <c r="A5" s="37"/>
      <c r="B5" s="10">
        <f t="shared" si="0"/>
        <v>0</v>
      </c>
      <c r="C5" s="11" t="e">
        <f t="shared" si="1"/>
        <v>#DIV/0!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</row>
    <row r="6" spans="1:63">
      <c r="A6" s="37"/>
      <c r="B6" s="10">
        <f t="shared" si="0"/>
        <v>0</v>
      </c>
      <c r="C6" s="11" t="e">
        <f t="shared" si="1"/>
        <v>#DIV/0!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</row>
    <row r="7" spans="1:63">
      <c r="A7" s="37"/>
      <c r="B7" s="10">
        <f t="shared" si="0"/>
        <v>0</v>
      </c>
      <c r="C7" s="11" t="e">
        <f t="shared" si="1"/>
        <v>#DIV/0!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</row>
    <row r="8" spans="1:63">
      <c r="A8" s="37"/>
      <c r="B8" s="10">
        <f t="shared" si="0"/>
        <v>0</v>
      </c>
      <c r="C8" s="11" t="e">
        <f t="shared" si="1"/>
        <v>#DIV/0!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</row>
    <row r="9" spans="1:63">
      <c r="A9" s="37"/>
      <c r="B9" s="10">
        <f t="shared" si="0"/>
        <v>0</v>
      </c>
      <c r="C9" s="11" t="e">
        <f t="shared" si="1"/>
        <v>#DIV/0!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</row>
    <row r="10" spans="1:63">
      <c r="A10" s="37"/>
      <c r="B10" s="10">
        <f t="shared" si="0"/>
        <v>0</v>
      </c>
      <c r="C10" s="11" t="e">
        <f t="shared" si="1"/>
        <v>#DIV/0!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</row>
    <row r="11" spans="1:63">
      <c r="A11" s="37"/>
      <c r="B11" s="10">
        <f t="shared" si="0"/>
        <v>0</v>
      </c>
      <c r="C11" s="11" t="e">
        <f t="shared" si="1"/>
        <v>#DIV/0!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</row>
    <row r="12" spans="1:63">
      <c r="A12" s="37"/>
      <c r="B12" s="10">
        <f t="shared" si="0"/>
        <v>0</v>
      </c>
      <c r="C12" s="11" t="e">
        <f t="shared" si="1"/>
        <v>#DIV/0!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</row>
    <row r="13" spans="1:63">
      <c r="A13" s="37"/>
      <c r="B13" s="10">
        <f t="shared" si="0"/>
        <v>0</v>
      </c>
      <c r="C13" s="11" t="e">
        <f t="shared" si="1"/>
        <v>#DIV/0!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</row>
    <row r="14" spans="1:63">
      <c r="A14" s="37"/>
      <c r="B14" s="10">
        <f t="shared" si="0"/>
        <v>0</v>
      </c>
      <c r="C14" s="11" t="e">
        <f t="shared" si="1"/>
        <v>#DIV/0!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</row>
    <row r="15" spans="1:63">
      <c r="A15" s="37"/>
      <c r="B15" s="10">
        <f t="shared" si="0"/>
        <v>0</v>
      </c>
      <c r="C15" s="11" t="e">
        <f t="shared" si="1"/>
        <v>#DIV/0!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</row>
    <row r="16" spans="1:63">
      <c r="A16" s="37"/>
      <c r="B16" s="10">
        <f t="shared" si="0"/>
        <v>0</v>
      </c>
      <c r="C16" s="11" t="e">
        <f t="shared" si="1"/>
        <v>#DIV/0!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</row>
    <row r="17" spans="1:63">
      <c r="A17" s="37"/>
      <c r="B17" s="10">
        <f t="shared" si="0"/>
        <v>0</v>
      </c>
      <c r="C17" s="11" t="e">
        <f t="shared" si="1"/>
        <v>#DIV/0!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</row>
    <row r="18" spans="1:63">
      <c r="A18" s="37"/>
      <c r="B18" s="10">
        <f t="shared" si="0"/>
        <v>0</v>
      </c>
      <c r="C18" s="11" t="e">
        <f t="shared" si="1"/>
        <v>#DIV/0!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</row>
    <row r="19" spans="1:63">
      <c r="A19" s="37"/>
      <c r="B19" s="10">
        <f t="shared" si="0"/>
        <v>0</v>
      </c>
      <c r="C19" s="11" t="e">
        <f t="shared" si="1"/>
        <v>#DIV/0!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</row>
    <row r="20" spans="1:63">
      <c r="A20" s="37"/>
      <c r="B20" s="10">
        <f t="shared" si="0"/>
        <v>0</v>
      </c>
      <c r="C20" s="11" t="e">
        <f t="shared" si="1"/>
        <v>#DIV/0!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</row>
    <row r="21" spans="1:63">
      <c r="A21" s="37"/>
      <c r="B21" s="10">
        <f t="shared" si="0"/>
        <v>0</v>
      </c>
      <c r="C21" s="11" t="e">
        <f t="shared" si="1"/>
        <v>#DIV/0!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</row>
    <row r="22" spans="1:63">
      <c r="A22" s="37"/>
      <c r="B22" s="10">
        <f t="shared" si="0"/>
        <v>0</v>
      </c>
      <c r="C22" s="11" t="e">
        <f t="shared" si="1"/>
        <v>#DIV/0!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</row>
    <row r="23" spans="1:63">
      <c r="A23" s="37"/>
      <c r="B23" s="10">
        <f t="shared" si="0"/>
        <v>0</v>
      </c>
      <c r="C23" s="11" t="e">
        <f t="shared" si="1"/>
        <v>#DIV/0!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</row>
    <row r="24" spans="1:63">
      <c r="A24" s="37"/>
      <c r="B24" s="10">
        <f t="shared" si="0"/>
        <v>0</v>
      </c>
      <c r="C24" s="11" t="e">
        <f t="shared" si="1"/>
        <v>#DIV/0!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</row>
    <row r="25" spans="1:63">
      <c r="A25" s="37"/>
      <c r="B25" s="10">
        <f t="shared" si="0"/>
        <v>0</v>
      </c>
      <c r="C25" s="11" t="e">
        <f t="shared" si="1"/>
        <v>#DIV/0!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</row>
    <row r="26" spans="1:63">
      <c r="A26" s="37"/>
      <c r="B26" s="10">
        <f t="shared" si="0"/>
        <v>0</v>
      </c>
      <c r="C26" s="11" t="e">
        <f t="shared" si="1"/>
        <v>#DIV/0!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</row>
    <row r="27" spans="1:63">
      <c r="A27" s="37"/>
      <c r="B27" s="10">
        <f t="shared" si="0"/>
        <v>0</v>
      </c>
      <c r="C27" s="11" t="e">
        <f t="shared" si="1"/>
        <v>#DIV/0!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</row>
    <row r="28" spans="1:63">
      <c r="A28" s="37"/>
      <c r="B28" s="10">
        <f t="shared" si="0"/>
        <v>0</v>
      </c>
      <c r="C28" s="11" t="e">
        <f t="shared" si="1"/>
        <v>#DIV/0!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</row>
    <row r="29" spans="1:63">
      <c r="A29" s="37"/>
      <c r="B29" s="10">
        <f t="shared" si="0"/>
        <v>0</v>
      </c>
      <c r="C29" s="11" t="e">
        <f t="shared" si="1"/>
        <v>#DIV/0!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</row>
    <row r="30" spans="1:63">
      <c r="A30" s="37"/>
      <c r="B30" s="10">
        <f t="shared" si="0"/>
        <v>0</v>
      </c>
      <c r="C30" s="11" t="e">
        <f t="shared" si="1"/>
        <v>#DIV/0!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</row>
    <row r="31" spans="1:63">
      <c r="A31" s="37"/>
      <c r="B31" s="10">
        <f t="shared" si="0"/>
        <v>0</v>
      </c>
      <c r="C31" s="11" t="e">
        <f t="shared" si="1"/>
        <v>#DIV/0!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</row>
    <row r="32" spans="1:63">
      <c r="A32" s="37"/>
      <c r="B32" s="10">
        <f t="shared" si="0"/>
        <v>0</v>
      </c>
      <c r="C32" s="11" t="e">
        <f t="shared" si="1"/>
        <v>#DIV/0!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</row>
    <row r="33" spans="1:63">
      <c r="A33" s="37"/>
      <c r="B33" s="10">
        <f t="shared" si="0"/>
        <v>0</v>
      </c>
      <c r="C33" s="11" t="e">
        <f t="shared" si="1"/>
        <v>#DIV/0!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</row>
    <row r="34" spans="1:63">
      <c r="A34" s="37"/>
      <c r="B34" s="10">
        <f t="shared" si="0"/>
        <v>0</v>
      </c>
      <c r="C34" s="11" t="e">
        <f t="shared" si="1"/>
        <v>#DIV/0!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</row>
    <row r="35" spans="1:63">
      <c r="A35" s="37"/>
      <c r="B35" s="10">
        <f t="shared" ref="B35:B66" si="2">SUM(D35:BK35)</f>
        <v>0</v>
      </c>
      <c r="C35" s="11" t="e">
        <f t="shared" si="1"/>
        <v>#DIV/0!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</row>
    <row r="36" spans="1:63">
      <c r="A36" s="37"/>
      <c r="B36" s="10">
        <f t="shared" si="2"/>
        <v>0</v>
      </c>
      <c r="C36" s="11" t="e">
        <f t="shared" si="1"/>
        <v>#DIV/0!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</row>
    <row r="37" spans="1:63">
      <c r="A37" s="37"/>
      <c r="B37" s="10">
        <f t="shared" si="2"/>
        <v>0</v>
      </c>
      <c r="C37" s="11" t="e">
        <f t="shared" si="1"/>
        <v>#DIV/0!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</row>
    <row r="38" spans="1:63">
      <c r="A38" s="37"/>
      <c r="B38" s="10">
        <f t="shared" si="2"/>
        <v>0</v>
      </c>
      <c r="C38" s="11" t="e">
        <f t="shared" si="1"/>
        <v>#DIV/0!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</row>
    <row r="39" spans="1:63">
      <c r="A39" s="37"/>
      <c r="B39" s="10">
        <f t="shared" si="2"/>
        <v>0</v>
      </c>
      <c r="C39" s="11" t="e">
        <f t="shared" si="1"/>
        <v>#DIV/0!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</row>
    <row r="40" spans="1:63">
      <c r="A40" s="37"/>
      <c r="B40" s="10">
        <f t="shared" si="2"/>
        <v>0</v>
      </c>
      <c r="C40" s="11" t="e">
        <f t="shared" si="1"/>
        <v>#DIV/0!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</row>
    <row r="41" spans="1:63">
      <c r="A41" s="37"/>
      <c r="B41" s="10">
        <f t="shared" si="2"/>
        <v>0</v>
      </c>
      <c r="C41" s="11" t="e">
        <f t="shared" si="1"/>
        <v>#DIV/0!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</row>
    <row r="42" spans="1:63">
      <c r="A42" s="37"/>
      <c r="B42" s="10">
        <f t="shared" si="2"/>
        <v>0</v>
      </c>
      <c r="C42" s="11" t="e">
        <f t="shared" si="1"/>
        <v>#DIV/0!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</row>
    <row r="43" spans="1:63">
      <c r="A43" s="37"/>
      <c r="B43" s="10">
        <f t="shared" si="2"/>
        <v>0</v>
      </c>
      <c r="C43" s="11" t="e">
        <f t="shared" si="1"/>
        <v>#DIV/0!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</row>
    <row r="44" spans="1:63">
      <c r="A44" s="37"/>
      <c r="B44" s="10">
        <f t="shared" si="2"/>
        <v>0</v>
      </c>
      <c r="C44" s="11" t="e">
        <f t="shared" si="1"/>
        <v>#DIV/0!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</row>
    <row r="45" spans="1:63">
      <c r="A45" s="37"/>
      <c r="B45" s="10">
        <f t="shared" si="2"/>
        <v>0</v>
      </c>
      <c r="C45" s="11" t="e">
        <f t="shared" si="1"/>
        <v>#DIV/0!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</row>
    <row r="46" spans="1:63">
      <c r="A46" s="37"/>
      <c r="B46" s="10">
        <f t="shared" si="2"/>
        <v>0</v>
      </c>
      <c r="C46" s="11" t="e">
        <f t="shared" si="1"/>
        <v>#DIV/0!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</row>
    <row r="47" spans="1:63">
      <c r="A47" s="37"/>
      <c r="B47" s="10">
        <f t="shared" si="2"/>
        <v>0</v>
      </c>
      <c r="C47" s="11" t="e">
        <f t="shared" si="1"/>
        <v>#DIV/0!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</row>
    <row r="48" spans="1:63">
      <c r="A48" s="37"/>
      <c r="B48" s="10">
        <f t="shared" si="2"/>
        <v>0</v>
      </c>
      <c r="C48" s="11" t="e">
        <f t="shared" si="1"/>
        <v>#DIV/0!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</row>
    <row r="49" spans="1:63">
      <c r="A49" s="37"/>
      <c r="B49" s="10">
        <f t="shared" si="2"/>
        <v>0</v>
      </c>
      <c r="C49" s="11" t="e">
        <f t="shared" si="1"/>
        <v>#DIV/0!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</row>
    <row r="50" spans="1:63">
      <c r="A50" s="37"/>
      <c r="B50" s="10">
        <f t="shared" si="2"/>
        <v>0</v>
      </c>
      <c r="C50" s="11" t="e">
        <f t="shared" si="1"/>
        <v>#DIV/0!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</row>
    <row r="51" spans="1:63">
      <c r="A51" s="37"/>
      <c r="B51" s="10">
        <f t="shared" si="2"/>
        <v>0</v>
      </c>
      <c r="C51" s="11" t="e">
        <f t="shared" si="1"/>
        <v>#DIV/0!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</row>
    <row r="52" spans="1:63">
      <c r="A52" s="37"/>
      <c r="B52" s="10">
        <f t="shared" si="2"/>
        <v>0</v>
      </c>
      <c r="C52" s="11" t="e">
        <f t="shared" si="1"/>
        <v>#DIV/0!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</row>
    <row r="53" spans="1:63">
      <c r="A53" s="37"/>
      <c r="B53" s="10">
        <f t="shared" si="2"/>
        <v>0</v>
      </c>
      <c r="C53" s="11" t="e">
        <f t="shared" si="1"/>
        <v>#DIV/0!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</row>
    <row r="54" spans="1:63">
      <c r="A54" s="37"/>
      <c r="B54" s="10">
        <f t="shared" si="2"/>
        <v>0</v>
      </c>
      <c r="C54" s="11" t="e">
        <f t="shared" si="1"/>
        <v>#DIV/0!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</row>
    <row r="55" spans="1:63">
      <c r="A55" s="37"/>
      <c r="B55" s="10">
        <f t="shared" si="2"/>
        <v>0</v>
      </c>
      <c r="C55" s="11" t="e">
        <f t="shared" si="1"/>
        <v>#DIV/0!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</row>
    <row r="56" spans="1:63">
      <c r="A56" s="37"/>
      <c r="B56" s="10">
        <f t="shared" si="2"/>
        <v>0</v>
      </c>
      <c r="C56" s="11" t="e">
        <f t="shared" si="1"/>
        <v>#DIV/0!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</row>
    <row r="57" spans="1:63">
      <c r="A57" s="37"/>
      <c r="B57" s="10">
        <f t="shared" si="2"/>
        <v>0</v>
      </c>
      <c r="C57" s="11" t="e">
        <f t="shared" si="1"/>
        <v>#DIV/0!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</row>
    <row r="58" spans="1:63">
      <c r="A58" s="37"/>
      <c r="B58" s="10">
        <f t="shared" si="2"/>
        <v>0</v>
      </c>
      <c r="C58" s="11" t="e">
        <f t="shared" si="1"/>
        <v>#DIV/0!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</row>
    <row r="59" spans="1:63">
      <c r="A59" s="37"/>
      <c r="B59" s="10">
        <f t="shared" si="2"/>
        <v>0</v>
      </c>
      <c r="C59" s="11" t="e">
        <f t="shared" si="1"/>
        <v>#DIV/0!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</row>
    <row r="60" spans="1:63">
      <c r="A60" s="37"/>
      <c r="B60" s="10">
        <f t="shared" si="2"/>
        <v>0</v>
      </c>
      <c r="C60" s="11" t="e">
        <f t="shared" si="1"/>
        <v>#DIV/0!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</row>
    <row r="61" spans="1:63">
      <c r="A61" s="37"/>
      <c r="B61" s="10">
        <f t="shared" si="2"/>
        <v>0</v>
      </c>
      <c r="C61" s="11" t="e">
        <f t="shared" si="1"/>
        <v>#DIV/0!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</row>
    <row r="62" spans="1:63">
      <c r="A62" s="37"/>
      <c r="B62" s="10">
        <f t="shared" si="2"/>
        <v>0</v>
      </c>
      <c r="C62" s="11" t="e">
        <f t="shared" si="1"/>
        <v>#DIV/0!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</row>
    <row r="63" spans="1:63">
      <c r="A63" s="37"/>
      <c r="B63" s="10">
        <f t="shared" si="2"/>
        <v>0</v>
      </c>
      <c r="C63" s="11" t="e">
        <f t="shared" si="1"/>
        <v>#DIV/0!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</row>
    <row r="64" spans="1:63">
      <c r="A64" s="37"/>
      <c r="B64" s="10">
        <f t="shared" si="2"/>
        <v>0</v>
      </c>
      <c r="C64" s="11" t="e">
        <f t="shared" si="1"/>
        <v>#DIV/0!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</row>
    <row r="65" spans="1:63">
      <c r="A65" s="37"/>
      <c r="B65" s="10">
        <f t="shared" si="2"/>
        <v>0</v>
      </c>
      <c r="C65" s="11" t="e">
        <f t="shared" si="1"/>
        <v>#DIV/0!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</row>
    <row r="66" spans="1:63">
      <c r="A66" s="37"/>
      <c r="B66" s="10">
        <f t="shared" si="2"/>
        <v>0</v>
      </c>
      <c r="C66" s="11" t="e">
        <f t="shared" si="1"/>
        <v>#DIV/0!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</row>
    <row r="67" spans="1:63">
      <c r="A67" s="37"/>
      <c r="B67" s="10">
        <f t="shared" ref="B67:B103" si="3">SUM(D67:BK67)</f>
        <v>0</v>
      </c>
      <c r="C67" s="11" t="e">
        <f t="shared" si="1"/>
        <v>#DIV/0!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</row>
    <row r="68" spans="1:63">
      <c r="A68" s="37"/>
      <c r="B68" s="10">
        <f t="shared" si="3"/>
        <v>0</v>
      </c>
      <c r="C68" s="11" t="e">
        <f t="shared" ref="C68:C103" si="4">B68/SUM($B$3:$B$103)</f>
        <v>#DIV/0!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</row>
    <row r="69" spans="1:63">
      <c r="A69" s="37"/>
      <c r="B69" s="10">
        <f t="shared" si="3"/>
        <v>0</v>
      </c>
      <c r="C69" s="11" t="e">
        <f t="shared" si="4"/>
        <v>#DIV/0!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</row>
    <row r="70" spans="1:63">
      <c r="A70" s="37"/>
      <c r="B70" s="10">
        <f t="shared" si="3"/>
        <v>0</v>
      </c>
      <c r="C70" s="11" t="e">
        <f t="shared" si="4"/>
        <v>#DIV/0!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</row>
    <row r="71" spans="1:63">
      <c r="A71" s="37"/>
      <c r="B71" s="10">
        <f t="shared" si="3"/>
        <v>0</v>
      </c>
      <c r="C71" s="11" t="e">
        <f t="shared" si="4"/>
        <v>#DIV/0!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</row>
    <row r="72" spans="1:63">
      <c r="A72" s="37"/>
      <c r="B72" s="10">
        <f t="shared" si="3"/>
        <v>0</v>
      </c>
      <c r="C72" s="11" t="e">
        <f t="shared" si="4"/>
        <v>#DIV/0!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</row>
    <row r="73" spans="1:63">
      <c r="A73" s="37"/>
      <c r="B73" s="10">
        <f t="shared" si="3"/>
        <v>0</v>
      </c>
      <c r="C73" s="11" t="e">
        <f t="shared" si="4"/>
        <v>#DIV/0!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</row>
    <row r="74" spans="1:63">
      <c r="A74" s="37"/>
      <c r="B74" s="10">
        <f t="shared" si="3"/>
        <v>0</v>
      </c>
      <c r="C74" s="11" t="e">
        <f t="shared" si="4"/>
        <v>#DIV/0!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</row>
    <row r="75" spans="1:63">
      <c r="A75" s="37"/>
      <c r="B75" s="10">
        <f t="shared" si="3"/>
        <v>0</v>
      </c>
      <c r="C75" s="11" t="e">
        <f t="shared" si="4"/>
        <v>#DIV/0!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</row>
    <row r="76" spans="1:63">
      <c r="A76" s="37"/>
      <c r="B76" s="10">
        <f t="shared" si="3"/>
        <v>0</v>
      </c>
      <c r="C76" s="11" t="e">
        <f t="shared" si="4"/>
        <v>#DIV/0!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</row>
    <row r="77" spans="1:63">
      <c r="A77" s="37"/>
      <c r="B77" s="10">
        <f t="shared" si="3"/>
        <v>0</v>
      </c>
      <c r="C77" s="11" t="e">
        <f t="shared" si="4"/>
        <v>#DIV/0!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</row>
    <row r="78" spans="1:63">
      <c r="A78" s="37"/>
      <c r="B78" s="10">
        <f t="shared" si="3"/>
        <v>0</v>
      </c>
      <c r="C78" s="11" t="e">
        <f t="shared" si="4"/>
        <v>#DIV/0!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</row>
    <row r="79" spans="1:63">
      <c r="A79" s="37"/>
      <c r="B79" s="10">
        <f t="shared" si="3"/>
        <v>0</v>
      </c>
      <c r="C79" s="11" t="e">
        <f t="shared" si="4"/>
        <v>#DIV/0!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</row>
    <row r="80" spans="1:63">
      <c r="A80" s="37"/>
      <c r="B80" s="10">
        <f t="shared" si="3"/>
        <v>0</v>
      </c>
      <c r="C80" s="11" t="e">
        <f t="shared" si="4"/>
        <v>#DIV/0!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</row>
    <row r="81" spans="1:63">
      <c r="A81" s="37"/>
      <c r="B81" s="10">
        <f t="shared" si="3"/>
        <v>0</v>
      </c>
      <c r="C81" s="11" t="e">
        <f t="shared" si="4"/>
        <v>#DIV/0!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</row>
    <row r="82" spans="1:63">
      <c r="A82" s="37"/>
      <c r="B82" s="10">
        <f t="shared" si="3"/>
        <v>0</v>
      </c>
      <c r="C82" s="11" t="e">
        <f t="shared" si="4"/>
        <v>#DIV/0!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</row>
    <row r="83" spans="1:63">
      <c r="A83" s="37"/>
      <c r="B83" s="10">
        <f t="shared" si="3"/>
        <v>0</v>
      </c>
      <c r="C83" s="11" t="e">
        <f t="shared" si="4"/>
        <v>#DIV/0!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</row>
    <row r="84" spans="1:63">
      <c r="A84" s="37"/>
      <c r="B84" s="10">
        <f t="shared" si="3"/>
        <v>0</v>
      </c>
      <c r="C84" s="11" t="e">
        <f t="shared" si="4"/>
        <v>#DIV/0!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</row>
    <row r="85" spans="1:63">
      <c r="A85" s="37"/>
      <c r="B85" s="10">
        <f t="shared" si="3"/>
        <v>0</v>
      </c>
      <c r="C85" s="11" t="e">
        <f t="shared" si="4"/>
        <v>#DIV/0!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</row>
    <row r="86" spans="1:63">
      <c r="A86" s="37"/>
      <c r="B86" s="10">
        <f t="shared" si="3"/>
        <v>0</v>
      </c>
      <c r="C86" s="11" t="e">
        <f t="shared" si="4"/>
        <v>#DIV/0!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</row>
    <row r="87" spans="1:63">
      <c r="A87" s="37"/>
      <c r="B87" s="10">
        <f t="shared" si="3"/>
        <v>0</v>
      </c>
      <c r="C87" s="11" t="e">
        <f t="shared" si="4"/>
        <v>#DIV/0!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</row>
    <row r="88" spans="1:63">
      <c r="A88" s="37"/>
      <c r="B88" s="10">
        <f t="shared" si="3"/>
        <v>0</v>
      </c>
      <c r="C88" s="11" t="e">
        <f t="shared" si="4"/>
        <v>#DIV/0!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</row>
    <row r="89" spans="1:63">
      <c r="A89" s="37"/>
      <c r="B89" s="10">
        <f t="shared" si="3"/>
        <v>0</v>
      </c>
      <c r="C89" s="11" t="e">
        <f t="shared" si="4"/>
        <v>#DIV/0!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</row>
    <row r="90" spans="1:63">
      <c r="A90" s="37"/>
      <c r="B90" s="10">
        <f t="shared" si="3"/>
        <v>0</v>
      </c>
      <c r="C90" s="11" t="e">
        <f t="shared" si="4"/>
        <v>#DIV/0!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</row>
    <row r="91" spans="1:63">
      <c r="A91" s="37"/>
      <c r="B91" s="10">
        <f t="shared" si="3"/>
        <v>0</v>
      </c>
      <c r="C91" s="11" t="e">
        <f t="shared" si="4"/>
        <v>#DIV/0!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</row>
    <row r="92" spans="1:63">
      <c r="A92" s="37"/>
      <c r="B92" s="10">
        <f t="shared" si="3"/>
        <v>0</v>
      </c>
      <c r="C92" s="11" t="e">
        <f t="shared" si="4"/>
        <v>#DIV/0!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</row>
    <row r="93" spans="1:63">
      <c r="A93" s="37"/>
      <c r="B93" s="10">
        <f t="shared" si="3"/>
        <v>0</v>
      </c>
      <c r="C93" s="11" t="e">
        <f t="shared" si="4"/>
        <v>#DIV/0!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</row>
    <row r="94" spans="1:63">
      <c r="A94" s="37"/>
      <c r="B94" s="10">
        <f t="shared" si="3"/>
        <v>0</v>
      </c>
      <c r="C94" s="11" t="e">
        <f t="shared" si="4"/>
        <v>#DIV/0!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</row>
    <row r="95" spans="1:63">
      <c r="A95" s="37"/>
      <c r="B95" s="10">
        <f t="shared" si="3"/>
        <v>0</v>
      </c>
      <c r="C95" s="11" t="e">
        <f t="shared" si="4"/>
        <v>#DIV/0!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</row>
    <row r="96" spans="1:63">
      <c r="A96" s="37"/>
      <c r="B96" s="10">
        <f t="shared" si="3"/>
        <v>0</v>
      </c>
      <c r="C96" s="11" t="e">
        <f t="shared" si="4"/>
        <v>#DIV/0!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</row>
    <row r="97" spans="1:63">
      <c r="A97" s="37"/>
      <c r="B97" s="10">
        <f t="shared" si="3"/>
        <v>0</v>
      </c>
      <c r="C97" s="11" t="e">
        <f t="shared" si="4"/>
        <v>#DIV/0!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</row>
    <row r="98" spans="1:63">
      <c r="A98" s="37"/>
      <c r="B98" s="10">
        <f t="shared" si="3"/>
        <v>0</v>
      </c>
      <c r="C98" s="11" t="e">
        <f t="shared" si="4"/>
        <v>#DIV/0!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</row>
    <row r="99" spans="1:63">
      <c r="A99" s="37"/>
      <c r="B99" s="10">
        <f t="shared" si="3"/>
        <v>0</v>
      </c>
      <c r="C99" s="11" t="e">
        <f t="shared" si="4"/>
        <v>#DIV/0!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</row>
    <row r="100" spans="1:63">
      <c r="A100" s="37"/>
      <c r="B100" s="10">
        <f t="shared" si="3"/>
        <v>0</v>
      </c>
      <c r="C100" s="11" t="e">
        <f t="shared" si="4"/>
        <v>#DIV/0!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</row>
    <row r="101" spans="1:63">
      <c r="A101" s="37"/>
      <c r="B101" s="10">
        <f t="shared" si="3"/>
        <v>0</v>
      </c>
      <c r="C101" s="11" t="e">
        <f t="shared" si="4"/>
        <v>#DIV/0!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</row>
    <row r="102" spans="1:63">
      <c r="A102" s="37"/>
      <c r="B102" s="10">
        <f t="shared" si="3"/>
        <v>0</v>
      </c>
      <c r="C102" s="11" t="e">
        <f t="shared" si="4"/>
        <v>#DIV/0!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</row>
    <row r="103" spans="1:63">
      <c r="A103" s="37"/>
      <c r="B103" s="10">
        <f t="shared" si="3"/>
        <v>0</v>
      </c>
      <c r="C103" s="11" t="e">
        <f t="shared" si="4"/>
        <v>#DIV/0!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3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/>
  <cols>
    <col min="1" max="1" width="29" style="1" customWidth="1"/>
    <col min="2" max="2" width="13.140625" style="1" customWidth="1"/>
    <col min="3" max="3" width="8.42578125" style="5" customWidth="1"/>
    <col min="4" max="63" width="12.7109375" style="2" bestFit="1" customWidth="1"/>
    <col min="64" max="16384" width="9.140625" style="1"/>
  </cols>
  <sheetData>
    <row r="1" spans="1:63" s="26" customFormat="1" ht="57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63" s="3" customFormat="1">
      <c r="A2" s="6" t="s">
        <v>3</v>
      </c>
      <c r="B2" s="6" t="s">
        <v>0</v>
      </c>
      <c r="C2" s="7" t="s">
        <v>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8" t="s">
        <v>41</v>
      </c>
      <c r="N2" s="8" t="s">
        <v>42</v>
      </c>
      <c r="O2" s="8" t="s">
        <v>43</v>
      </c>
      <c r="P2" s="8" t="s">
        <v>44</v>
      </c>
      <c r="Q2" s="8" t="s">
        <v>45</v>
      </c>
      <c r="R2" s="8" t="s">
        <v>46</v>
      </c>
      <c r="S2" s="8" t="s">
        <v>47</v>
      </c>
      <c r="T2" s="8" t="s">
        <v>48</v>
      </c>
      <c r="U2" s="8" t="s">
        <v>49</v>
      </c>
      <c r="V2" s="8" t="s">
        <v>50</v>
      </c>
      <c r="W2" s="8" t="s">
        <v>51</v>
      </c>
      <c r="X2" s="8" t="s">
        <v>52</v>
      </c>
      <c r="Y2" s="8" t="s">
        <v>53</v>
      </c>
      <c r="Z2" s="8" t="s">
        <v>54</v>
      </c>
      <c r="AA2" s="8" t="s">
        <v>55</v>
      </c>
      <c r="AB2" s="8" t="s">
        <v>56</v>
      </c>
      <c r="AC2" s="8" t="s">
        <v>57</v>
      </c>
      <c r="AD2" s="8" t="s">
        <v>58</v>
      </c>
      <c r="AE2" s="8" t="s">
        <v>59</v>
      </c>
      <c r="AF2" s="8" t="s">
        <v>60</v>
      </c>
      <c r="AG2" s="8" t="s">
        <v>61</v>
      </c>
      <c r="AH2" s="8" t="s">
        <v>62</v>
      </c>
      <c r="AI2" s="8" t="s">
        <v>63</v>
      </c>
      <c r="AJ2" s="8" t="s">
        <v>64</v>
      </c>
      <c r="AK2" s="8" t="s">
        <v>65</v>
      </c>
      <c r="AL2" s="8" t="s">
        <v>66</v>
      </c>
      <c r="AM2" s="8" t="s">
        <v>67</v>
      </c>
      <c r="AN2" s="8" t="s">
        <v>68</v>
      </c>
      <c r="AO2" s="8" t="s">
        <v>69</v>
      </c>
      <c r="AP2" s="8" t="s">
        <v>70</v>
      </c>
      <c r="AQ2" s="8" t="s">
        <v>71</v>
      </c>
      <c r="AR2" s="8" t="s">
        <v>72</v>
      </c>
      <c r="AS2" s="8" t="s">
        <v>73</v>
      </c>
      <c r="AT2" s="8" t="s">
        <v>74</v>
      </c>
      <c r="AU2" s="8" t="s">
        <v>75</v>
      </c>
      <c r="AV2" s="8" t="s">
        <v>76</v>
      </c>
      <c r="AW2" s="8" t="s">
        <v>77</v>
      </c>
      <c r="AX2" s="8" t="s">
        <v>78</v>
      </c>
      <c r="AY2" s="8" t="s">
        <v>79</v>
      </c>
      <c r="AZ2" s="8" t="s">
        <v>80</v>
      </c>
      <c r="BA2" s="8" t="s">
        <v>81</v>
      </c>
      <c r="BB2" s="8" t="s">
        <v>82</v>
      </c>
      <c r="BC2" s="8" t="s">
        <v>83</v>
      </c>
      <c r="BD2" s="8" t="s">
        <v>84</v>
      </c>
      <c r="BE2" s="8" t="s">
        <v>85</v>
      </c>
      <c r="BF2" s="8" t="s">
        <v>86</v>
      </c>
      <c r="BG2" s="8" t="s">
        <v>87</v>
      </c>
      <c r="BH2" s="8" t="s">
        <v>88</v>
      </c>
      <c r="BI2" s="8" t="s">
        <v>89</v>
      </c>
      <c r="BJ2" s="8" t="s">
        <v>90</v>
      </c>
      <c r="BK2" s="8" t="s">
        <v>91</v>
      </c>
    </row>
    <row r="3" spans="1:63">
      <c r="A3" s="37"/>
      <c r="B3" s="10">
        <f t="shared" ref="B3:B34" si="0">SUM(D3:BK3)</f>
        <v>0</v>
      </c>
      <c r="C3" s="11" t="e">
        <f>B3/SUM($B$3:$B$103)</f>
        <v>#DIV/0!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</row>
    <row r="4" spans="1:63">
      <c r="A4" s="37"/>
      <c r="B4" s="10">
        <f t="shared" si="0"/>
        <v>0</v>
      </c>
      <c r="C4" s="11" t="e">
        <f t="shared" ref="C4:C67" si="1">B4/SUM($B$3:$B$103)</f>
        <v>#DIV/0!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</row>
    <row r="5" spans="1:63">
      <c r="A5" s="37"/>
      <c r="B5" s="10">
        <f t="shared" si="0"/>
        <v>0</v>
      </c>
      <c r="C5" s="11" t="e">
        <f t="shared" si="1"/>
        <v>#DIV/0!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</row>
    <row r="6" spans="1:63">
      <c r="A6" s="37"/>
      <c r="B6" s="10">
        <f t="shared" si="0"/>
        <v>0</v>
      </c>
      <c r="C6" s="11" t="e">
        <f t="shared" si="1"/>
        <v>#DIV/0!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</row>
    <row r="7" spans="1:63">
      <c r="A7" s="37"/>
      <c r="B7" s="10">
        <f t="shared" si="0"/>
        <v>0</v>
      </c>
      <c r="C7" s="11" t="e">
        <f t="shared" si="1"/>
        <v>#DIV/0!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</row>
    <row r="8" spans="1:63">
      <c r="A8" s="37"/>
      <c r="B8" s="10">
        <f t="shared" si="0"/>
        <v>0</v>
      </c>
      <c r="C8" s="11" t="e">
        <f t="shared" si="1"/>
        <v>#DIV/0!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</row>
    <row r="9" spans="1:63">
      <c r="A9" s="37"/>
      <c r="B9" s="10">
        <f t="shared" si="0"/>
        <v>0</v>
      </c>
      <c r="C9" s="11" t="e">
        <f t="shared" si="1"/>
        <v>#DIV/0!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</row>
    <row r="10" spans="1:63">
      <c r="A10" s="37"/>
      <c r="B10" s="10">
        <f t="shared" si="0"/>
        <v>0</v>
      </c>
      <c r="C10" s="11" t="e">
        <f t="shared" si="1"/>
        <v>#DIV/0!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</row>
    <row r="11" spans="1:63">
      <c r="A11" s="37"/>
      <c r="B11" s="10">
        <f t="shared" si="0"/>
        <v>0</v>
      </c>
      <c r="C11" s="11" t="e">
        <f t="shared" si="1"/>
        <v>#DIV/0!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</row>
    <row r="12" spans="1:63">
      <c r="A12" s="37"/>
      <c r="B12" s="10">
        <f t="shared" si="0"/>
        <v>0</v>
      </c>
      <c r="C12" s="11" t="e">
        <f t="shared" si="1"/>
        <v>#DIV/0!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</row>
    <row r="13" spans="1:63">
      <c r="A13" s="37"/>
      <c r="B13" s="10">
        <f t="shared" si="0"/>
        <v>0</v>
      </c>
      <c r="C13" s="11" t="e">
        <f t="shared" si="1"/>
        <v>#DIV/0!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</row>
    <row r="14" spans="1:63">
      <c r="A14" s="37"/>
      <c r="B14" s="10">
        <f t="shared" si="0"/>
        <v>0</v>
      </c>
      <c r="C14" s="11" t="e">
        <f t="shared" si="1"/>
        <v>#DIV/0!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</row>
    <row r="15" spans="1:63">
      <c r="A15" s="37"/>
      <c r="B15" s="10">
        <f t="shared" si="0"/>
        <v>0</v>
      </c>
      <c r="C15" s="11" t="e">
        <f t="shared" si="1"/>
        <v>#DIV/0!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</row>
    <row r="16" spans="1:63">
      <c r="A16" s="37"/>
      <c r="B16" s="10">
        <f t="shared" si="0"/>
        <v>0</v>
      </c>
      <c r="C16" s="11" t="e">
        <f t="shared" si="1"/>
        <v>#DIV/0!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</row>
    <row r="17" spans="1:63">
      <c r="A17" s="37"/>
      <c r="B17" s="10">
        <f t="shared" si="0"/>
        <v>0</v>
      </c>
      <c r="C17" s="11" t="e">
        <f t="shared" si="1"/>
        <v>#DIV/0!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</row>
    <row r="18" spans="1:63">
      <c r="A18" s="37"/>
      <c r="B18" s="10">
        <f t="shared" si="0"/>
        <v>0</v>
      </c>
      <c r="C18" s="11" t="e">
        <f t="shared" si="1"/>
        <v>#DIV/0!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</row>
    <row r="19" spans="1:63">
      <c r="A19" s="37"/>
      <c r="B19" s="10">
        <f t="shared" si="0"/>
        <v>0</v>
      </c>
      <c r="C19" s="11" t="e">
        <f t="shared" si="1"/>
        <v>#DIV/0!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</row>
    <row r="20" spans="1:63">
      <c r="A20" s="37"/>
      <c r="B20" s="10">
        <f t="shared" si="0"/>
        <v>0</v>
      </c>
      <c r="C20" s="11" t="e">
        <f t="shared" si="1"/>
        <v>#DIV/0!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</row>
    <row r="21" spans="1:63">
      <c r="A21" s="37"/>
      <c r="B21" s="10">
        <f t="shared" si="0"/>
        <v>0</v>
      </c>
      <c r="C21" s="11" t="e">
        <f t="shared" si="1"/>
        <v>#DIV/0!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</row>
    <row r="22" spans="1:63">
      <c r="A22" s="37"/>
      <c r="B22" s="10">
        <f t="shared" si="0"/>
        <v>0</v>
      </c>
      <c r="C22" s="11" t="e">
        <f t="shared" si="1"/>
        <v>#DIV/0!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</row>
    <row r="23" spans="1:63">
      <c r="A23" s="37"/>
      <c r="B23" s="10">
        <f t="shared" si="0"/>
        <v>0</v>
      </c>
      <c r="C23" s="11" t="e">
        <f t="shared" si="1"/>
        <v>#DIV/0!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</row>
    <row r="24" spans="1:63">
      <c r="A24" s="37"/>
      <c r="B24" s="10">
        <f t="shared" si="0"/>
        <v>0</v>
      </c>
      <c r="C24" s="11" t="e">
        <f t="shared" si="1"/>
        <v>#DIV/0!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</row>
    <row r="25" spans="1:63">
      <c r="A25" s="37"/>
      <c r="B25" s="10">
        <f t="shared" si="0"/>
        <v>0</v>
      </c>
      <c r="C25" s="11" t="e">
        <f t="shared" si="1"/>
        <v>#DIV/0!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</row>
    <row r="26" spans="1:63">
      <c r="A26" s="37"/>
      <c r="B26" s="10">
        <f t="shared" si="0"/>
        <v>0</v>
      </c>
      <c r="C26" s="11" t="e">
        <f t="shared" si="1"/>
        <v>#DIV/0!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</row>
    <row r="27" spans="1:63">
      <c r="A27" s="37"/>
      <c r="B27" s="10">
        <f t="shared" si="0"/>
        <v>0</v>
      </c>
      <c r="C27" s="11" t="e">
        <f t="shared" si="1"/>
        <v>#DIV/0!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</row>
    <row r="28" spans="1:63">
      <c r="A28" s="37"/>
      <c r="B28" s="10">
        <f t="shared" si="0"/>
        <v>0</v>
      </c>
      <c r="C28" s="11" t="e">
        <f t="shared" si="1"/>
        <v>#DIV/0!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</row>
    <row r="29" spans="1:63">
      <c r="A29" s="37"/>
      <c r="B29" s="10">
        <f t="shared" si="0"/>
        <v>0</v>
      </c>
      <c r="C29" s="11" t="e">
        <f t="shared" si="1"/>
        <v>#DIV/0!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</row>
    <row r="30" spans="1:63">
      <c r="A30" s="37"/>
      <c r="B30" s="10">
        <f t="shared" si="0"/>
        <v>0</v>
      </c>
      <c r="C30" s="11" t="e">
        <f t="shared" si="1"/>
        <v>#DIV/0!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</row>
    <row r="31" spans="1:63">
      <c r="A31" s="37"/>
      <c r="B31" s="10">
        <f t="shared" si="0"/>
        <v>0</v>
      </c>
      <c r="C31" s="11" t="e">
        <f t="shared" si="1"/>
        <v>#DIV/0!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</row>
    <row r="32" spans="1:63">
      <c r="A32" s="37"/>
      <c r="B32" s="10">
        <f t="shared" si="0"/>
        <v>0</v>
      </c>
      <c r="C32" s="11" t="e">
        <f t="shared" si="1"/>
        <v>#DIV/0!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</row>
    <row r="33" spans="1:63">
      <c r="A33" s="37"/>
      <c r="B33" s="10">
        <f t="shared" si="0"/>
        <v>0</v>
      </c>
      <c r="C33" s="11" t="e">
        <f t="shared" si="1"/>
        <v>#DIV/0!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</row>
    <row r="34" spans="1:63">
      <c r="A34" s="37"/>
      <c r="B34" s="10">
        <f t="shared" si="0"/>
        <v>0</v>
      </c>
      <c r="C34" s="11" t="e">
        <f t="shared" si="1"/>
        <v>#DIV/0!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</row>
    <row r="35" spans="1:63">
      <c r="A35" s="37"/>
      <c r="B35" s="10">
        <f t="shared" ref="B35:B66" si="2">SUM(D35:BK35)</f>
        <v>0</v>
      </c>
      <c r="C35" s="11" t="e">
        <f t="shared" si="1"/>
        <v>#DIV/0!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</row>
    <row r="36" spans="1:63">
      <c r="A36" s="37"/>
      <c r="B36" s="10">
        <f t="shared" si="2"/>
        <v>0</v>
      </c>
      <c r="C36" s="11" t="e">
        <f t="shared" si="1"/>
        <v>#DIV/0!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</row>
    <row r="37" spans="1:63">
      <c r="A37" s="37"/>
      <c r="B37" s="10">
        <f t="shared" si="2"/>
        <v>0</v>
      </c>
      <c r="C37" s="11" t="e">
        <f t="shared" si="1"/>
        <v>#DIV/0!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</row>
    <row r="38" spans="1:63">
      <c r="A38" s="37"/>
      <c r="B38" s="10">
        <f t="shared" si="2"/>
        <v>0</v>
      </c>
      <c r="C38" s="11" t="e">
        <f t="shared" si="1"/>
        <v>#DIV/0!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</row>
    <row r="39" spans="1:63">
      <c r="A39" s="37"/>
      <c r="B39" s="10">
        <f t="shared" si="2"/>
        <v>0</v>
      </c>
      <c r="C39" s="11" t="e">
        <f t="shared" si="1"/>
        <v>#DIV/0!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</row>
    <row r="40" spans="1:63">
      <c r="A40" s="37"/>
      <c r="B40" s="10">
        <f t="shared" si="2"/>
        <v>0</v>
      </c>
      <c r="C40" s="11" t="e">
        <f t="shared" si="1"/>
        <v>#DIV/0!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</row>
    <row r="41" spans="1:63">
      <c r="A41" s="37"/>
      <c r="B41" s="10">
        <f t="shared" si="2"/>
        <v>0</v>
      </c>
      <c r="C41" s="11" t="e">
        <f t="shared" si="1"/>
        <v>#DIV/0!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</row>
    <row r="42" spans="1:63">
      <c r="A42" s="37"/>
      <c r="B42" s="10">
        <f t="shared" si="2"/>
        <v>0</v>
      </c>
      <c r="C42" s="11" t="e">
        <f t="shared" si="1"/>
        <v>#DIV/0!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</row>
    <row r="43" spans="1:63">
      <c r="A43" s="37"/>
      <c r="B43" s="10">
        <f t="shared" si="2"/>
        <v>0</v>
      </c>
      <c r="C43" s="11" t="e">
        <f t="shared" si="1"/>
        <v>#DIV/0!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</row>
    <row r="44" spans="1:63">
      <c r="A44" s="37"/>
      <c r="B44" s="10">
        <f t="shared" si="2"/>
        <v>0</v>
      </c>
      <c r="C44" s="11" t="e">
        <f t="shared" si="1"/>
        <v>#DIV/0!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</row>
    <row r="45" spans="1:63">
      <c r="A45" s="37"/>
      <c r="B45" s="10">
        <f t="shared" si="2"/>
        <v>0</v>
      </c>
      <c r="C45" s="11" t="e">
        <f t="shared" si="1"/>
        <v>#DIV/0!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</row>
    <row r="46" spans="1:63">
      <c r="A46" s="37"/>
      <c r="B46" s="10">
        <f t="shared" si="2"/>
        <v>0</v>
      </c>
      <c r="C46" s="11" t="e">
        <f t="shared" si="1"/>
        <v>#DIV/0!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</row>
    <row r="47" spans="1:63">
      <c r="A47" s="37"/>
      <c r="B47" s="10">
        <f t="shared" si="2"/>
        <v>0</v>
      </c>
      <c r="C47" s="11" t="e">
        <f t="shared" si="1"/>
        <v>#DIV/0!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</row>
    <row r="48" spans="1:63">
      <c r="A48" s="37"/>
      <c r="B48" s="10">
        <f t="shared" si="2"/>
        <v>0</v>
      </c>
      <c r="C48" s="11" t="e">
        <f t="shared" si="1"/>
        <v>#DIV/0!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</row>
    <row r="49" spans="1:63">
      <c r="A49" s="37"/>
      <c r="B49" s="10">
        <f t="shared" si="2"/>
        <v>0</v>
      </c>
      <c r="C49" s="11" t="e">
        <f t="shared" si="1"/>
        <v>#DIV/0!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</row>
    <row r="50" spans="1:63">
      <c r="A50" s="37"/>
      <c r="B50" s="10">
        <f t="shared" si="2"/>
        <v>0</v>
      </c>
      <c r="C50" s="11" t="e">
        <f t="shared" si="1"/>
        <v>#DIV/0!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</row>
    <row r="51" spans="1:63">
      <c r="A51" s="37"/>
      <c r="B51" s="10">
        <f t="shared" si="2"/>
        <v>0</v>
      </c>
      <c r="C51" s="11" t="e">
        <f t="shared" si="1"/>
        <v>#DIV/0!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</row>
    <row r="52" spans="1:63">
      <c r="A52" s="37"/>
      <c r="B52" s="10">
        <f t="shared" si="2"/>
        <v>0</v>
      </c>
      <c r="C52" s="11" t="e">
        <f t="shared" si="1"/>
        <v>#DIV/0!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</row>
    <row r="53" spans="1:63">
      <c r="A53" s="37"/>
      <c r="B53" s="10">
        <f t="shared" si="2"/>
        <v>0</v>
      </c>
      <c r="C53" s="11" t="e">
        <f t="shared" si="1"/>
        <v>#DIV/0!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</row>
    <row r="54" spans="1:63">
      <c r="A54" s="37"/>
      <c r="B54" s="10">
        <f t="shared" si="2"/>
        <v>0</v>
      </c>
      <c r="C54" s="11" t="e">
        <f t="shared" si="1"/>
        <v>#DIV/0!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</row>
    <row r="55" spans="1:63">
      <c r="A55" s="37"/>
      <c r="B55" s="10">
        <f t="shared" si="2"/>
        <v>0</v>
      </c>
      <c r="C55" s="11" t="e">
        <f t="shared" si="1"/>
        <v>#DIV/0!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</row>
    <row r="56" spans="1:63">
      <c r="A56" s="37"/>
      <c r="B56" s="10">
        <f t="shared" si="2"/>
        <v>0</v>
      </c>
      <c r="C56" s="11" t="e">
        <f t="shared" si="1"/>
        <v>#DIV/0!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</row>
    <row r="57" spans="1:63">
      <c r="A57" s="37"/>
      <c r="B57" s="10">
        <f t="shared" si="2"/>
        <v>0</v>
      </c>
      <c r="C57" s="11" t="e">
        <f t="shared" si="1"/>
        <v>#DIV/0!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</row>
    <row r="58" spans="1:63">
      <c r="A58" s="37"/>
      <c r="B58" s="10">
        <f t="shared" si="2"/>
        <v>0</v>
      </c>
      <c r="C58" s="11" t="e">
        <f t="shared" si="1"/>
        <v>#DIV/0!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</row>
    <row r="59" spans="1:63">
      <c r="A59" s="37"/>
      <c r="B59" s="10">
        <f t="shared" si="2"/>
        <v>0</v>
      </c>
      <c r="C59" s="11" t="e">
        <f t="shared" si="1"/>
        <v>#DIV/0!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</row>
    <row r="60" spans="1:63">
      <c r="A60" s="37"/>
      <c r="B60" s="10">
        <f t="shared" si="2"/>
        <v>0</v>
      </c>
      <c r="C60" s="11" t="e">
        <f t="shared" si="1"/>
        <v>#DIV/0!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</row>
    <row r="61" spans="1:63">
      <c r="A61" s="37"/>
      <c r="B61" s="10">
        <f t="shared" si="2"/>
        <v>0</v>
      </c>
      <c r="C61" s="11" t="e">
        <f t="shared" si="1"/>
        <v>#DIV/0!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</row>
    <row r="62" spans="1:63">
      <c r="A62" s="37"/>
      <c r="B62" s="10">
        <f t="shared" si="2"/>
        <v>0</v>
      </c>
      <c r="C62" s="11" t="e">
        <f t="shared" si="1"/>
        <v>#DIV/0!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</row>
    <row r="63" spans="1:63">
      <c r="A63" s="37"/>
      <c r="B63" s="10">
        <f t="shared" si="2"/>
        <v>0</v>
      </c>
      <c r="C63" s="11" t="e">
        <f t="shared" si="1"/>
        <v>#DIV/0!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</row>
    <row r="64" spans="1:63">
      <c r="A64" s="37"/>
      <c r="B64" s="10">
        <f t="shared" si="2"/>
        <v>0</v>
      </c>
      <c r="C64" s="11" t="e">
        <f t="shared" si="1"/>
        <v>#DIV/0!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</row>
    <row r="65" spans="1:63">
      <c r="A65" s="37"/>
      <c r="B65" s="10">
        <f t="shared" si="2"/>
        <v>0</v>
      </c>
      <c r="C65" s="11" t="e">
        <f t="shared" si="1"/>
        <v>#DIV/0!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</row>
    <row r="66" spans="1:63">
      <c r="A66" s="37"/>
      <c r="B66" s="10">
        <f t="shared" si="2"/>
        <v>0</v>
      </c>
      <c r="C66" s="11" t="e">
        <f t="shared" si="1"/>
        <v>#DIV/0!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</row>
    <row r="67" spans="1:63">
      <c r="A67" s="37"/>
      <c r="B67" s="10">
        <f t="shared" ref="B67:B103" si="3">SUM(D67:BK67)</f>
        <v>0</v>
      </c>
      <c r="C67" s="11" t="e">
        <f t="shared" si="1"/>
        <v>#DIV/0!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</row>
    <row r="68" spans="1:63">
      <c r="A68" s="37"/>
      <c r="B68" s="10">
        <f t="shared" si="3"/>
        <v>0</v>
      </c>
      <c r="C68" s="11" t="e">
        <f t="shared" ref="C68:C103" si="4">B68/SUM($B$3:$B$103)</f>
        <v>#DIV/0!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</row>
    <row r="69" spans="1:63">
      <c r="A69" s="37"/>
      <c r="B69" s="10">
        <f t="shared" si="3"/>
        <v>0</v>
      </c>
      <c r="C69" s="11" t="e">
        <f t="shared" si="4"/>
        <v>#DIV/0!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</row>
    <row r="70" spans="1:63">
      <c r="A70" s="37"/>
      <c r="B70" s="10">
        <f t="shared" si="3"/>
        <v>0</v>
      </c>
      <c r="C70" s="11" t="e">
        <f t="shared" si="4"/>
        <v>#DIV/0!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</row>
    <row r="71" spans="1:63">
      <c r="A71" s="37"/>
      <c r="B71" s="10">
        <f t="shared" si="3"/>
        <v>0</v>
      </c>
      <c r="C71" s="11" t="e">
        <f t="shared" si="4"/>
        <v>#DIV/0!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</row>
    <row r="72" spans="1:63">
      <c r="A72" s="37"/>
      <c r="B72" s="10">
        <f t="shared" si="3"/>
        <v>0</v>
      </c>
      <c r="C72" s="11" t="e">
        <f t="shared" si="4"/>
        <v>#DIV/0!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</row>
    <row r="73" spans="1:63">
      <c r="A73" s="37"/>
      <c r="B73" s="10">
        <f t="shared" si="3"/>
        <v>0</v>
      </c>
      <c r="C73" s="11" t="e">
        <f t="shared" si="4"/>
        <v>#DIV/0!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</row>
    <row r="74" spans="1:63">
      <c r="A74" s="37"/>
      <c r="B74" s="10">
        <f t="shared" si="3"/>
        <v>0</v>
      </c>
      <c r="C74" s="11" t="e">
        <f t="shared" si="4"/>
        <v>#DIV/0!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</row>
    <row r="75" spans="1:63">
      <c r="A75" s="37"/>
      <c r="B75" s="10">
        <f t="shared" si="3"/>
        <v>0</v>
      </c>
      <c r="C75" s="11" t="e">
        <f t="shared" si="4"/>
        <v>#DIV/0!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</row>
    <row r="76" spans="1:63">
      <c r="A76" s="37"/>
      <c r="B76" s="10">
        <f t="shared" si="3"/>
        <v>0</v>
      </c>
      <c r="C76" s="11" t="e">
        <f t="shared" si="4"/>
        <v>#DIV/0!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</row>
    <row r="77" spans="1:63">
      <c r="A77" s="37"/>
      <c r="B77" s="10">
        <f t="shared" si="3"/>
        <v>0</v>
      </c>
      <c r="C77" s="11" t="e">
        <f t="shared" si="4"/>
        <v>#DIV/0!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</row>
    <row r="78" spans="1:63">
      <c r="A78" s="37"/>
      <c r="B78" s="10">
        <f t="shared" si="3"/>
        <v>0</v>
      </c>
      <c r="C78" s="11" t="e">
        <f t="shared" si="4"/>
        <v>#DIV/0!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</row>
    <row r="79" spans="1:63">
      <c r="A79" s="37"/>
      <c r="B79" s="10">
        <f t="shared" si="3"/>
        <v>0</v>
      </c>
      <c r="C79" s="11" t="e">
        <f t="shared" si="4"/>
        <v>#DIV/0!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</row>
    <row r="80" spans="1:63">
      <c r="A80" s="37"/>
      <c r="B80" s="10">
        <f t="shared" si="3"/>
        <v>0</v>
      </c>
      <c r="C80" s="11" t="e">
        <f t="shared" si="4"/>
        <v>#DIV/0!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</row>
    <row r="81" spans="1:63">
      <c r="A81" s="37"/>
      <c r="B81" s="10">
        <f t="shared" si="3"/>
        <v>0</v>
      </c>
      <c r="C81" s="11" t="e">
        <f t="shared" si="4"/>
        <v>#DIV/0!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</row>
    <row r="82" spans="1:63">
      <c r="A82" s="37"/>
      <c r="B82" s="10">
        <f t="shared" si="3"/>
        <v>0</v>
      </c>
      <c r="C82" s="11" t="e">
        <f t="shared" si="4"/>
        <v>#DIV/0!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</row>
    <row r="83" spans="1:63">
      <c r="A83" s="37"/>
      <c r="B83" s="10">
        <f t="shared" si="3"/>
        <v>0</v>
      </c>
      <c r="C83" s="11" t="e">
        <f t="shared" si="4"/>
        <v>#DIV/0!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</row>
    <row r="84" spans="1:63">
      <c r="A84" s="37"/>
      <c r="B84" s="10">
        <f t="shared" si="3"/>
        <v>0</v>
      </c>
      <c r="C84" s="11" t="e">
        <f t="shared" si="4"/>
        <v>#DIV/0!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</row>
    <row r="85" spans="1:63">
      <c r="A85" s="37"/>
      <c r="B85" s="10">
        <f t="shared" si="3"/>
        <v>0</v>
      </c>
      <c r="C85" s="11" t="e">
        <f t="shared" si="4"/>
        <v>#DIV/0!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</row>
    <row r="86" spans="1:63">
      <c r="A86" s="37"/>
      <c r="B86" s="10">
        <f t="shared" si="3"/>
        <v>0</v>
      </c>
      <c r="C86" s="11" t="e">
        <f t="shared" si="4"/>
        <v>#DIV/0!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</row>
    <row r="87" spans="1:63">
      <c r="A87" s="37"/>
      <c r="B87" s="10">
        <f t="shared" si="3"/>
        <v>0</v>
      </c>
      <c r="C87" s="11" t="e">
        <f t="shared" si="4"/>
        <v>#DIV/0!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</row>
    <row r="88" spans="1:63">
      <c r="A88" s="37"/>
      <c r="B88" s="10">
        <f t="shared" si="3"/>
        <v>0</v>
      </c>
      <c r="C88" s="11" t="e">
        <f t="shared" si="4"/>
        <v>#DIV/0!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</row>
    <row r="89" spans="1:63">
      <c r="A89" s="37"/>
      <c r="B89" s="10">
        <f t="shared" si="3"/>
        <v>0</v>
      </c>
      <c r="C89" s="11" t="e">
        <f t="shared" si="4"/>
        <v>#DIV/0!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</row>
    <row r="90" spans="1:63">
      <c r="A90" s="37"/>
      <c r="B90" s="10">
        <f t="shared" si="3"/>
        <v>0</v>
      </c>
      <c r="C90" s="11" t="e">
        <f t="shared" si="4"/>
        <v>#DIV/0!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</row>
    <row r="91" spans="1:63">
      <c r="A91" s="37"/>
      <c r="B91" s="10">
        <f t="shared" si="3"/>
        <v>0</v>
      </c>
      <c r="C91" s="11" t="e">
        <f t="shared" si="4"/>
        <v>#DIV/0!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</row>
    <row r="92" spans="1:63">
      <c r="A92" s="37"/>
      <c r="B92" s="10">
        <f t="shared" si="3"/>
        <v>0</v>
      </c>
      <c r="C92" s="11" t="e">
        <f t="shared" si="4"/>
        <v>#DIV/0!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</row>
    <row r="93" spans="1:63">
      <c r="A93" s="37"/>
      <c r="B93" s="10">
        <f t="shared" si="3"/>
        <v>0</v>
      </c>
      <c r="C93" s="11" t="e">
        <f t="shared" si="4"/>
        <v>#DIV/0!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</row>
    <row r="94" spans="1:63">
      <c r="A94" s="37"/>
      <c r="B94" s="10">
        <f t="shared" si="3"/>
        <v>0</v>
      </c>
      <c r="C94" s="11" t="e">
        <f t="shared" si="4"/>
        <v>#DIV/0!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</row>
    <row r="95" spans="1:63">
      <c r="A95" s="37"/>
      <c r="B95" s="10">
        <f t="shared" si="3"/>
        <v>0</v>
      </c>
      <c r="C95" s="11" t="e">
        <f t="shared" si="4"/>
        <v>#DIV/0!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</row>
    <row r="96" spans="1:63">
      <c r="A96" s="37"/>
      <c r="B96" s="10">
        <f t="shared" si="3"/>
        <v>0</v>
      </c>
      <c r="C96" s="11" t="e">
        <f t="shared" si="4"/>
        <v>#DIV/0!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</row>
    <row r="97" spans="1:63">
      <c r="A97" s="37"/>
      <c r="B97" s="10">
        <f t="shared" si="3"/>
        <v>0</v>
      </c>
      <c r="C97" s="11" t="e">
        <f t="shared" si="4"/>
        <v>#DIV/0!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</row>
    <row r="98" spans="1:63">
      <c r="A98" s="37"/>
      <c r="B98" s="10">
        <f t="shared" si="3"/>
        <v>0</v>
      </c>
      <c r="C98" s="11" t="e">
        <f t="shared" si="4"/>
        <v>#DIV/0!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</row>
    <row r="99" spans="1:63">
      <c r="A99" s="37"/>
      <c r="B99" s="10">
        <f t="shared" si="3"/>
        <v>0</v>
      </c>
      <c r="C99" s="11" t="e">
        <f t="shared" si="4"/>
        <v>#DIV/0!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</row>
    <row r="100" spans="1:63">
      <c r="A100" s="37"/>
      <c r="B100" s="10">
        <f t="shared" si="3"/>
        <v>0</v>
      </c>
      <c r="C100" s="11" t="e">
        <f t="shared" si="4"/>
        <v>#DIV/0!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</row>
    <row r="101" spans="1:63">
      <c r="A101" s="37"/>
      <c r="B101" s="10">
        <f t="shared" si="3"/>
        <v>0</v>
      </c>
      <c r="C101" s="11" t="e">
        <f t="shared" si="4"/>
        <v>#DIV/0!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</row>
    <row r="102" spans="1:63">
      <c r="A102" s="37"/>
      <c r="B102" s="10">
        <f t="shared" si="3"/>
        <v>0</v>
      </c>
      <c r="C102" s="11" t="e">
        <f t="shared" si="4"/>
        <v>#DIV/0!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</row>
    <row r="103" spans="1:63">
      <c r="A103" s="37"/>
      <c r="B103" s="10">
        <f t="shared" si="3"/>
        <v>0</v>
      </c>
      <c r="C103" s="11" t="e">
        <f t="shared" si="4"/>
        <v>#DIV/0!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3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3" sqref="C3"/>
    </sheetView>
  </sheetViews>
  <sheetFormatPr defaultRowHeight="15"/>
  <cols>
    <col min="1" max="1" width="29" style="1" customWidth="1"/>
    <col min="2" max="2" width="13.140625" style="1" customWidth="1"/>
    <col min="3" max="3" width="8.42578125" style="5" customWidth="1"/>
    <col min="4" max="63" width="12.7109375" style="2" bestFit="1" customWidth="1"/>
    <col min="64" max="16384" width="9.140625" style="1"/>
  </cols>
  <sheetData>
    <row r="1" spans="1:63" s="26" customFormat="1" ht="57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63" s="3" customFormat="1">
      <c r="A2" s="6" t="s">
        <v>4</v>
      </c>
      <c r="B2" s="6" t="s">
        <v>0</v>
      </c>
      <c r="C2" s="7" t="s">
        <v>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8" t="s">
        <v>41</v>
      </c>
      <c r="N2" s="8" t="s">
        <v>42</v>
      </c>
      <c r="O2" s="8" t="s">
        <v>43</v>
      </c>
      <c r="P2" s="8" t="s">
        <v>44</v>
      </c>
      <c r="Q2" s="8" t="s">
        <v>45</v>
      </c>
      <c r="R2" s="8" t="s">
        <v>46</v>
      </c>
      <c r="S2" s="8" t="s">
        <v>47</v>
      </c>
      <c r="T2" s="8" t="s">
        <v>48</v>
      </c>
      <c r="U2" s="8" t="s">
        <v>49</v>
      </c>
      <c r="V2" s="8" t="s">
        <v>50</v>
      </c>
      <c r="W2" s="8" t="s">
        <v>51</v>
      </c>
      <c r="X2" s="8" t="s">
        <v>52</v>
      </c>
      <c r="Y2" s="8" t="s">
        <v>53</v>
      </c>
      <c r="Z2" s="8" t="s">
        <v>54</v>
      </c>
      <c r="AA2" s="8" t="s">
        <v>55</v>
      </c>
      <c r="AB2" s="8" t="s">
        <v>56</v>
      </c>
      <c r="AC2" s="8" t="s">
        <v>57</v>
      </c>
      <c r="AD2" s="8" t="s">
        <v>58</v>
      </c>
      <c r="AE2" s="8" t="s">
        <v>59</v>
      </c>
      <c r="AF2" s="8" t="s">
        <v>60</v>
      </c>
      <c r="AG2" s="8" t="s">
        <v>61</v>
      </c>
      <c r="AH2" s="8" t="s">
        <v>62</v>
      </c>
      <c r="AI2" s="8" t="s">
        <v>63</v>
      </c>
      <c r="AJ2" s="8" t="s">
        <v>64</v>
      </c>
      <c r="AK2" s="8" t="s">
        <v>65</v>
      </c>
      <c r="AL2" s="8" t="s">
        <v>66</v>
      </c>
      <c r="AM2" s="8" t="s">
        <v>67</v>
      </c>
      <c r="AN2" s="8" t="s">
        <v>68</v>
      </c>
      <c r="AO2" s="8" t="s">
        <v>69</v>
      </c>
      <c r="AP2" s="8" t="s">
        <v>70</v>
      </c>
      <c r="AQ2" s="8" t="s">
        <v>71</v>
      </c>
      <c r="AR2" s="8" t="s">
        <v>72</v>
      </c>
      <c r="AS2" s="8" t="s">
        <v>73</v>
      </c>
      <c r="AT2" s="8" t="s">
        <v>74</v>
      </c>
      <c r="AU2" s="8" t="s">
        <v>75</v>
      </c>
      <c r="AV2" s="8" t="s">
        <v>76</v>
      </c>
      <c r="AW2" s="8" t="s">
        <v>77</v>
      </c>
      <c r="AX2" s="8" t="s">
        <v>78</v>
      </c>
      <c r="AY2" s="8" t="s">
        <v>79</v>
      </c>
      <c r="AZ2" s="8" t="s">
        <v>80</v>
      </c>
      <c r="BA2" s="8" t="s">
        <v>81</v>
      </c>
      <c r="BB2" s="8" t="s">
        <v>82</v>
      </c>
      <c r="BC2" s="8" t="s">
        <v>83</v>
      </c>
      <c r="BD2" s="8" t="s">
        <v>84</v>
      </c>
      <c r="BE2" s="8" t="s">
        <v>85</v>
      </c>
      <c r="BF2" s="8" t="s">
        <v>86</v>
      </c>
      <c r="BG2" s="8" t="s">
        <v>87</v>
      </c>
      <c r="BH2" s="8" t="s">
        <v>88</v>
      </c>
      <c r="BI2" s="8" t="s">
        <v>89</v>
      </c>
      <c r="BJ2" s="8" t="s">
        <v>90</v>
      </c>
      <c r="BK2" s="8" t="s">
        <v>91</v>
      </c>
    </row>
    <row r="3" spans="1:63">
      <c r="A3" s="37"/>
      <c r="B3" s="10">
        <f t="shared" ref="B3:B34" si="0">SUM(D3:BK3)</f>
        <v>0</v>
      </c>
      <c r="C3" s="11" t="e">
        <f>B3/SUM($B$3:$B$103)</f>
        <v>#DIV/0!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</row>
    <row r="4" spans="1:63">
      <c r="A4" s="37"/>
      <c r="B4" s="10">
        <f t="shared" si="0"/>
        <v>0</v>
      </c>
      <c r="C4" s="11" t="e">
        <f t="shared" ref="C4:C67" si="1">B4/SUM($B$3:$B$103)</f>
        <v>#DIV/0!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</row>
    <row r="5" spans="1:63">
      <c r="A5" s="37"/>
      <c r="B5" s="10">
        <f t="shared" si="0"/>
        <v>0</v>
      </c>
      <c r="C5" s="11" t="e">
        <f t="shared" si="1"/>
        <v>#DIV/0!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</row>
    <row r="6" spans="1:63">
      <c r="A6" s="37"/>
      <c r="B6" s="10">
        <f t="shared" si="0"/>
        <v>0</v>
      </c>
      <c r="C6" s="11" t="e">
        <f t="shared" si="1"/>
        <v>#DIV/0!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</row>
    <row r="7" spans="1:63">
      <c r="A7" s="37"/>
      <c r="B7" s="10">
        <f t="shared" si="0"/>
        <v>0</v>
      </c>
      <c r="C7" s="11" t="e">
        <f t="shared" si="1"/>
        <v>#DIV/0!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</row>
    <row r="8" spans="1:63">
      <c r="A8" s="37"/>
      <c r="B8" s="10">
        <f t="shared" si="0"/>
        <v>0</v>
      </c>
      <c r="C8" s="11" t="e">
        <f t="shared" si="1"/>
        <v>#DIV/0!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</row>
    <row r="9" spans="1:63">
      <c r="A9" s="37"/>
      <c r="B9" s="10">
        <f t="shared" si="0"/>
        <v>0</v>
      </c>
      <c r="C9" s="11" t="e">
        <f t="shared" si="1"/>
        <v>#DIV/0!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</row>
    <row r="10" spans="1:63">
      <c r="A10" s="37"/>
      <c r="B10" s="10">
        <f t="shared" si="0"/>
        <v>0</v>
      </c>
      <c r="C10" s="11" t="e">
        <f t="shared" si="1"/>
        <v>#DIV/0!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</row>
    <row r="11" spans="1:63">
      <c r="A11" s="37"/>
      <c r="B11" s="10">
        <f t="shared" si="0"/>
        <v>0</v>
      </c>
      <c r="C11" s="11" t="e">
        <f t="shared" si="1"/>
        <v>#DIV/0!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</row>
    <row r="12" spans="1:63">
      <c r="A12" s="37"/>
      <c r="B12" s="10">
        <f t="shared" si="0"/>
        <v>0</v>
      </c>
      <c r="C12" s="11" t="e">
        <f t="shared" si="1"/>
        <v>#DIV/0!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</row>
    <row r="13" spans="1:63">
      <c r="A13" s="37"/>
      <c r="B13" s="10">
        <f t="shared" si="0"/>
        <v>0</v>
      </c>
      <c r="C13" s="11" t="e">
        <f t="shared" si="1"/>
        <v>#DIV/0!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</row>
    <row r="14" spans="1:63">
      <c r="A14" s="37"/>
      <c r="B14" s="10">
        <f t="shared" si="0"/>
        <v>0</v>
      </c>
      <c r="C14" s="11" t="e">
        <f t="shared" si="1"/>
        <v>#DIV/0!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</row>
    <row r="15" spans="1:63">
      <c r="A15" s="37"/>
      <c r="B15" s="10">
        <f t="shared" si="0"/>
        <v>0</v>
      </c>
      <c r="C15" s="11" t="e">
        <f t="shared" si="1"/>
        <v>#DIV/0!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</row>
    <row r="16" spans="1:63">
      <c r="A16" s="37"/>
      <c r="B16" s="10">
        <f t="shared" si="0"/>
        <v>0</v>
      </c>
      <c r="C16" s="11" t="e">
        <f t="shared" si="1"/>
        <v>#DIV/0!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</row>
    <row r="17" spans="1:63">
      <c r="A17" s="37"/>
      <c r="B17" s="10">
        <f t="shared" si="0"/>
        <v>0</v>
      </c>
      <c r="C17" s="11" t="e">
        <f t="shared" si="1"/>
        <v>#DIV/0!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</row>
    <row r="18" spans="1:63">
      <c r="A18" s="37"/>
      <c r="B18" s="10">
        <f t="shared" si="0"/>
        <v>0</v>
      </c>
      <c r="C18" s="11" t="e">
        <f t="shared" si="1"/>
        <v>#DIV/0!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</row>
    <row r="19" spans="1:63">
      <c r="A19" s="37"/>
      <c r="B19" s="10">
        <f t="shared" si="0"/>
        <v>0</v>
      </c>
      <c r="C19" s="11" t="e">
        <f t="shared" si="1"/>
        <v>#DIV/0!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</row>
    <row r="20" spans="1:63">
      <c r="A20" s="37"/>
      <c r="B20" s="10">
        <f t="shared" si="0"/>
        <v>0</v>
      </c>
      <c r="C20" s="11" t="e">
        <f t="shared" si="1"/>
        <v>#DIV/0!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</row>
    <row r="21" spans="1:63">
      <c r="A21" s="37"/>
      <c r="B21" s="10">
        <f t="shared" si="0"/>
        <v>0</v>
      </c>
      <c r="C21" s="11" t="e">
        <f t="shared" si="1"/>
        <v>#DIV/0!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</row>
    <row r="22" spans="1:63">
      <c r="A22" s="37"/>
      <c r="B22" s="10">
        <f t="shared" si="0"/>
        <v>0</v>
      </c>
      <c r="C22" s="11" t="e">
        <f t="shared" si="1"/>
        <v>#DIV/0!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</row>
    <row r="23" spans="1:63">
      <c r="A23" s="37"/>
      <c r="B23" s="10">
        <f t="shared" si="0"/>
        <v>0</v>
      </c>
      <c r="C23" s="11" t="e">
        <f t="shared" si="1"/>
        <v>#DIV/0!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</row>
    <row r="24" spans="1:63">
      <c r="A24" s="37"/>
      <c r="B24" s="10">
        <f t="shared" si="0"/>
        <v>0</v>
      </c>
      <c r="C24" s="11" t="e">
        <f t="shared" si="1"/>
        <v>#DIV/0!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</row>
    <row r="25" spans="1:63">
      <c r="A25" s="37"/>
      <c r="B25" s="10">
        <f t="shared" si="0"/>
        <v>0</v>
      </c>
      <c r="C25" s="11" t="e">
        <f t="shared" si="1"/>
        <v>#DIV/0!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</row>
    <row r="26" spans="1:63">
      <c r="A26" s="37"/>
      <c r="B26" s="10">
        <f t="shared" si="0"/>
        <v>0</v>
      </c>
      <c r="C26" s="11" t="e">
        <f t="shared" si="1"/>
        <v>#DIV/0!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</row>
    <row r="27" spans="1:63">
      <c r="A27" s="37"/>
      <c r="B27" s="10">
        <f t="shared" si="0"/>
        <v>0</v>
      </c>
      <c r="C27" s="11" t="e">
        <f t="shared" si="1"/>
        <v>#DIV/0!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</row>
    <row r="28" spans="1:63">
      <c r="A28" s="37"/>
      <c r="B28" s="10">
        <f t="shared" si="0"/>
        <v>0</v>
      </c>
      <c r="C28" s="11" t="e">
        <f t="shared" si="1"/>
        <v>#DIV/0!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</row>
    <row r="29" spans="1:63">
      <c r="A29" s="37"/>
      <c r="B29" s="10">
        <f t="shared" si="0"/>
        <v>0</v>
      </c>
      <c r="C29" s="11" t="e">
        <f t="shared" si="1"/>
        <v>#DIV/0!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</row>
    <row r="30" spans="1:63">
      <c r="A30" s="37"/>
      <c r="B30" s="10">
        <f t="shared" si="0"/>
        <v>0</v>
      </c>
      <c r="C30" s="11" t="e">
        <f t="shared" si="1"/>
        <v>#DIV/0!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</row>
    <row r="31" spans="1:63">
      <c r="A31" s="37"/>
      <c r="B31" s="10">
        <f t="shared" si="0"/>
        <v>0</v>
      </c>
      <c r="C31" s="11" t="e">
        <f t="shared" si="1"/>
        <v>#DIV/0!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</row>
    <row r="32" spans="1:63">
      <c r="A32" s="37"/>
      <c r="B32" s="10">
        <f t="shared" si="0"/>
        <v>0</v>
      </c>
      <c r="C32" s="11" t="e">
        <f t="shared" si="1"/>
        <v>#DIV/0!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</row>
    <row r="33" spans="1:63">
      <c r="A33" s="37"/>
      <c r="B33" s="10">
        <f t="shared" si="0"/>
        <v>0</v>
      </c>
      <c r="C33" s="11" t="e">
        <f t="shared" si="1"/>
        <v>#DIV/0!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</row>
    <row r="34" spans="1:63">
      <c r="A34" s="37"/>
      <c r="B34" s="10">
        <f t="shared" si="0"/>
        <v>0</v>
      </c>
      <c r="C34" s="11" t="e">
        <f t="shared" si="1"/>
        <v>#DIV/0!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</row>
    <row r="35" spans="1:63">
      <c r="A35" s="37"/>
      <c r="B35" s="10">
        <f t="shared" ref="B35:B66" si="2">SUM(D35:BK35)</f>
        <v>0</v>
      </c>
      <c r="C35" s="11" t="e">
        <f t="shared" si="1"/>
        <v>#DIV/0!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</row>
    <row r="36" spans="1:63">
      <c r="A36" s="37"/>
      <c r="B36" s="10">
        <f t="shared" si="2"/>
        <v>0</v>
      </c>
      <c r="C36" s="11" t="e">
        <f t="shared" si="1"/>
        <v>#DIV/0!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</row>
    <row r="37" spans="1:63">
      <c r="A37" s="37"/>
      <c r="B37" s="10">
        <f t="shared" si="2"/>
        <v>0</v>
      </c>
      <c r="C37" s="11" t="e">
        <f t="shared" si="1"/>
        <v>#DIV/0!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</row>
    <row r="38" spans="1:63">
      <c r="A38" s="37"/>
      <c r="B38" s="10">
        <f t="shared" si="2"/>
        <v>0</v>
      </c>
      <c r="C38" s="11" t="e">
        <f t="shared" si="1"/>
        <v>#DIV/0!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</row>
    <row r="39" spans="1:63">
      <c r="A39" s="37"/>
      <c r="B39" s="10">
        <f t="shared" si="2"/>
        <v>0</v>
      </c>
      <c r="C39" s="11" t="e">
        <f t="shared" si="1"/>
        <v>#DIV/0!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</row>
    <row r="40" spans="1:63">
      <c r="A40" s="37"/>
      <c r="B40" s="10">
        <f t="shared" si="2"/>
        <v>0</v>
      </c>
      <c r="C40" s="11" t="e">
        <f t="shared" si="1"/>
        <v>#DIV/0!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</row>
    <row r="41" spans="1:63">
      <c r="A41" s="37"/>
      <c r="B41" s="10">
        <f t="shared" si="2"/>
        <v>0</v>
      </c>
      <c r="C41" s="11" t="e">
        <f t="shared" si="1"/>
        <v>#DIV/0!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</row>
    <row r="42" spans="1:63">
      <c r="A42" s="37"/>
      <c r="B42" s="10">
        <f t="shared" si="2"/>
        <v>0</v>
      </c>
      <c r="C42" s="11" t="e">
        <f t="shared" si="1"/>
        <v>#DIV/0!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</row>
    <row r="43" spans="1:63">
      <c r="A43" s="37"/>
      <c r="B43" s="10">
        <f t="shared" si="2"/>
        <v>0</v>
      </c>
      <c r="C43" s="11" t="e">
        <f t="shared" si="1"/>
        <v>#DIV/0!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</row>
    <row r="44" spans="1:63">
      <c r="A44" s="37"/>
      <c r="B44" s="10">
        <f t="shared" si="2"/>
        <v>0</v>
      </c>
      <c r="C44" s="11" t="e">
        <f t="shared" si="1"/>
        <v>#DIV/0!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</row>
    <row r="45" spans="1:63">
      <c r="A45" s="37"/>
      <c r="B45" s="10">
        <f t="shared" si="2"/>
        <v>0</v>
      </c>
      <c r="C45" s="11" t="e">
        <f t="shared" si="1"/>
        <v>#DIV/0!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</row>
    <row r="46" spans="1:63">
      <c r="A46" s="37"/>
      <c r="B46" s="10">
        <f t="shared" si="2"/>
        <v>0</v>
      </c>
      <c r="C46" s="11" t="e">
        <f t="shared" si="1"/>
        <v>#DIV/0!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</row>
    <row r="47" spans="1:63">
      <c r="A47" s="37"/>
      <c r="B47" s="10">
        <f t="shared" si="2"/>
        <v>0</v>
      </c>
      <c r="C47" s="11" t="e">
        <f t="shared" si="1"/>
        <v>#DIV/0!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</row>
    <row r="48" spans="1:63">
      <c r="A48" s="37"/>
      <c r="B48" s="10">
        <f t="shared" si="2"/>
        <v>0</v>
      </c>
      <c r="C48" s="11" t="e">
        <f t="shared" si="1"/>
        <v>#DIV/0!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</row>
    <row r="49" spans="1:63">
      <c r="A49" s="37"/>
      <c r="B49" s="10">
        <f t="shared" si="2"/>
        <v>0</v>
      </c>
      <c r="C49" s="11" t="e">
        <f t="shared" si="1"/>
        <v>#DIV/0!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</row>
    <row r="50" spans="1:63">
      <c r="A50" s="37"/>
      <c r="B50" s="10">
        <f t="shared" si="2"/>
        <v>0</v>
      </c>
      <c r="C50" s="11" t="e">
        <f t="shared" si="1"/>
        <v>#DIV/0!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</row>
    <row r="51" spans="1:63">
      <c r="A51" s="37"/>
      <c r="B51" s="10">
        <f t="shared" si="2"/>
        <v>0</v>
      </c>
      <c r="C51" s="11" t="e">
        <f t="shared" si="1"/>
        <v>#DIV/0!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</row>
    <row r="52" spans="1:63">
      <c r="A52" s="37"/>
      <c r="B52" s="10">
        <f t="shared" si="2"/>
        <v>0</v>
      </c>
      <c r="C52" s="11" t="e">
        <f t="shared" si="1"/>
        <v>#DIV/0!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</row>
    <row r="53" spans="1:63">
      <c r="A53" s="37"/>
      <c r="B53" s="10">
        <f t="shared" si="2"/>
        <v>0</v>
      </c>
      <c r="C53" s="11" t="e">
        <f t="shared" si="1"/>
        <v>#DIV/0!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</row>
    <row r="54" spans="1:63">
      <c r="A54" s="37"/>
      <c r="B54" s="10">
        <f t="shared" si="2"/>
        <v>0</v>
      </c>
      <c r="C54" s="11" t="e">
        <f t="shared" si="1"/>
        <v>#DIV/0!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</row>
    <row r="55" spans="1:63">
      <c r="A55" s="37"/>
      <c r="B55" s="10">
        <f t="shared" si="2"/>
        <v>0</v>
      </c>
      <c r="C55" s="11" t="e">
        <f t="shared" si="1"/>
        <v>#DIV/0!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</row>
    <row r="56" spans="1:63">
      <c r="A56" s="37"/>
      <c r="B56" s="10">
        <f t="shared" si="2"/>
        <v>0</v>
      </c>
      <c r="C56" s="11" t="e">
        <f t="shared" si="1"/>
        <v>#DIV/0!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</row>
    <row r="57" spans="1:63">
      <c r="A57" s="37"/>
      <c r="B57" s="10">
        <f t="shared" si="2"/>
        <v>0</v>
      </c>
      <c r="C57" s="11" t="e">
        <f t="shared" si="1"/>
        <v>#DIV/0!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</row>
    <row r="58" spans="1:63">
      <c r="A58" s="37"/>
      <c r="B58" s="10">
        <f t="shared" si="2"/>
        <v>0</v>
      </c>
      <c r="C58" s="11" t="e">
        <f t="shared" si="1"/>
        <v>#DIV/0!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</row>
    <row r="59" spans="1:63">
      <c r="A59" s="37"/>
      <c r="B59" s="10">
        <f t="shared" si="2"/>
        <v>0</v>
      </c>
      <c r="C59" s="11" t="e">
        <f t="shared" si="1"/>
        <v>#DIV/0!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</row>
    <row r="60" spans="1:63">
      <c r="A60" s="37"/>
      <c r="B60" s="10">
        <f t="shared" si="2"/>
        <v>0</v>
      </c>
      <c r="C60" s="11" t="e">
        <f t="shared" si="1"/>
        <v>#DIV/0!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</row>
    <row r="61" spans="1:63">
      <c r="A61" s="37"/>
      <c r="B61" s="10">
        <f t="shared" si="2"/>
        <v>0</v>
      </c>
      <c r="C61" s="11" t="e">
        <f t="shared" si="1"/>
        <v>#DIV/0!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</row>
    <row r="62" spans="1:63">
      <c r="A62" s="37"/>
      <c r="B62" s="10">
        <f t="shared" si="2"/>
        <v>0</v>
      </c>
      <c r="C62" s="11" t="e">
        <f t="shared" si="1"/>
        <v>#DIV/0!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</row>
    <row r="63" spans="1:63">
      <c r="A63" s="37"/>
      <c r="B63" s="10">
        <f t="shared" si="2"/>
        <v>0</v>
      </c>
      <c r="C63" s="11" t="e">
        <f t="shared" si="1"/>
        <v>#DIV/0!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</row>
    <row r="64" spans="1:63">
      <c r="A64" s="37"/>
      <c r="B64" s="10">
        <f t="shared" si="2"/>
        <v>0</v>
      </c>
      <c r="C64" s="11" t="e">
        <f t="shared" si="1"/>
        <v>#DIV/0!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</row>
    <row r="65" spans="1:63">
      <c r="A65" s="37"/>
      <c r="B65" s="10">
        <f t="shared" si="2"/>
        <v>0</v>
      </c>
      <c r="C65" s="11" t="e">
        <f t="shared" si="1"/>
        <v>#DIV/0!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</row>
    <row r="66" spans="1:63">
      <c r="A66" s="37"/>
      <c r="B66" s="10">
        <f t="shared" si="2"/>
        <v>0</v>
      </c>
      <c r="C66" s="11" t="e">
        <f t="shared" si="1"/>
        <v>#DIV/0!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</row>
    <row r="67" spans="1:63">
      <c r="A67" s="37"/>
      <c r="B67" s="10">
        <f t="shared" ref="B67:B103" si="3">SUM(D67:BK67)</f>
        <v>0</v>
      </c>
      <c r="C67" s="11" t="e">
        <f t="shared" si="1"/>
        <v>#DIV/0!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</row>
    <row r="68" spans="1:63">
      <c r="A68" s="37"/>
      <c r="B68" s="10">
        <f t="shared" si="3"/>
        <v>0</v>
      </c>
      <c r="C68" s="11" t="e">
        <f t="shared" ref="C68:C103" si="4">B68/SUM($B$3:$B$103)</f>
        <v>#DIV/0!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</row>
    <row r="69" spans="1:63">
      <c r="A69" s="37"/>
      <c r="B69" s="10">
        <f t="shared" si="3"/>
        <v>0</v>
      </c>
      <c r="C69" s="11" t="e">
        <f t="shared" si="4"/>
        <v>#DIV/0!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</row>
    <row r="70" spans="1:63">
      <c r="A70" s="37"/>
      <c r="B70" s="10">
        <f t="shared" si="3"/>
        <v>0</v>
      </c>
      <c r="C70" s="11" t="e">
        <f t="shared" si="4"/>
        <v>#DIV/0!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</row>
    <row r="71" spans="1:63">
      <c r="A71" s="37"/>
      <c r="B71" s="10">
        <f t="shared" si="3"/>
        <v>0</v>
      </c>
      <c r="C71" s="11" t="e">
        <f t="shared" si="4"/>
        <v>#DIV/0!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</row>
    <row r="72" spans="1:63">
      <c r="A72" s="37"/>
      <c r="B72" s="10">
        <f t="shared" si="3"/>
        <v>0</v>
      </c>
      <c r="C72" s="11" t="e">
        <f t="shared" si="4"/>
        <v>#DIV/0!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</row>
    <row r="73" spans="1:63">
      <c r="A73" s="37"/>
      <c r="B73" s="10">
        <f t="shared" si="3"/>
        <v>0</v>
      </c>
      <c r="C73" s="11" t="e">
        <f t="shared" si="4"/>
        <v>#DIV/0!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</row>
    <row r="74" spans="1:63">
      <c r="A74" s="37"/>
      <c r="B74" s="10">
        <f t="shared" si="3"/>
        <v>0</v>
      </c>
      <c r="C74" s="11" t="e">
        <f t="shared" si="4"/>
        <v>#DIV/0!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</row>
    <row r="75" spans="1:63">
      <c r="A75" s="37"/>
      <c r="B75" s="10">
        <f t="shared" si="3"/>
        <v>0</v>
      </c>
      <c r="C75" s="11" t="e">
        <f t="shared" si="4"/>
        <v>#DIV/0!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</row>
    <row r="76" spans="1:63">
      <c r="A76" s="37"/>
      <c r="B76" s="10">
        <f t="shared" si="3"/>
        <v>0</v>
      </c>
      <c r="C76" s="11" t="e">
        <f t="shared" si="4"/>
        <v>#DIV/0!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</row>
    <row r="77" spans="1:63">
      <c r="A77" s="37"/>
      <c r="B77" s="10">
        <f t="shared" si="3"/>
        <v>0</v>
      </c>
      <c r="C77" s="11" t="e">
        <f t="shared" si="4"/>
        <v>#DIV/0!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</row>
    <row r="78" spans="1:63">
      <c r="A78" s="37"/>
      <c r="B78" s="10">
        <f t="shared" si="3"/>
        <v>0</v>
      </c>
      <c r="C78" s="11" t="e">
        <f t="shared" si="4"/>
        <v>#DIV/0!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</row>
    <row r="79" spans="1:63">
      <c r="A79" s="37"/>
      <c r="B79" s="10">
        <f t="shared" si="3"/>
        <v>0</v>
      </c>
      <c r="C79" s="11" t="e">
        <f t="shared" si="4"/>
        <v>#DIV/0!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</row>
    <row r="80" spans="1:63">
      <c r="A80" s="37"/>
      <c r="B80" s="10">
        <f t="shared" si="3"/>
        <v>0</v>
      </c>
      <c r="C80" s="11" t="e">
        <f t="shared" si="4"/>
        <v>#DIV/0!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</row>
    <row r="81" spans="1:63">
      <c r="A81" s="37"/>
      <c r="B81" s="10">
        <f t="shared" si="3"/>
        <v>0</v>
      </c>
      <c r="C81" s="11" t="e">
        <f t="shared" si="4"/>
        <v>#DIV/0!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</row>
    <row r="82" spans="1:63">
      <c r="A82" s="37"/>
      <c r="B82" s="10">
        <f t="shared" si="3"/>
        <v>0</v>
      </c>
      <c r="C82" s="11" t="e">
        <f t="shared" si="4"/>
        <v>#DIV/0!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</row>
    <row r="83" spans="1:63">
      <c r="A83" s="37"/>
      <c r="B83" s="10">
        <f t="shared" si="3"/>
        <v>0</v>
      </c>
      <c r="C83" s="11" t="e">
        <f t="shared" si="4"/>
        <v>#DIV/0!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</row>
    <row r="84" spans="1:63">
      <c r="A84" s="37"/>
      <c r="B84" s="10">
        <f t="shared" si="3"/>
        <v>0</v>
      </c>
      <c r="C84" s="11" t="e">
        <f t="shared" si="4"/>
        <v>#DIV/0!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</row>
    <row r="85" spans="1:63">
      <c r="A85" s="37"/>
      <c r="B85" s="10">
        <f t="shared" si="3"/>
        <v>0</v>
      </c>
      <c r="C85" s="11" t="e">
        <f t="shared" si="4"/>
        <v>#DIV/0!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</row>
    <row r="86" spans="1:63">
      <c r="A86" s="37"/>
      <c r="B86" s="10">
        <f t="shared" si="3"/>
        <v>0</v>
      </c>
      <c r="C86" s="11" t="e">
        <f t="shared" si="4"/>
        <v>#DIV/0!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</row>
    <row r="87" spans="1:63">
      <c r="A87" s="37"/>
      <c r="B87" s="10">
        <f t="shared" si="3"/>
        <v>0</v>
      </c>
      <c r="C87" s="11" t="e">
        <f t="shared" si="4"/>
        <v>#DIV/0!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</row>
    <row r="88" spans="1:63">
      <c r="A88" s="37"/>
      <c r="B88" s="10">
        <f t="shared" si="3"/>
        <v>0</v>
      </c>
      <c r="C88" s="11" t="e">
        <f t="shared" si="4"/>
        <v>#DIV/0!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</row>
    <row r="89" spans="1:63">
      <c r="A89" s="37"/>
      <c r="B89" s="10">
        <f t="shared" si="3"/>
        <v>0</v>
      </c>
      <c r="C89" s="11" t="e">
        <f t="shared" si="4"/>
        <v>#DIV/0!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</row>
    <row r="90" spans="1:63">
      <c r="A90" s="37"/>
      <c r="B90" s="10">
        <f t="shared" si="3"/>
        <v>0</v>
      </c>
      <c r="C90" s="11" t="e">
        <f t="shared" si="4"/>
        <v>#DIV/0!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</row>
    <row r="91" spans="1:63">
      <c r="A91" s="37"/>
      <c r="B91" s="10">
        <f t="shared" si="3"/>
        <v>0</v>
      </c>
      <c r="C91" s="11" t="e">
        <f t="shared" si="4"/>
        <v>#DIV/0!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</row>
    <row r="92" spans="1:63">
      <c r="A92" s="37"/>
      <c r="B92" s="10">
        <f t="shared" si="3"/>
        <v>0</v>
      </c>
      <c r="C92" s="11" t="e">
        <f t="shared" si="4"/>
        <v>#DIV/0!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</row>
    <row r="93" spans="1:63">
      <c r="A93" s="37"/>
      <c r="B93" s="10">
        <f t="shared" si="3"/>
        <v>0</v>
      </c>
      <c r="C93" s="11" t="e">
        <f t="shared" si="4"/>
        <v>#DIV/0!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</row>
    <row r="94" spans="1:63">
      <c r="A94" s="37"/>
      <c r="B94" s="10">
        <f t="shared" si="3"/>
        <v>0</v>
      </c>
      <c r="C94" s="11" t="e">
        <f t="shared" si="4"/>
        <v>#DIV/0!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</row>
    <row r="95" spans="1:63">
      <c r="A95" s="37"/>
      <c r="B95" s="10">
        <f t="shared" si="3"/>
        <v>0</v>
      </c>
      <c r="C95" s="11" t="e">
        <f t="shared" si="4"/>
        <v>#DIV/0!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</row>
    <row r="96" spans="1:63">
      <c r="A96" s="37"/>
      <c r="B96" s="10">
        <f t="shared" si="3"/>
        <v>0</v>
      </c>
      <c r="C96" s="11" t="e">
        <f t="shared" si="4"/>
        <v>#DIV/0!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</row>
    <row r="97" spans="1:63">
      <c r="A97" s="37"/>
      <c r="B97" s="10">
        <f t="shared" si="3"/>
        <v>0</v>
      </c>
      <c r="C97" s="11" t="e">
        <f t="shared" si="4"/>
        <v>#DIV/0!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</row>
    <row r="98" spans="1:63">
      <c r="A98" s="37"/>
      <c r="B98" s="10">
        <f t="shared" si="3"/>
        <v>0</v>
      </c>
      <c r="C98" s="11" t="e">
        <f t="shared" si="4"/>
        <v>#DIV/0!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</row>
    <row r="99" spans="1:63">
      <c r="A99" s="37"/>
      <c r="B99" s="10">
        <f t="shared" si="3"/>
        <v>0</v>
      </c>
      <c r="C99" s="11" t="e">
        <f t="shared" si="4"/>
        <v>#DIV/0!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</row>
    <row r="100" spans="1:63">
      <c r="A100" s="37"/>
      <c r="B100" s="10">
        <f t="shared" si="3"/>
        <v>0</v>
      </c>
      <c r="C100" s="11" t="e">
        <f t="shared" si="4"/>
        <v>#DIV/0!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</row>
    <row r="101" spans="1:63">
      <c r="A101" s="37"/>
      <c r="B101" s="10">
        <f t="shared" si="3"/>
        <v>0</v>
      </c>
      <c r="C101" s="11" t="e">
        <f t="shared" si="4"/>
        <v>#DIV/0!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</row>
    <row r="102" spans="1:63">
      <c r="A102" s="37"/>
      <c r="B102" s="10">
        <f t="shared" si="3"/>
        <v>0</v>
      </c>
      <c r="C102" s="11" t="e">
        <f t="shared" si="4"/>
        <v>#DIV/0!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</row>
    <row r="103" spans="1:63">
      <c r="A103" s="37"/>
      <c r="B103" s="10">
        <f t="shared" si="3"/>
        <v>0</v>
      </c>
      <c r="C103" s="11" t="e">
        <f t="shared" si="4"/>
        <v>#DIV/0!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3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7" sqref="G7"/>
    </sheetView>
  </sheetViews>
  <sheetFormatPr defaultRowHeight="15"/>
  <cols>
    <col min="1" max="1" width="29" style="1" customWidth="1"/>
    <col min="2" max="2" width="13.140625" style="1" customWidth="1"/>
    <col min="3" max="3" width="8.42578125" style="5" customWidth="1"/>
    <col min="4" max="63" width="12.7109375" style="2" bestFit="1" customWidth="1"/>
    <col min="64" max="16384" width="9.140625" style="1"/>
  </cols>
  <sheetData>
    <row r="1" spans="1:63" s="26" customFormat="1" ht="57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63" s="3" customFormat="1">
      <c r="A2" s="6" t="s">
        <v>5</v>
      </c>
      <c r="B2" s="6" t="s">
        <v>0</v>
      </c>
      <c r="C2" s="7" t="s">
        <v>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8" t="s">
        <v>41</v>
      </c>
      <c r="N2" s="8" t="s">
        <v>42</v>
      </c>
      <c r="O2" s="8" t="s">
        <v>43</v>
      </c>
      <c r="P2" s="8" t="s">
        <v>44</v>
      </c>
      <c r="Q2" s="8" t="s">
        <v>45</v>
      </c>
      <c r="R2" s="8" t="s">
        <v>46</v>
      </c>
      <c r="S2" s="8" t="s">
        <v>47</v>
      </c>
      <c r="T2" s="8" t="s">
        <v>48</v>
      </c>
      <c r="U2" s="8" t="s">
        <v>49</v>
      </c>
      <c r="V2" s="8" t="s">
        <v>50</v>
      </c>
      <c r="W2" s="8" t="s">
        <v>51</v>
      </c>
      <c r="X2" s="8" t="s">
        <v>52</v>
      </c>
      <c r="Y2" s="8" t="s">
        <v>53</v>
      </c>
      <c r="Z2" s="8" t="s">
        <v>54</v>
      </c>
      <c r="AA2" s="8" t="s">
        <v>55</v>
      </c>
      <c r="AB2" s="8" t="s">
        <v>56</v>
      </c>
      <c r="AC2" s="8" t="s">
        <v>57</v>
      </c>
      <c r="AD2" s="8" t="s">
        <v>58</v>
      </c>
      <c r="AE2" s="8" t="s">
        <v>59</v>
      </c>
      <c r="AF2" s="8" t="s">
        <v>60</v>
      </c>
      <c r="AG2" s="8" t="s">
        <v>61</v>
      </c>
      <c r="AH2" s="8" t="s">
        <v>62</v>
      </c>
      <c r="AI2" s="8" t="s">
        <v>63</v>
      </c>
      <c r="AJ2" s="8" t="s">
        <v>64</v>
      </c>
      <c r="AK2" s="8" t="s">
        <v>65</v>
      </c>
      <c r="AL2" s="8" t="s">
        <v>66</v>
      </c>
      <c r="AM2" s="8" t="s">
        <v>67</v>
      </c>
      <c r="AN2" s="8" t="s">
        <v>68</v>
      </c>
      <c r="AO2" s="8" t="s">
        <v>69</v>
      </c>
      <c r="AP2" s="8" t="s">
        <v>70</v>
      </c>
      <c r="AQ2" s="8" t="s">
        <v>71</v>
      </c>
      <c r="AR2" s="8" t="s">
        <v>72</v>
      </c>
      <c r="AS2" s="8" t="s">
        <v>73</v>
      </c>
      <c r="AT2" s="8" t="s">
        <v>74</v>
      </c>
      <c r="AU2" s="8" t="s">
        <v>75</v>
      </c>
      <c r="AV2" s="8" t="s">
        <v>76</v>
      </c>
      <c r="AW2" s="8" t="s">
        <v>77</v>
      </c>
      <c r="AX2" s="8" t="s">
        <v>78</v>
      </c>
      <c r="AY2" s="8" t="s">
        <v>79</v>
      </c>
      <c r="AZ2" s="8" t="s">
        <v>80</v>
      </c>
      <c r="BA2" s="8" t="s">
        <v>81</v>
      </c>
      <c r="BB2" s="8" t="s">
        <v>82</v>
      </c>
      <c r="BC2" s="8" t="s">
        <v>83</v>
      </c>
      <c r="BD2" s="8" t="s">
        <v>84</v>
      </c>
      <c r="BE2" s="8" t="s">
        <v>85</v>
      </c>
      <c r="BF2" s="8" t="s">
        <v>86</v>
      </c>
      <c r="BG2" s="8" t="s">
        <v>87</v>
      </c>
      <c r="BH2" s="8" t="s">
        <v>88</v>
      </c>
      <c r="BI2" s="8" t="s">
        <v>89</v>
      </c>
      <c r="BJ2" s="8" t="s">
        <v>90</v>
      </c>
      <c r="BK2" s="8" t="s">
        <v>91</v>
      </c>
    </row>
    <row r="3" spans="1:63">
      <c r="A3" s="37"/>
      <c r="B3" s="10">
        <f t="shared" ref="B3:B34" si="0">SUM(D3:BK3)</f>
        <v>0</v>
      </c>
      <c r="C3" s="11" t="e">
        <f>B3/SUM($B$3:$B$103)</f>
        <v>#DIV/0!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</row>
    <row r="4" spans="1:63">
      <c r="A4" s="37"/>
      <c r="B4" s="10">
        <f t="shared" si="0"/>
        <v>0</v>
      </c>
      <c r="C4" s="11" t="e">
        <f t="shared" ref="C4:C67" si="1">B4/SUM($B$3:$B$103)</f>
        <v>#DIV/0!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</row>
    <row r="5" spans="1:63">
      <c r="A5" s="37"/>
      <c r="B5" s="10">
        <f t="shared" si="0"/>
        <v>0</v>
      </c>
      <c r="C5" s="11" t="e">
        <f t="shared" si="1"/>
        <v>#DIV/0!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</row>
    <row r="6" spans="1:63">
      <c r="A6" s="37"/>
      <c r="B6" s="10">
        <f t="shared" si="0"/>
        <v>0</v>
      </c>
      <c r="C6" s="11" t="e">
        <f t="shared" si="1"/>
        <v>#DIV/0!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</row>
    <row r="7" spans="1:63">
      <c r="A7" s="37"/>
      <c r="B7" s="10">
        <f t="shared" si="0"/>
        <v>0</v>
      </c>
      <c r="C7" s="11" t="e">
        <f t="shared" si="1"/>
        <v>#DIV/0!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</row>
    <row r="8" spans="1:63">
      <c r="A8" s="37"/>
      <c r="B8" s="10">
        <f t="shared" si="0"/>
        <v>0</v>
      </c>
      <c r="C8" s="11" t="e">
        <f t="shared" si="1"/>
        <v>#DIV/0!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</row>
    <row r="9" spans="1:63">
      <c r="A9" s="37"/>
      <c r="B9" s="10">
        <f t="shared" si="0"/>
        <v>0</v>
      </c>
      <c r="C9" s="11" t="e">
        <f t="shared" si="1"/>
        <v>#DIV/0!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</row>
    <row r="10" spans="1:63">
      <c r="A10" s="37"/>
      <c r="B10" s="10">
        <f t="shared" si="0"/>
        <v>0</v>
      </c>
      <c r="C10" s="11" t="e">
        <f t="shared" si="1"/>
        <v>#DIV/0!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</row>
    <row r="11" spans="1:63">
      <c r="A11" s="37"/>
      <c r="B11" s="10">
        <f t="shared" si="0"/>
        <v>0</v>
      </c>
      <c r="C11" s="11" t="e">
        <f t="shared" si="1"/>
        <v>#DIV/0!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</row>
    <row r="12" spans="1:63">
      <c r="A12" s="37"/>
      <c r="B12" s="10">
        <f t="shared" si="0"/>
        <v>0</v>
      </c>
      <c r="C12" s="11" t="e">
        <f t="shared" si="1"/>
        <v>#DIV/0!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</row>
    <row r="13" spans="1:63">
      <c r="A13" s="37"/>
      <c r="B13" s="10">
        <f t="shared" si="0"/>
        <v>0</v>
      </c>
      <c r="C13" s="11" t="e">
        <f t="shared" si="1"/>
        <v>#DIV/0!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</row>
    <row r="14" spans="1:63">
      <c r="A14" s="37"/>
      <c r="B14" s="10">
        <f t="shared" si="0"/>
        <v>0</v>
      </c>
      <c r="C14" s="11" t="e">
        <f t="shared" si="1"/>
        <v>#DIV/0!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</row>
    <row r="15" spans="1:63">
      <c r="A15" s="37"/>
      <c r="B15" s="10">
        <f t="shared" si="0"/>
        <v>0</v>
      </c>
      <c r="C15" s="11" t="e">
        <f t="shared" si="1"/>
        <v>#DIV/0!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</row>
    <row r="16" spans="1:63">
      <c r="A16" s="37"/>
      <c r="B16" s="10">
        <f t="shared" si="0"/>
        <v>0</v>
      </c>
      <c r="C16" s="11" t="e">
        <f t="shared" si="1"/>
        <v>#DIV/0!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</row>
    <row r="17" spans="1:63">
      <c r="A17" s="37"/>
      <c r="B17" s="10">
        <f t="shared" si="0"/>
        <v>0</v>
      </c>
      <c r="C17" s="11" t="e">
        <f t="shared" si="1"/>
        <v>#DIV/0!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</row>
    <row r="18" spans="1:63">
      <c r="A18" s="37"/>
      <c r="B18" s="10">
        <f t="shared" si="0"/>
        <v>0</v>
      </c>
      <c r="C18" s="11" t="e">
        <f t="shared" si="1"/>
        <v>#DIV/0!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</row>
    <row r="19" spans="1:63">
      <c r="A19" s="37"/>
      <c r="B19" s="10">
        <f t="shared" si="0"/>
        <v>0</v>
      </c>
      <c r="C19" s="11" t="e">
        <f t="shared" si="1"/>
        <v>#DIV/0!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</row>
    <row r="20" spans="1:63">
      <c r="A20" s="37"/>
      <c r="B20" s="10">
        <f t="shared" si="0"/>
        <v>0</v>
      </c>
      <c r="C20" s="11" t="e">
        <f t="shared" si="1"/>
        <v>#DIV/0!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</row>
    <row r="21" spans="1:63">
      <c r="A21" s="37"/>
      <c r="B21" s="10">
        <f t="shared" si="0"/>
        <v>0</v>
      </c>
      <c r="C21" s="11" t="e">
        <f t="shared" si="1"/>
        <v>#DIV/0!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</row>
    <row r="22" spans="1:63">
      <c r="A22" s="37"/>
      <c r="B22" s="10">
        <f t="shared" si="0"/>
        <v>0</v>
      </c>
      <c r="C22" s="11" t="e">
        <f t="shared" si="1"/>
        <v>#DIV/0!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</row>
    <row r="23" spans="1:63">
      <c r="A23" s="37"/>
      <c r="B23" s="10">
        <f t="shared" si="0"/>
        <v>0</v>
      </c>
      <c r="C23" s="11" t="e">
        <f t="shared" si="1"/>
        <v>#DIV/0!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</row>
    <row r="24" spans="1:63">
      <c r="A24" s="37"/>
      <c r="B24" s="10">
        <f t="shared" si="0"/>
        <v>0</v>
      </c>
      <c r="C24" s="11" t="e">
        <f t="shared" si="1"/>
        <v>#DIV/0!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</row>
    <row r="25" spans="1:63">
      <c r="A25" s="37"/>
      <c r="B25" s="10">
        <f t="shared" si="0"/>
        <v>0</v>
      </c>
      <c r="C25" s="11" t="e">
        <f t="shared" si="1"/>
        <v>#DIV/0!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</row>
    <row r="26" spans="1:63">
      <c r="A26" s="37"/>
      <c r="B26" s="10">
        <f t="shared" si="0"/>
        <v>0</v>
      </c>
      <c r="C26" s="11" t="e">
        <f t="shared" si="1"/>
        <v>#DIV/0!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</row>
    <row r="27" spans="1:63">
      <c r="A27" s="37"/>
      <c r="B27" s="10">
        <f t="shared" si="0"/>
        <v>0</v>
      </c>
      <c r="C27" s="11" t="e">
        <f t="shared" si="1"/>
        <v>#DIV/0!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</row>
    <row r="28" spans="1:63">
      <c r="A28" s="37"/>
      <c r="B28" s="10">
        <f t="shared" si="0"/>
        <v>0</v>
      </c>
      <c r="C28" s="11" t="e">
        <f t="shared" si="1"/>
        <v>#DIV/0!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</row>
    <row r="29" spans="1:63">
      <c r="A29" s="37"/>
      <c r="B29" s="10">
        <f t="shared" si="0"/>
        <v>0</v>
      </c>
      <c r="C29" s="11" t="e">
        <f t="shared" si="1"/>
        <v>#DIV/0!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</row>
    <row r="30" spans="1:63">
      <c r="A30" s="37"/>
      <c r="B30" s="10">
        <f t="shared" si="0"/>
        <v>0</v>
      </c>
      <c r="C30" s="11" t="e">
        <f t="shared" si="1"/>
        <v>#DIV/0!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</row>
    <row r="31" spans="1:63">
      <c r="A31" s="37"/>
      <c r="B31" s="10">
        <f t="shared" si="0"/>
        <v>0</v>
      </c>
      <c r="C31" s="11" t="e">
        <f t="shared" si="1"/>
        <v>#DIV/0!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</row>
    <row r="32" spans="1:63">
      <c r="A32" s="37"/>
      <c r="B32" s="10">
        <f t="shared" si="0"/>
        <v>0</v>
      </c>
      <c r="C32" s="11" t="e">
        <f t="shared" si="1"/>
        <v>#DIV/0!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</row>
    <row r="33" spans="1:63">
      <c r="A33" s="37"/>
      <c r="B33" s="10">
        <f t="shared" si="0"/>
        <v>0</v>
      </c>
      <c r="C33" s="11" t="e">
        <f t="shared" si="1"/>
        <v>#DIV/0!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</row>
    <row r="34" spans="1:63">
      <c r="A34" s="37"/>
      <c r="B34" s="10">
        <f t="shared" si="0"/>
        <v>0</v>
      </c>
      <c r="C34" s="11" t="e">
        <f t="shared" si="1"/>
        <v>#DIV/0!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</row>
    <row r="35" spans="1:63">
      <c r="A35" s="37"/>
      <c r="B35" s="10">
        <f t="shared" ref="B35:B66" si="2">SUM(D35:BK35)</f>
        <v>0</v>
      </c>
      <c r="C35" s="11" t="e">
        <f t="shared" si="1"/>
        <v>#DIV/0!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</row>
    <row r="36" spans="1:63">
      <c r="A36" s="37"/>
      <c r="B36" s="10">
        <f t="shared" si="2"/>
        <v>0</v>
      </c>
      <c r="C36" s="11" t="e">
        <f t="shared" si="1"/>
        <v>#DIV/0!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</row>
    <row r="37" spans="1:63">
      <c r="A37" s="37"/>
      <c r="B37" s="10">
        <f t="shared" si="2"/>
        <v>0</v>
      </c>
      <c r="C37" s="11" t="e">
        <f t="shared" si="1"/>
        <v>#DIV/0!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</row>
    <row r="38" spans="1:63">
      <c r="A38" s="37"/>
      <c r="B38" s="10">
        <f t="shared" si="2"/>
        <v>0</v>
      </c>
      <c r="C38" s="11" t="e">
        <f t="shared" si="1"/>
        <v>#DIV/0!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</row>
    <row r="39" spans="1:63">
      <c r="A39" s="37"/>
      <c r="B39" s="10">
        <f t="shared" si="2"/>
        <v>0</v>
      </c>
      <c r="C39" s="11" t="e">
        <f t="shared" si="1"/>
        <v>#DIV/0!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</row>
    <row r="40" spans="1:63">
      <c r="A40" s="37"/>
      <c r="B40" s="10">
        <f t="shared" si="2"/>
        <v>0</v>
      </c>
      <c r="C40" s="11" t="e">
        <f t="shared" si="1"/>
        <v>#DIV/0!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</row>
    <row r="41" spans="1:63">
      <c r="A41" s="37"/>
      <c r="B41" s="10">
        <f t="shared" si="2"/>
        <v>0</v>
      </c>
      <c r="C41" s="11" t="e">
        <f t="shared" si="1"/>
        <v>#DIV/0!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</row>
    <row r="42" spans="1:63">
      <c r="A42" s="37"/>
      <c r="B42" s="10">
        <f t="shared" si="2"/>
        <v>0</v>
      </c>
      <c r="C42" s="11" t="e">
        <f t="shared" si="1"/>
        <v>#DIV/0!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</row>
    <row r="43" spans="1:63">
      <c r="A43" s="37"/>
      <c r="B43" s="10">
        <f t="shared" si="2"/>
        <v>0</v>
      </c>
      <c r="C43" s="11" t="e">
        <f t="shared" si="1"/>
        <v>#DIV/0!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</row>
    <row r="44" spans="1:63">
      <c r="A44" s="37"/>
      <c r="B44" s="10">
        <f t="shared" si="2"/>
        <v>0</v>
      </c>
      <c r="C44" s="11" t="e">
        <f t="shared" si="1"/>
        <v>#DIV/0!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</row>
    <row r="45" spans="1:63">
      <c r="A45" s="37"/>
      <c r="B45" s="10">
        <f t="shared" si="2"/>
        <v>0</v>
      </c>
      <c r="C45" s="11" t="e">
        <f t="shared" si="1"/>
        <v>#DIV/0!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</row>
    <row r="46" spans="1:63">
      <c r="A46" s="37"/>
      <c r="B46" s="10">
        <f t="shared" si="2"/>
        <v>0</v>
      </c>
      <c r="C46" s="11" t="e">
        <f t="shared" si="1"/>
        <v>#DIV/0!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</row>
    <row r="47" spans="1:63">
      <c r="A47" s="37"/>
      <c r="B47" s="10">
        <f t="shared" si="2"/>
        <v>0</v>
      </c>
      <c r="C47" s="11" t="e">
        <f t="shared" si="1"/>
        <v>#DIV/0!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</row>
    <row r="48" spans="1:63">
      <c r="A48" s="37"/>
      <c r="B48" s="10">
        <f t="shared" si="2"/>
        <v>0</v>
      </c>
      <c r="C48" s="11" t="e">
        <f t="shared" si="1"/>
        <v>#DIV/0!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</row>
    <row r="49" spans="1:63">
      <c r="A49" s="37"/>
      <c r="B49" s="10">
        <f t="shared" si="2"/>
        <v>0</v>
      </c>
      <c r="C49" s="11" t="e">
        <f t="shared" si="1"/>
        <v>#DIV/0!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</row>
    <row r="50" spans="1:63">
      <c r="A50" s="37"/>
      <c r="B50" s="10">
        <f t="shared" si="2"/>
        <v>0</v>
      </c>
      <c r="C50" s="11" t="e">
        <f t="shared" si="1"/>
        <v>#DIV/0!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</row>
    <row r="51" spans="1:63">
      <c r="A51" s="37"/>
      <c r="B51" s="10">
        <f t="shared" si="2"/>
        <v>0</v>
      </c>
      <c r="C51" s="11" t="e">
        <f t="shared" si="1"/>
        <v>#DIV/0!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</row>
    <row r="52" spans="1:63">
      <c r="A52" s="37"/>
      <c r="B52" s="10">
        <f t="shared" si="2"/>
        <v>0</v>
      </c>
      <c r="C52" s="11" t="e">
        <f t="shared" si="1"/>
        <v>#DIV/0!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</row>
    <row r="53" spans="1:63">
      <c r="A53" s="37"/>
      <c r="B53" s="10">
        <f t="shared" si="2"/>
        <v>0</v>
      </c>
      <c r="C53" s="11" t="e">
        <f t="shared" si="1"/>
        <v>#DIV/0!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</row>
    <row r="54" spans="1:63">
      <c r="A54" s="37"/>
      <c r="B54" s="10">
        <f t="shared" si="2"/>
        <v>0</v>
      </c>
      <c r="C54" s="11" t="e">
        <f t="shared" si="1"/>
        <v>#DIV/0!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</row>
    <row r="55" spans="1:63">
      <c r="A55" s="37"/>
      <c r="B55" s="10">
        <f t="shared" si="2"/>
        <v>0</v>
      </c>
      <c r="C55" s="11" t="e">
        <f t="shared" si="1"/>
        <v>#DIV/0!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</row>
    <row r="56" spans="1:63">
      <c r="A56" s="37"/>
      <c r="B56" s="10">
        <f t="shared" si="2"/>
        <v>0</v>
      </c>
      <c r="C56" s="11" t="e">
        <f t="shared" si="1"/>
        <v>#DIV/0!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</row>
    <row r="57" spans="1:63">
      <c r="A57" s="37"/>
      <c r="B57" s="10">
        <f t="shared" si="2"/>
        <v>0</v>
      </c>
      <c r="C57" s="11" t="e">
        <f t="shared" si="1"/>
        <v>#DIV/0!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</row>
    <row r="58" spans="1:63">
      <c r="A58" s="37"/>
      <c r="B58" s="10">
        <f t="shared" si="2"/>
        <v>0</v>
      </c>
      <c r="C58" s="11" t="e">
        <f t="shared" si="1"/>
        <v>#DIV/0!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</row>
    <row r="59" spans="1:63">
      <c r="A59" s="37"/>
      <c r="B59" s="10">
        <f t="shared" si="2"/>
        <v>0</v>
      </c>
      <c r="C59" s="11" t="e">
        <f t="shared" si="1"/>
        <v>#DIV/0!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</row>
    <row r="60" spans="1:63">
      <c r="A60" s="37"/>
      <c r="B60" s="10">
        <f t="shared" si="2"/>
        <v>0</v>
      </c>
      <c r="C60" s="11" t="e">
        <f t="shared" si="1"/>
        <v>#DIV/0!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</row>
    <row r="61" spans="1:63">
      <c r="A61" s="37"/>
      <c r="B61" s="10">
        <f t="shared" si="2"/>
        <v>0</v>
      </c>
      <c r="C61" s="11" t="e">
        <f t="shared" si="1"/>
        <v>#DIV/0!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</row>
    <row r="62" spans="1:63">
      <c r="A62" s="37"/>
      <c r="B62" s="10">
        <f t="shared" si="2"/>
        <v>0</v>
      </c>
      <c r="C62" s="11" t="e">
        <f t="shared" si="1"/>
        <v>#DIV/0!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</row>
    <row r="63" spans="1:63">
      <c r="A63" s="37"/>
      <c r="B63" s="10">
        <f t="shared" si="2"/>
        <v>0</v>
      </c>
      <c r="C63" s="11" t="e">
        <f t="shared" si="1"/>
        <v>#DIV/0!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</row>
    <row r="64" spans="1:63">
      <c r="A64" s="37"/>
      <c r="B64" s="10">
        <f t="shared" si="2"/>
        <v>0</v>
      </c>
      <c r="C64" s="11" t="e">
        <f t="shared" si="1"/>
        <v>#DIV/0!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</row>
    <row r="65" spans="1:63">
      <c r="A65" s="37"/>
      <c r="B65" s="10">
        <f t="shared" si="2"/>
        <v>0</v>
      </c>
      <c r="C65" s="11" t="e">
        <f t="shared" si="1"/>
        <v>#DIV/0!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</row>
    <row r="66" spans="1:63">
      <c r="A66" s="37"/>
      <c r="B66" s="10">
        <f t="shared" si="2"/>
        <v>0</v>
      </c>
      <c r="C66" s="11" t="e">
        <f t="shared" si="1"/>
        <v>#DIV/0!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</row>
    <row r="67" spans="1:63">
      <c r="A67" s="37"/>
      <c r="B67" s="10">
        <f t="shared" ref="B67:B103" si="3">SUM(D67:BK67)</f>
        <v>0</v>
      </c>
      <c r="C67" s="11" t="e">
        <f t="shared" si="1"/>
        <v>#DIV/0!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</row>
    <row r="68" spans="1:63">
      <c r="A68" s="37"/>
      <c r="B68" s="10">
        <f t="shared" si="3"/>
        <v>0</v>
      </c>
      <c r="C68" s="11" t="e">
        <f t="shared" ref="C68:C103" si="4">B68/SUM($B$3:$B$103)</f>
        <v>#DIV/0!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</row>
    <row r="69" spans="1:63">
      <c r="A69" s="37"/>
      <c r="B69" s="10">
        <f t="shared" si="3"/>
        <v>0</v>
      </c>
      <c r="C69" s="11" t="e">
        <f t="shared" si="4"/>
        <v>#DIV/0!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</row>
    <row r="70" spans="1:63">
      <c r="A70" s="37"/>
      <c r="B70" s="10">
        <f t="shared" si="3"/>
        <v>0</v>
      </c>
      <c r="C70" s="11" t="e">
        <f t="shared" si="4"/>
        <v>#DIV/0!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</row>
    <row r="71" spans="1:63">
      <c r="A71" s="37"/>
      <c r="B71" s="10">
        <f t="shared" si="3"/>
        <v>0</v>
      </c>
      <c r="C71" s="11" t="e">
        <f t="shared" si="4"/>
        <v>#DIV/0!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</row>
    <row r="72" spans="1:63">
      <c r="A72" s="37"/>
      <c r="B72" s="10">
        <f t="shared" si="3"/>
        <v>0</v>
      </c>
      <c r="C72" s="11" t="e">
        <f t="shared" si="4"/>
        <v>#DIV/0!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</row>
    <row r="73" spans="1:63">
      <c r="A73" s="37"/>
      <c r="B73" s="10">
        <f t="shared" si="3"/>
        <v>0</v>
      </c>
      <c r="C73" s="11" t="e">
        <f t="shared" si="4"/>
        <v>#DIV/0!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</row>
    <row r="74" spans="1:63">
      <c r="A74" s="37"/>
      <c r="B74" s="10">
        <f t="shared" si="3"/>
        <v>0</v>
      </c>
      <c r="C74" s="11" t="e">
        <f t="shared" si="4"/>
        <v>#DIV/0!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</row>
    <row r="75" spans="1:63">
      <c r="A75" s="37"/>
      <c r="B75" s="10">
        <f t="shared" si="3"/>
        <v>0</v>
      </c>
      <c r="C75" s="11" t="e">
        <f t="shared" si="4"/>
        <v>#DIV/0!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</row>
    <row r="76" spans="1:63">
      <c r="A76" s="37"/>
      <c r="B76" s="10">
        <f t="shared" si="3"/>
        <v>0</v>
      </c>
      <c r="C76" s="11" t="e">
        <f t="shared" si="4"/>
        <v>#DIV/0!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</row>
    <row r="77" spans="1:63">
      <c r="A77" s="37"/>
      <c r="B77" s="10">
        <f t="shared" si="3"/>
        <v>0</v>
      </c>
      <c r="C77" s="11" t="e">
        <f t="shared" si="4"/>
        <v>#DIV/0!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</row>
    <row r="78" spans="1:63">
      <c r="A78" s="37"/>
      <c r="B78" s="10">
        <f t="shared" si="3"/>
        <v>0</v>
      </c>
      <c r="C78" s="11" t="e">
        <f t="shared" si="4"/>
        <v>#DIV/0!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</row>
    <row r="79" spans="1:63">
      <c r="A79" s="37"/>
      <c r="B79" s="10">
        <f t="shared" si="3"/>
        <v>0</v>
      </c>
      <c r="C79" s="11" t="e">
        <f t="shared" si="4"/>
        <v>#DIV/0!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</row>
    <row r="80" spans="1:63">
      <c r="A80" s="37"/>
      <c r="B80" s="10">
        <f t="shared" si="3"/>
        <v>0</v>
      </c>
      <c r="C80" s="11" t="e">
        <f t="shared" si="4"/>
        <v>#DIV/0!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</row>
    <row r="81" spans="1:63">
      <c r="A81" s="37"/>
      <c r="B81" s="10">
        <f t="shared" si="3"/>
        <v>0</v>
      </c>
      <c r="C81" s="11" t="e">
        <f t="shared" si="4"/>
        <v>#DIV/0!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</row>
    <row r="82" spans="1:63">
      <c r="A82" s="37"/>
      <c r="B82" s="10">
        <f t="shared" si="3"/>
        <v>0</v>
      </c>
      <c r="C82" s="11" t="e">
        <f t="shared" si="4"/>
        <v>#DIV/0!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</row>
    <row r="83" spans="1:63">
      <c r="A83" s="37"/>
      <c r="B83" s="10">
        <f t="shared" si="3"/>
        <v>0</v>
      </c>
      <c r="C83" s="11" t="e">
        <f t="shared" si="4"/>
        <v>#DIV/0!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</row>
    <row r="84" spans="1:63">
      <c r="A84" s="37"/>
      <c r="B84" s="10">
        <f t="shared" si="3"/>
        <v>0</v>
      </c>
      <c r="C84" s="11" t="e">
        <f t="shared" si="4"/>
        <v>#DIV/0!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</row>
    <row r="85" spans="1:63">
      <c r="A85" s="37"/>
      <c r="B85" s="10">
        <f t="shared" si="3"/>
        <v>0</v>
      </c>
      <c r="C85" s="11" t="e">
        <f t="shared" si="4"/>
        <v>#DIV/0!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</row>
    <row r="86" spans="1:63">
      <c r="A86" s="37"/>
      <c r="B86" s="10">
        <f t="shared" si="3"/>
        <v>0</v>
      </c>
      <c r="C86" s="11" t="e">
        <f t="shared" si="4"/>
        <v>#DIV/0!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</row>
    <row r="87" spans="1:63">
      <c r="A87" s="37"/>
      <c r="B87" s="10">
        <f t="shared" si="3"/>
        <v>0</v>
      </c>
      <c r="C87" s="11" t="e">
        <f t="shared" si="4"/>
        <v>#DIV/0!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</row>
    <row r="88" spans="1:63">
      <c r="A88" s="37"/>
      <c r="B88" s="10">
        <f t="shared" si="3"/>
        <v>0</v>
      </c>
      <c r="C88" s="11" t="e">
        <f t="shared" si="4"/>
        <v>#DIV/0!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</row>
    <row r="89" spans="1:63">
      <c r="A89" s="37"/>
      <c r="B89" s="10">
        <f t="shared" si="3"/>
        <v>0</v>
      </c>
      <c r="C89" s="11" t="e">
        <f t="shared" si="4"/>
        <v>#DIV/0!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</row>
    <row r="90" spans="1:63">
      <c r="A90" s="37"/>
      <c r="B90" s="10">
        <f t="shared" si="3"/>
        <v>0</v>
      </c>
      <c r="C90" s="11" t="e">
        <f t="shared" si="4"/>
        <v>#DIV/0!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</row>
    <row r="91" spans="1:63">
      <c r="A91" s="37"/>
      <c r="B91" s="10">
        <f t="shared" si="3"/>
        <v>0</v>
      </c>
      <c r="C91" s="11" t="e">
        <f t="shared" si="4"/>
        <v>#DIV/0!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</row>
    <row r="92" spans="1:63">
      <c r="A92" s="37"/>
      <c r="B92" s="10">
        <f t="shared" si="3"/>
        <v>0</v>
      </c>
      <c r="C92" s="11" t="e">
        <f t="shared" si="4"/>
        <v>#DIV/0!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</row>
    <row r="93" spans="1:63">
      <c r="A93" s="37"/>
      <c r="B93" s="10">
        <f t="shared" si="3"/>
        <v>0</v>
      </c>
      <c r="C93" s="11" t="e">
        <f t="shared" si="4"/>
        <v>#DIV/0!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</row>
    <row r="94" spans="1:63">
      <c r="A94" s="37"/>
      <c r="B94" s="10">
        <f t="shared" si="3"/>
        <v>0</v>
      </c>
      <c r="C94" s="11" t="e">
        <f t="shared" si="4"/>
        <v>#DIV/0!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</row>
    <row r="95" spans="1:63">
      <c r="A95" s="37"/>
      <c r="B95" s="10">
        <f t="shared" si="3"/>
        <v>0</v>
      </c>
      <c r="C95" s="11" t="e">
        <f t="shared" si="4"/>
        <v>#DIV/0!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</row>
    <row r="96" spans="1:63">
      <c r="A96" s="37"/>
      <c r="B96" s="10">
        <f t="shared" si="3"/>
        <v>0</v>
      </c>
      <c r="C96" s="11" t="e">
        <f t="shared" si="4"/>
        <v>#DIV/0!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</row>
    <row r="97" spans="1:63">
      <c r="A97" s="37"/>
      <c r="B97" s="10">
        <f t="shared" si="3"/>
        <v>0</v>
      </c>
      <c r="C97" s="11" t="e">
        <f t="shared" si="4"/>
        <v>#DIV/0!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</row>
    <row r="98" spans="1:63">
      <c r="A98" s="37"/>
      <c r="B98" s="10">
        <f t="shared" si="3"/>
        <v>0</v>
      </c>
      <c r="C98" s="11" t="e">
        <f t="shared" si="4"/>
        <v>#DIV/0!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</row>
    <row r="99" spans="1:63">
      <c r="A99" s="37"/>
      <c r="B99" s="10">
        <f t="shared" si="3"/>
        <v>0</v>
      </c>
      <c r="C99" s="11" t="e">
        <f t="shared" si="4"/>
        <v>#DIV/0!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</row>
    <row r="100" spans="1:63">
      <c r="A100" s="37"/>
      <c r="B100" s="10">
        <f t="shared" si="3"/>
        <v>0</v>
      </c>
      <c r="C100" s="11" t="e">
        <f t="shared" si="4"/>
        <v>#DIV/0!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</row>
    <row r="101" spans="1:63">
      <c r="A101" s="37"/>
      <c r="B101" s="10">
        <f t="shared" si="3"/>
        <v>0</v>
      </c>
      <c r="C101" s="11" t="e">
        <f t="shared" si="4"/>
        <v>#DIV/0!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</row>
    <row r="102" spans="1:63">
      <c r="A102" s="37"/>
      <c r="B102" s="10">
        <f t="shared" si="3"/>
        <v>0</v>
      </c>
      <c r="C102" s="11" t="e">
        <f t="shared" si="4"/>
        <v>#DIV/0!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</row>
    <row r="103" spans="1:63">
      <c r="A103" s="37"/>
      <c r="B103" s="10">
        <f t="shared" si="3"/>
        <v>0</v>
      </c>
      <c r="C103" s="11" t="e">
        <f t="shared" si="4"/>
        <v>#DIV/0!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24"/>
  <sheetViews>
    <sheetView showGridLines="0" workbookViewId="0">
      <selection activeCell="A22" sqref="A22:G24"/>
    </sheetView>
  </sheetViews>
  <sheetFormatPr defaultRowHeight="15"/>
  <cols>
    <col min="1" max="1" width="29" style="12" customWidth="1"/>
    <col min="2" max="2" width="9.140625" style="12" customWidth="1"/>
    <col min="3" max="16384" width="9.140625" style="1"/>
  </cols>
  <sheetData>
    <row r="1" spans="1:27" s="26" customFormat="1" ht="57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s="14" customFormat="1">
      <c r="A2" s="13"/>
      <c r="B2" s="13"/>
      <c r="I2" s="28"/>
      <c r="J2" s="28"/>
      <c r="K2" s="28"/>
      <c r="L2" s="28"/>
      <c r="M2" s="28"/>
      <c r="N2" s="28"/>
      <c r="O2" s="28"/>
    </row>
    <row r="3" spans="1:27" s="14" customFormat="1">
      <c r="A3" s="59" t="s">
        <v>98</v>
      </c>
      <c r="B3" s="59"/>
      <c r="C3" s="59"/>
      <c r="D3" s="59"/>
      <c r="E3" s="59"/>
      <c r="F3" s="59"/>
      <c r="G3" s="59"/>
      <c r="I3" s="28"/>
      <c r="J3" s="28"/>
      <c r="K3" s="28"/>
      <c r="L3" s="28"/>
      <c r="M3" s="28"/>
      <c r="N3" s="28"/>
      <c r="O3" s="28"/>
    </row>
    <row r="4" spans="1:27" s="14" customFormat="1">
      <c r="A4" s="32" t="s">
        <v>6</v>
      </c>
      <c r="B4" s="32" t="s">
        <v>20</v>
      </c>
      <c r="C4" s="32" t="s">
        <v>92</v>
      </c>
      <c r="D4" s="32" t="s">
        <v>93</v>
      </c>
      <c r="E4" s="32" t="s">
        <v>94</v>
      </c>
      <c r="F4" s="32" t="s">
        <v>95</v>
      </c>
      <c r="G4" s="32" t="s">
        <v>96</v>
      </c>
      <c r="I4" s="28"/>
      <c r="J4" s="28"/>
      <c r="K4" s="28"/>
      <c r="L4" s="28"/>
      <c r="M4" s="28"/>
      <c r="N4" s="28"/>
      <c r="O4" s="28"/>
    </row>
    <row r="5" spans="1:27">
      <c r="A5" s="9" t="s">
        <v>7</v>
      </c>
      <c r="B5" s="10"/>
      <c r="C5" s="10">
        <f>SUM(Receitas!D$3:O$103)</f>
        <v>0</v>
      </c>
      <c r="D5" s="10">
        <f>SUM(Receitas!P$3:AA$103)</f>
        <v>0</v>
      </c>
      <c r="E5" s="10">
        <f>SUM(Receitas!AB$3:AM$103)</f>
        <v>0</v>
      </c>
      <c r="F5" s="10">
        <f>SUM(Receitas!AN$3:AY$103)</f>
        <v>0</v>
      </c>
      <c r="G5" s="10">
        <f>SUM(Receitas!AZ$3:BK$103)</f>
        <v>0</v>
      </c>
      <c r="I5" s="29"/>
      <c r="J5" s="29"/>
      <c r="K5" s="29"/>
      <c r="L5" s="29"/>
      <c r="M5" s="29"/>
      <c r="N5" s="29"/>
      <c r="O5" s="29"/>
    </row>
    <row r="6" spans="1:27">
      <c r="A6" s="9" t="s">
        <v>28</v>
      </c>
      <c r="B6" s="9"/>
      <c r="C6" s="10">
        <f>C5*Taxas!$B$6</f>
        <v>0</v>
      </c>
      <c r="D6" s="10">
        <f>D5*Taxas!$B$6</f>
        <v>0</v>
      </c>
      <c r="E6" s="10">
        <f>E5*Taxas!$B$6</f>
        <v>0</v>
      </c>
      <c r="F6" s="10">
        <f>F5*Taxas!$B$6</f>
        <v>0</v>
      </c>
      <c r="G6" s="10">
        <f>G5*Taxas!$B$6</f>
        <v>0</v>
      </c>
      <c r="I6" s="29"/>
      <c r="J6" s="29"/>
      <c r="K6" s="29"/>
      <c r="L6" s="29"/>
      <c r="M6" s="29"/>
      <c r="N6" s="29"/>
      <c r="O6" s="29"/>
    </row>
    <row r="7" spans="1:27">
      <c r="A7" s="9" t="s">
        <v>97</v>
      </c>
      <c r="B7" s="9"/>
      <c r="C7" s="10">
        <f>C5-C6</f>
        <v>0</v>
      </c>
      <c r="D7" s="10">
        <f t="shared" ref="D7:G7" si="0">D5-D6</f>
        <v>0</v>
      </c>
      <c r="E7" s="10">
        <f t="shared" si="0"/>
        <v>0</v>
      </c>
      <c r="F7" s="10">
        <f t="shared" si="0"/>
        <v>0</v>
      </c>
      <c r="G7" s="10">
        <f t="shared" si="0"/>
        <v>0</v>
      </c>
      <c r="I7" s="29"/>
      <c r="J7" s="29"/>
      <c r="K7" s="29"/>
      <c r="L7" s="29"/>
      <c r="M7" s="29"/>
      <c r="N7" s="29"/>
      <c r="O7" s="29"/>
    </row>
    <row r="8" spans="1:27">
      <c r="A8" s="9" t="s">
        <v>8</v>
      </c>
      <c r="B8" s="10"/>
      <c r="C8" s="10">
        <f>SUM(Gastos!D$3:O$103)</f>
        <v>0</v>
      </c>
      <c r="D8" s="10">
        <f>SUM(Gastos!P$3:AA$103)</f>
        <v>0</v>
      </c>
      <c r="E8" s="10">
        <f>SUM(Gastos!AB$3:AM$103)</f>
        <v>0</v>
      </c>
      <c r="F8" s="10">
        <f>SUM(Gastos!AN$3:AY$103)</f>
        <v>0</v>
      </c>
      <c r="G8" s="10">
        <f>SUM(Gastos!AZ$3:BK$103)</f>
        <v>0</v>
      </c>
      <c r="I8" s="29"/>
      <c r="J8" s="55" t="s">
        <v>25</v>
      </c>
      <c r="K8" s="55"/>
      <c r="L8" s="55"/>
      <c r="M8" s="55"/>
      <c r="N8" s="55"/>
      <c r="O8" s="55"/>
      <c r="P8" s="55"/>
    </row>
    <row r="9" spans="1:27">
      <c r="A9" s="9" t="s">
        <v>11</v>
      </c>
      <c r="B9" s="10">
        <f>Investimentos!B3</f>
        <v>0</v>
      </c>
      <c r="C9" s="10">
        <f>SUM(Investimentos!D$4:O$103)</f>
        <v>0</v>
      </c>
      <c r="D9" s="10">
        <f>SUM(Investimentos!P$4:AA$103)</f>
        <v>0</v>
      </c>
      <c r="E9" s="10">
        <f>SUM(Investimentos!AB$4:AM$103)</f>
        <v>0</v>
      </c>
      <c r="F9" s="10">
        <f>SUM(Investimentos!AN$4:AY$103)</f>
        <v>0</v>
      </c>
      <c r="G9" s="10">
        <f>SUM(Investimentos!AZ$4:BK$103)</f>
        <v>0</v>
      </c>
      <c r="I9" s="29"/>
      <c r="J9" s="55"/>
      <c r="K9" s="55"/>
      <c r="L9" s="55"/>
      <c r="M9" s="55"/>
      <c r="N9" s="55"/>
      <c r="O9" s="55"/>
      <c r="P9" s="55"/>
    </row>
    <row r="10" spans="1:27">
      <c r="A10" s="9" t="s">
        <v>9</v>
      </c>
      <c r="B10" s="10"/>
      <c r="C10" s="10">
        <f>C7-(SUM(C8,C9))</f>
        <v>0</v>
      </c>
      <c r="D10" s="10">
        <f t="shared" ref="D10:G10" si="1">D7-(SUM(D8,D9))</f>
        <v>0</v>
      </c>
      <c r="E10" s="10">
        <f t="shared" si="1"/>
        <v>0</v>
      </c>
      <c r="F10" s="10">
        <f t="shared" si="1"/>
        <v>0</v>
      </c>
      <c r="G10" s="10">
        <f t="shared" si="1"/>
        <v>0</v>
      </c>
      <c r="I10" s="29"/>
      <c r="J10" s="55"/>
      <c r="K10" s="55"/>
      <c r="L10" s="55"/>
      <c r="M10" s="55"/>
      <c r="N10" s="55"/>
      <c r="O10" s="55"/>
      <c r="P10" s="55"/>
    </row>
    <row r="11" spans="1:27">
      <c r="A11" s="9" t="s">
        <v>10</v>
      </c>
      <c r="B11" s="10"/>
      <c r="C11" s="10">
        <f>SUM(Depreciação!D$3:O$103)</f>
        <v>0</v>
      </c>
      <c r="D11" s="10">
        <f>SUM(Depreciação!P$3:AA$103)</f>
        <v>0</v>
      </c>
      <c r="E11" s="10">
        <f>SUM(Depreciação!AB$3:AM$103)</f>
        <v>0</v>
      </c>
      <c r="F11" s="10">
        <f>SUM(Depreciação!AN$3:AY$103)</f>
        <v>0</v>
      </c>
      <c r="G11" s="10">
        <f>SUM(Depreciação!AZ$3:BK$103)</f>
        <v>0</v>
      </c>
      <c r="I11" s="29"/>
      <c r="J11" s="55"/>
      <c r="K11" s="55"/>
      <c r="L11" s="55"/>
      <c r="M11" s="55"/>
      <c r="N11" s="55"/>
      <c r="O11" s="55"/>
      <c r="P11" s="55"/>
    </row>
    <row r="12" spans="1:27">
      <c r="A12" s="9" t="s">
        <v>31</v>
      </c>
      <c r="B12" s="10"/>
      <c r="C12" s="10">
        <f>IF(C10&gt;=0,C10*Taxas!$B$7,0)</f>
        <v>0</v>
      </c>
      <c r="D12" s="10">
        <f>IF(D10&gt;=0,D10*Taxas!$B$7,0)</f>
        <v>0</v>
      </c>
      <c r="E12" s="10">
        <f>IF(E10&gt;=0,E10*Taxas!$B$7,0)</f>
        <v>0</v>
      </c>
      <c r="F12" s="10">
        <f>IF(F10&gt;=0,F10*Taxas!$B$7,0)</f>
        <v>0</v>
      </c>
      <c r="G12" s="10">
        <f>IF(G10&gt;=0,G10*Taxas!$B$7,0)</f>
        <v>0</v>
      </c>
      <c r="I12" s="29"/>
      <c r="J12" s="29"/>
      <c r="K12" s="29"/>
      <c r="L12" s="29"/>
      <c r="M12" s="29"/>
      <c r="N12" s="29"/>
      <c r="O12" s="29"/>
    </row>
    <row r="13" spans="1:27">
      <c r="A13" s="9" t="s">
        <v>99</v>
      </c>
      <c r="B13" s="10">
        <f>-B9</f>
        <v>0</v>
      </c>
      <c r="C13" s="10">
        <f>C10-(C11+C12)</f>
        <v>0</v>
      </c>
      <c r="D13" s="10">
        <f t="shared" ref="D13:G13" si="2">D10-(D11+D12)</f>
        <v>0</v>
      </c>
      <c r="E13" s="10">
        <f t="shared" si="2"/>
        <v>0</v>
      </c>
      <c r="F13" s="10">
        <f t="shared" si="2"/>
        <v>0</v>
      </c>
      <c r="G13" s="10">
        <f t="shared" si="2"/>
        <v>0</v>
      </c>
      <c r="I13" s="30"/>
      <c r="J13" s="30"/>
      <c r="K13" s="30"/>
      <c r="L13" s="30"/>
      <c r="M13" s="30"/>
      <c r="N13" s="30"/>
      <c r="O13" s="29"/>
    </row>
    <row r="14" spans="1:27">
      <c r="A14" s="9" t="s">
        <v>12</v>
      </c>
      <c r="B14" s="10">
        <f>B13</f>
        <v>0</v>
      </c>
      <c r="C14" s="10">
        <f>C13</f>
        <v>0</v>
      </c>
      <c r="D14" s="10">
        <f>C14+D13</f>
        <v>0</v>
      </c>
      <c r="E14" s="10">
        <f t="shared" ref="E14:G14" si="3">D14+E13</f>
        <v>0</v>
      </c>
      <c r="F14" s="10">
        <f t="shared" si="3"/>
        <v>0</v>
      </c>
      <c r="G14" s="10">
        <f t="shared" si="3"/>
        <v>0</v>
      </c>
      <c r="I14" s="30"/>
      <c r="J14" s="30"/>
      <c r="K14" s="30"/>
      <c r="L14" s="30"/>
      <c r="M14" s="30"/>
      <c r="N14" s="30"/>
      <c r="O14" s="29"/>
    </row>
    <row r="15" spans="1:27">
      <c r="I15" s="29"/>
      <c r="J15" s="29"/>
      <c r="K15" s="29"/>
      <c r="L15" s="29"/>
      <c r="M15" s="29"/>
      <c r="N15" s="29"/>
      <c r="O15" s="29"/>
    </row>
    <row r="16" spans="1:27">
      <c r="I16" s="29"/>
      <c r="J16" s="29"/>
      <c r="K16" s="29"/>
      <c r="L16" s="29"/>
      <c r="M16" s="29"/>
      <c r="N16" s="29"/>
      <c r="O16" s="29"/>
    </row>
    <row r="17" spans="1:15">
      <c r="A17" s="31" t="s">
        <v>14</v>
      </c>
      <c r="B17" s="13"/>
      <c r="E17" s="29"/>
      <c r="F17" s="29"/>
      <c r="I17" s="29"/>
      <c r="J17" s="29"/>
      <c r="K17" s="29"/>
      <c r="L17" s="29"/>
      <c r="M17" s="29"/>
      <c r="N17" s="29"/>
      <c r="O17" s="29"/>
    </row>
    <row r="18" spans="1:15">
      <c r="A18" s="12" t="s">
        <v>15</v>
      </c>
      <c r="B18" s="15">
        <f>NPV(Taxas!B9,Indicadores!B13:G13)</f>
        <v>0</v>
      </c>
      <c r="C18" s="15"/>
      <c r="E18" s="29">
        <f>IF(B18&gt;0,1,0)</f>
        <v>0</v>
      </c>
      <c r="F18" s="29"/>
      <c r="I18" s="29"/>
      <c r="J18" s="29"/>
      <c r="K18" s="29"/>
      <c r="L18" s="29"/>
      <c r="M18" s="29"/>
      <c r="N18" s="29"/>
      <c r="O18" s="29"/>
    </row>
    <row r="19" spans="1:15">
      <c r="A19" s="12" t="s">
        <v>16</v>
      </c>
      <c r="B19" s="16" t="e">
        <f>IRR(B13:G13)</f>
        <v>#NUM!</v>
      </c>
      <c r="E19" s="29" t="e">
        <f>IF(B19&gt;Taxas!B8,1,0)</f>
        <v>#NUM!</v>
      </c>
      <c r="F19" s="29"/>
    </row>
    <row r="20" spans="1:15">
      <c r="A20" s="12" t="s">
        <v>17</v>
      </c>
      <c r="B20" s="17" t="e">
        <f>(SUM(B5:G5)/(SUM(B8:G9)))</f>
        <v>#DIV/0!</v>
      </c>
      <c r="E20" s="29"/>
      <c r="F20" s="29"/>
    </row>
    <row r="22" spans="1:15">
      <c r="A22" s="58" t="e">
        <f>IF(SUM(E18:E19)=2,"O investimento está com indicação positiva, mostrando ser interessante, pois o VPL é maior que 0 (Zero) e o TIR é maior que o TMA","")</f>
        <v>#NUM!</v>
      </c>
      <c r="B22" s="58"/>
      <c r="C22" s="58"/>
      <c r="D22" s="58"/>
      <c r="E22" s="58"/>
      <c r="F22" s="58"/>
      <c r="G22" s="58"/>
    </row>
    <row r="23" spans="1:15">
      <c r="A23" s="58"/>
      <c r="B23" s="58"/>
      <c r="C23" s="58"/>
      <c r="D23" s="58"/>
      <c r="E23" s="58"/>
      <c r="F23" s="58"/>
      <c r="G23" s="58"/>
    </row>
    <row r="24" spans="1:15">
      <c r="A24" s="58"/>
      <c r="B24" s="58"/>
      <c r="C24" s="58"/>
      <c r="D24" s="58"/>
      <c r="E24" s="58"/>
      <c r="F24" s="58"/>
      <c r="G24" s="58"/>
    </row>
  </sheetData>
  <mergeCells count="3">
    <mergeCell ref="A22:G24"/>
    <mergeCell ref="J8:P11"/>
    <mergeCell ref="A3:G3"/>
  </mergeCells>
  <conditionalFormatting sqref="A22:G24">
    <cfRule type="notContainsBlanks" dxfId="0" priority="2">
      <formula>LEN(TRIM(A22))&gt;0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Painel Inicial</vt:lpstr>
      <vt:lpstr>Como Utilizar</vt:lpstr>
      <vt:lpstr>Taxas</vt:lpstr>
      <vt:lpstr>Investimentos</vt:lpstr>
      <vt:lpstr>Receitas</vt:lpstr>
      <vt:lpstr>Gastos</vt:lpstr>
      <vt:lpstr>Depreciação</vt:lpstr>
      <vt:lpstr>Indicadores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Moura Cardoso</dc:creator>
  <cp:lastModifiedBy>Dayvson Carvalho</cp:lastModifiedBy>
  <dcterms:created xsi:type="dcterms:W3CDTF">2016-12-22T03:15:22Z</dcterms:created>
  <dcterms:modified xsi:type="dcterms:W3CDTF">2018-03-02T12:48:28Z</dcterms:modified>
</cp:coreProperties>
</file>