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Ricardo Borges\Desktop\"/>
    </mc:Choice>
  </mc:AlternateContent>
  <bookViews>
    <workbookView xWindow="0" yWindow="0" windowWidth="20490" windowHeight="7755" xr2:uid="{00000000-000D-0000-FFFF-FFFF00000000}"/>
  </bookViews>
  <sheets>
    <sheet name="Plan1" sheetId="1" r:id="rId1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K18" i="1"/>
  <c r="H21" i="1"/>
  <c r="G21" i="1"/>
  <c r="F2" i="1"/>
  <c r="F3" i="1"/>
  <c r="F4" i="1"/>
  <c r="F5" i="1"/>
  <c r="F6" i="1"/>
  <c r="F7" i="1"/>
  <c r="F21" i="1"/>
  <c r="E21" i="1"/>
  <c r="D21" i="1"/>
  <c r="C21" i="1"/>
  <c r="F8" i="1"/>
  <c r="F9" i="1"/>
  <c r="H24" i="1"/>
  <c r="G24" i="1"/>
  <c r="F24" i="1"/>
  <c r="E24" i="1"/>
  <c r="D24" i="1"/>
  <c r="C24" i="1"/>
  <c r="H22" i="1"/>
  <c r="G22" i="1"/>
  <c r="F22" i="1"/>
  <c r="E22" i="1"/>
  <c r="D22" i="1"/>
  <c r="C22" i="1"/>
  <c r="H20" i="1"/>
  <c r="G20" i="1"/>
  <c r="F20" i="1"/>
  <c r="E20" i="1"/>
  <c r="D20" i="1"/>
  <c r="C20" i="1"/>
  <c r="H13" i="1"/>
  <c r="G13" i="1"/>
  <c r="F13" i="1"/>
  <c r="E13" i="1"/>
  <c r="D13" i="1"/>
  <c r="C13" i="1"/>
  <c r="H18" i="1"/>
  <c r="G18" i="1"/>
  <c r="F18" i="1"/>
  <c r="E18" i="1"/>
  <c r="D18" i="1"/>
  <c r="C18" i="1"/>
  <c r="H23" i="1"/>
  <c r="G23" i="1"/>
  <c r="F23" i="1"/>
  <c r="E23" i="1"/>
  <c r="D23" i="1"/>
  <c r="C23" i="1"/>
  <c r="H19" i="1"/>
  <c r="G19" i="1"/>
  <c r="F19" i="1"/>
  <c r="E19" i="1"/>
  <c r="D19" i="1"/>
  <c r="C19" i="1"/>
  <c r="H16" i="1"/>
  <c r="G16" i="1"/>
  <c r="F16" i="1"/>
  <c r="E16" i="1"/>
  <c r="D16" i="1"/>
  <c r="C16" i="1"/>
  <c r="H14" i="1"/>
  <c r="G14" i="1"/>
  <c r="F14" i="1"/>
  <c r="E14" i="1"/>
  <c r="D14" i="1"/>
  <c r="C14" i="1"/>
  <c r="H17" i="1"/>
  <c r="G17" i="1"/>
  <c r="F17" i="1"/>
  <c r="E17" i="1"/>
  <c r="D17" i="1"/>
  <c r="C17" i="1"/>
  <c r="H15" i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<sst xmlns="http://schemas.openxmlformats.org/spreadsheetml/2006/main" count="27" uniqueCount="27">
  <si>
    <t>Projeto até</t>
  </si>
  <si>
    <t>demais</t>
  </si>
  <si>
    <t>GSD CM</t>
  </si>
  <si>
    <t>Fator de desconto</t>
  </si>
  <si>
    <t>link</t>
  </si>
  <si>
    <t>http://www.santos.sp.gov.br/node/212779</t>
  </si>
  <si>
    <t>Santos</t>
  </si>
  <si>
    <t>GSD</t>
  </si>
  <si>
    <t>10 cm</t>
  </si>
  <si>
    <t>Área km²</t>
  </si>
  <si>
    <t>hectares</t>
  </si>
  <si>
    <t>preço por hectare</t>
  </si>
  <si>
    <t>diárias</t>
  </si>
  <si>
    <t>impostos</t>
  </si>
  <si>
    <t>processamento</t>
  </si>
  <si>
    <t>deslocamento</t>
  </si>
  <si>
    <t>TOTAL</t>
  </si>
  <si>
    <t>planejamento por área</t>
  </si>
  <si>
    <t>vôo de drone tabela abaixo</t>
  </si>
  <si>
    <t>curvas de nível % do processamento</t>
  </si>
  <si>
    <t>Tabela de sugestão para composição de preços que considera</t>
  </si>
  <si>
    <t>o preço fechado de um trabalho de um aerolevantamento</t>
  </si>
  <si>
    <t>tradicional com aeronave tripulada e fatores de desconto</t>
  </si>
  <si>
    <t>para serviços de drone e acréscimo de acordo com valores</t>
  </si>
  <si>
    <t>de projetos com menores custos.</t>
  </si>
  <si>
    <t>Editar apenas as céulas em vermelho, as demais não foram</t>
  </si>
  <si>
    <t>bloqueadas caso desejem checar e editar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</si>
</sst>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;[Red]\-&quot;R$&quot;\ #,##0"/>
    <numFmt numFmtId="165" formatCode="_-&quot;R$&quot;\ * #,##0.00_-;\-&quot;R$&quot;\ * #,##0.00_-;_-&quot;R$&quot;\ * &quot;-&quot;??_-;_-@_-"/>
    <numFmt numFmtId="166" formatCode="_-&quot;R$&quot;\ * #,##0_-;\-&quot;R$&quot;\ * #,##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9" fontId="4" fillId="2" borderId="1" xfId="2" applyFont="1" applyFill="1" applyBorder="1"/>
    <xf numFmtId="164" fontId="4" fillId="2" borderId="2" xfId="0" applyNumberFormat="1" applyFont="1" applyFill="1" applyBorder="1" applyAlignment="1">
      <alignment horizontal="left"/>
    </xf>
    <xf numFmtId="164" fontId="4" fillId="2" borderId="2" xfId="0" applyNumberFormat="1" applyFont="1" applyFill="1" applyBorder="1"/>
    <xf numFmtId="166" fontId="4" fillId="2" borderId="2" xfId="1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Border="1"/>
    <xf numFmtId="9" fontId="2" fillId="2" borderId="0" xfId="2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left"/>
    </xf>
    <xf numFmtId="165" fontId="2" fillId="3" borderId="0" xfId="1" applyFont="1" applyFill="1" applyBorder="1" applyAlignment="1">
      <alignment horizontal="right"/>
    </xf>
    <xf numFmtId="0" fontId="2" fillId="3" borderId="0" xfId="0" applyFont="1" applyFill="1" applyBorder="1"/>
    <xf numFmtId="0" fontId="2" fillId="3" borderId="10" xfId="0" applyFont="1" applyFill="1" applyBorder="1"/>
    <xf numFmtId="0" fontId="2" fillId="3" borderId="0" xfId="0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left"/>
    </xf>
    <xf numFmtId="165" fontId="2" fillId="3" borderId="12" xfId="1" applyFont="1" applyFill="1" applyBorder="1" applyAlignment="1">
      <alignment horizontal="right"/>
    </xf>
    <xf numFmtId="0" fontId="2" fillId="3" borderId="12" xfId="0" applyFont="1" applyFill="1" applyBorder="1"/>
    <xf numFmtId="0" fontId="2" fillId="3" borderId="13" xfId="0" applyFont="1" applyFill="1" applyBorder="1"/>
    <xf numFmtId="0" fontId="2" fillId="2" borderId="14" xfId="0" applyFont="1" applyFill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165" fontId="5" fillId="2" borderId="15" xfId="0" applyNumberFormat="1" applyFont="1" applyFill="1" applyBorder="1" applyAlignment="1">
      <alignment horizontal="center"/>
    </xf>
    <xf numFmtId="0" fontId="7" fillId="2" borderId="15" xfId="0" applyNumberFormat="1" applyFont="1" applyFill="1" applyBorder="1" applyAlignment="1">
      <alignment horizontal="center"/>
    </xf>
    <xf numFmtId="165" fontId="8" fillId="2" borderId="16" xfId="0" applyNumberFormat="1" applyFont="1" applyFill="1" applyBorder="1" applyAlignment="1">
      <alignment horizontal="center"/>
    </xf>
    <xf numFmtId="9" fontId="6" fillId="4" borderId="0" xfId="2" applyFont="1" applyFill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0" fontId="3" fillId="0" borderId="0" xfId="0" applyFont="1" applyFill="1"/>
    <xf numFmtId="9" fontId="7" fillId="0" borderId="0" xfId="2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left"/>
    </xf>
    <xf numFmtId="165" fontId="7" fillId="0" borderId="0" xfId="0" applyNumberFormat="1" applyFont="1" applyFill="1" applyBorder="1" applyAlignment="1">
      <alignment horizontal="center"/>
    </xf>
    <xf numFmtId="165" fontId="6" fillId="0" borderId="18" xfId="1" applyFont="1" applyFill="1" applyBorder="1" applyAlignment="1">
      <alignment horizontal="center"/>
    </xf>
    <xf numFmtId="0" fontId="6" fillId="0" borderId="18" xfId="2" applyNumberFormat="1" applyFont="1" applyFill="1" applyBorder="1" applyAlignment="1">
      <alignment horizontal="center"/>
    </xf>
    <xf numFmtId="165" fontId="7" fillId="0" borderId="19" xfId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165" fontId="7" fillId="0" borderId="5" xfId="0" applyNumberFormat="1" applyFont="1" applyFill="1" applyBorder="1" applyAlignment="1">
      <alignment horizontal="center"/>
    </xf>
    <xf numFmtId="165" fontId="6" fillId="0" borderId="0" xfId="1" applyFont="1" applyFill="1" applyBorder="1" applyAlignment="1">
      <alignment horizontal="center"/>
    </xf>
    <xf numFmtId="9" fontId="6" fillId="0" borderId="0" xfId="2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4"/>
  <sheetViews>
    <sheetView tabSelected="1" topLeftCell="D1" workbookViewId="0" xr3:uid="{AEA406A1-0E4B-5B11-9CD5-51D6E497D94C}"/>
  </sheetViews>
  <sheetFormatPr defaultColWidth="9.14453125" defaultRowHeight="15" x14ac:dyDescent="0.2"/>
  <cols>
    <col min="1" max="1" width="3.765625" style="1" customWidth="1"/>
    <col min="2" max="2" width="16.8125" style="1" customWidth="1"/>
    <col min="3" max="3" width="16.94921875" style="1" bestFit="1" customWidth="1"/>
    <col min="4" max="4" width="10.625" style="1" bestFit="1" customWidth="1"/>
    <col min="5" max="5" width="10.625" style="1" customWidth="1"/>
    <col min="6" max="6" width="16.41015625" style="1" bestFit="1" customWidth="1"/>
    <col min="7" max="7" width="12.10546875" style="1" bestFit="1" customWidth="1"/>
    <col min="8" max="8" width="10.625" style="1" bestFit="1" customWidth="1"/>
    <col min="9" max="9" width="9.14453125" style="1"/>
    <col min="10" max="10" width="16.6796875" style="1" bestFit="1" customWidth="1"/>
    <col min="11" max="11" width="18.5625" style="1" customWidth="1"/>
    <col min="12" max="14" width="9.14453125" style="1"/>
    <col min="15" max="18" width="8.609375" customWidth="1"/>
    <col min="19" max="16384" width="9.14453125" style="1"/>
  </cols>
  <sheetData>
    <row r="1" spans="2:18" ht="15.75" thickBot="1" x14ac:dyDescent="0.25">
      <c r="G1" s="35"/>
      <c r="H1" s="35"/>
      <c r="I1" s="35"/>
      <c r="J1" s="35"/>
      <c r="K1" s="35"/>
      <c r="O1" s="1"/>
      <c r="P1" s="1"/>
      <c r="Q1" s="1"/>
      <c r="R1" s="1"/>
    </row>
    <row r="2" spans="2:18" x14ac:dyDescent="0.2">
      <c r="B2" s="51" t="s">
        <v>12</v>
      </c>
      <c r="C2" s="52"/>
      <c r="D2" s="39">
        <v>700</v>
      </c>
      <c r="E2" s="40">
        <v>3</v>
      </c>
      <c r="F2" s="41">
        <f>D2*E2</f>
        <v>2100</v>
      </c>
      <c r="G2" s="36"/>
      <c r="H2" s="37"/>
      <c r="I2" s="35"/>
      <c r="J2" s="35" t="s">
        <v>20</v>
      </c>
      <c r="K2" s="35"/>
      <c r="O2" s="1"/>
      <c r="P2" s="1"/>
      <c r="Q2" s="1"/>
      <c r="R2" s="1"/>
    </row>
    <row r="3" spans="2:18" x14ac:dyDescent="0.2">
      <c r="B3" s="47" t="s">
        <v>17</v>
      </c>
      <c r="C3" s="48"/>
      <c r="D3" s="42">
        <v>500</v>
      </c>
      <c r="E3" s="43">
        <v>1</v>
      </c>
      <c r="F3" s="44">
        <f t="shared" ref="F3:F4" si="0">D3*E3</f>
        <v>500</v>
      </c>
      <c r="G3" s="38"/>
      <c r="H3" s="38"/>
      <c r="I3" s="35"/>
      <c r="J3" s="35" t="s">
        <v>21</v>
      </c>
      <c r="K3" s="35"/>
      <c r="O3" s="1"/>
      <c r="P3" s="1"/>
      <c r="Q3" s="1"/>
      <c r="R3" s="1"/>
    </row>
    <row r="4" spans="2:18" x14ac:dyDescent="0.2">
      <c r="B4" s="47" t="s">
        <v>15</v>
      </c>
      <c r="C4" s="48"/>
      <c r="D4" s="45">
        <v>0</v>
      </c>
      <c r="E4" s="43">
        <v>0</v>
      </c>
      <c r="F4" s="44">
        <f t="shared" si="0"/>
        <v>0</v>
      </c>
      <c r="G4" s="38"/>
      <c r="H4" s="38"/>
      <c r="I4" s="35"/>
      <c r="J4" s="35" t="s">
        <v>22</v>
      </c>
      <c r="K4" s="35"/>
      <c r="O4" s="1"/>
      <c r="P4" s="1"/>
      <c r="Q4" s="1"/>
      <c r="R4" s="1"/>
    </row>
    <row r="5" spans="2:18" x14ac:dyDescent="0.2">
      <c r="B5" s="47" t="s">
        <v>18</v>
      </c>
      <c r="C5" s="48"/>
      <c r="D5" s="42">
        <v>42.64</v>
      </c>
      <c r="E5" s="43">
        <v>200</v>
      </c>
      <c r="F5" s="44">
        <f>D5*E5</f>
        <v>8528</v>
      </c>
      <c r="G5" s="38"/>
      <c r="H5" s="38"/>
      <c r="I5" s="35"/>
      <c r="J5" s="35" t="s">
        <v>23</v>
      </c>
      <c r="K5" s="35"/>
      <c r="O5" s="1"/>
      <c r="P5" s="1"/>
      <c r="Q5" s="1"/>
      <c r="R5" s="1"/>
    </row>
    <row r="6" spans="2:18" x14ac:dyDescent="0.2">
      <c r="B6" s="47" t="s">
        <v>14</v>
      </c>
      <c r="C6" s="48"/>
      <c r="D6" s="42"/>
      <c r="E6" s="43"/>
      <c r="F6" s="44">
        <f>F5*0.5</f>
        <v>4264</v>
      </c>
      <c r="G6" s="38"/>
      <c r="H6" s="38"/>
      <c r="I6" s="35"/>
      <c r="J6" s="35" t="s">
        <v>24</v>
      </c>
      <c r="K6" s="35"/>
      <c r="O6" s="1"/>
      <c r="P6" s="1"/>
      <c r="Q6" s="1"/>
      <c r="R6" s="1"/>
    </row>
    <row r="7" spans="2:18" x14ac:dyDescent="0.2">
      <c r="B7" s="47" t="s">
        <v>19</v>
      </c>
      <c r="C7" s="48"/>
      <c r="D7" s="42"/>
      <c r="E7" s="46">
        <v>2</v>
      </c>
      <c r="F7" s="44">
        <f>F6*E7</f>
        <v>8528</v>
      </c>
      <c r="G7" s="38"/>
      <c r="H7" s="38"/>
      <c r="I7" s="35"/>
      <c r="J7" s="35"/>
      <c r="K7" s="35"/>
      <c r="O7" s="1"/>
      <c r="P7" s="1"/>
      <c r="Q7" s="1"/>
      <c r="R7" s="1"/>
    </row>
    <row r="8" spans="2:18" x14ac:dyDescent="0.2">
      <c r="B8" s="47" t="s">
        <v>13</v>
      </c>
      <c r="C8" s="48"/>
      <c r="D8" s="42"/>
      <c r="E8" s="46">
        <v>0.12</v>
      </c>
      <c r="F8" s="44">
        <f>(SUM(F2:F7)/(1-E8))-SUM(F2:F7)</f>
        <v>3261.8181818181802</v>
      </c>
      <c r="G8" s="38"/>
      <c r="H8" s="35"/>
      <c r="I8" s="35"/>
      <c r="J8" s="35" t="s">
        <v>25</v>
      </c>
      <c r="K8" s="35"/>
      <c r="O8" s="1"/>
      <c r="P8" s="1"/>
      <c r="Q8" s="1"/>
      <c r="R8" s="1"/>
    </row>
    <row r="9" spans="2:18" ht="18.75" thickBot="1" x14ac:dyDescent="0.3">
      <c r="B9" s="49" t="s">
        <v>16</v>
      </c>
      <c r="C9" s="50"/>
      <c r="D9" s="30"/>
      <c r="E9" s="31"/>
      <c r="F9" s="32">
        <f>SUM(F2:F8)</f>
        <v>27181.81818181818</v>
      </c>
      <c r="G9" s="38"/>
      <c r="H9" s="38"/>
      <c r="I9" s="35"/>
      <c r="J9" s="35" t="s">
        <v>26</v>
      </c>
      <c r="K9" s="35"/>
      <c r="O9" s="1"/>
      <c r="P9" s="1"/>
      <c r="Q9" s="1"/>
      <c r="R9" s="1"/>
    </row>
    <row r="10" spans="2:18" ht="15.75" thickBot="1" x14ac:dyDescent="0.25">
      <c r="O10" s="1"/>
      <c r="P10" s="1"/>
      <c r="Q10" s="1"/>
      <c r="R10" s="1"/>
    </row>
    <row r="11" spans="2:18" ht="15.75" thickBot="1" x14ac:dyDescent="0.25">
      <c r="B11" s="2" t="s">
        <v>0</v>
      </c>
      <c r="C11" s="3">
        <v>20000</v>
      </c>
      <c r="D11" s="3">
        <v>70000</v>
      </c>
      <c r="E11" s="4">
        <v>150000</v>
      </c>
      <c r="F11" s="5">
        <v>300000</v>
      </c>
      <c r="G11" s="5">
        <v>500000</v>
      </c>
      <c r="H11" s="6" t="s">
        <v>1</v>
      </c>
      <c r="O11" s="1"/>
      <c r="P11" s="1"/>
      <c r="Q11" s="1"/>
      <c r="R11" s="1"/>
    </row>
    <row r="12" spans="2:18" ht="15.75" thickBot="1" x14ac:dyDescent="0.25">
      <c r="B12" s="7" t="s">
        <v>2</v>
      </c>
      <c r="C12" s="8" t="s">
        <v>3</v>
      </c>
      <c r="D12" s="33">
        <v>0.4</v>
      </c>
      <c r="E12" s="9"/>
      <c r="F12" s="9"/>
      <c r="G12" s="9"/>
      <c r="H12" s="10"/>
      <c r="O12" s="1"/>
      <c r="P12" s="1"/>
      <c r="Q12" s="1"/>
      <c r="R12" s="1"/>
    </row>
    <row r="13" spans="2:18" x14ac:dyDescent="0.2">
      <c r="B13" s="11">
        <v>2</v>
      </c>
      <c r="C13" s="12">
        <f t="shared" ref="C13:G13" si="1">D13*1.2</f>
        <v>460.47202846975068</v>
      </c>
      <c r="D13" s="12">
        <f t="shared" si="1"/>
        <v>383.72669039145893</v>
      </c>
      <c r="E13" s="12">
        <f t="shared" si="1"/>
        <v>319.77224199288247</v>
      </c>
      <c r="F13" s="12">
        <f t="shared" si="1"/>
        <v>266.47686832740209</v>
      </c>
      <c r="G13" s="12">
        <f t="shared" si="1"/>
        <v>222.06405693950177</v>
      </c>
      <c r="H13" s="13">
        <f>$H$21/(B13*B13)*100</f>
        <v>185.05338078291814</v>
      </c>
      <c r="J13" s="14" t="s">
        <v>4</v>
      </c>
      <c r="K13" s="15" t="s">
        <v>5</v>
      </c>
      <c r="L13" s="16"/>
      <c r="M13" s="16"/>
      <c r="N13" s="17"/>
      <c r="O13" s="1"/>
      <c r="P13" s="1"/>
      <c r="Q13" s="1"/>
      <c r="R13" s="1"/>
    </row>
    <row r="14" spans="2:18" x14ac:dyDescent="0.2">
      <c r="B14" s="11">
        <v>3</v>
      </c>
      <c r="C14" s="12">
        <f t="shared" ref="C14:G14" si="2">D14*1.2</f>
        <v>204.65423487544476</v>
      </c>
      <c r="D14" s="12">
        <f t="shared" si="2"/>
        <v>170.54519572953731</v>
      </c>
      <c r="E14" s="12">
        <f t="shared" si="2"/>
        <v>142.12099644128111</v>
      </c>
      <c r="F14" s="12">
        <f t="shared" si="2"/>
        <v>118.4341637010676</v>
      </c>
      <c r="G14" s="12">
        <f t="shared" si="2"/>
        <v>98.695136417556341</v>
      </c>
      <c r="H14" s="13">
        <f>$H$21/(B14*B14)*100</f>
        <v>82.245947014630289</v>
      </c>
      <c r="J14" s="18" t="s">
        <v>6</v>
      </c>
      <c r="K14" s="19">
        <v>520000</v>
      </c>
      <c r="L14" s="20"/>
      <c r="M14" s="20"/>
      <c r="N14" s="21"/>
      <c r="O14" s="1"/>
      <c r="P14" s="1"/>
      <c r="Q14" s="1"/>
      <c r="R14" s="1"/>
    </row>
    <row r="15" spans="2:18" x14ac:dyDescent="0.2">
      <c r="B15" s="11">
        <v>4</v>
      </c>
      <c r="C15" s="12">
        <f t="shared" ref="C15:G15" si="3">D15*1.2</f>
        <v>115.11800711743767</v>
      </c>
      <c r="D15" s="12">
        <f t="shared" si="3"/>
        <v>95.931672597864733</v>
      </c>
      <c r="E15" s="12">
        <f t="shared" si="3"/>
        <v>79.943060498220618</v>
      </c>
      <c r="F15" s="12">
        <f t="shared" si="3"/>
        <v>66.619217081850522</v>
      </c>
      <c r="G15" s="12">
        <f t="shared" si="3"/>
        <v>55.516014234875442</v>
      </c>
      <c r="H15" s="13">
        <f>$H$21/(B15*B15)*100</f>
        <v>46.263345195729535</v>
      </c>
      <c r="J15" s="18" t="s">
        <v>7</v>
      </c>
      <c r="K15" s="22" t="s">
        <v>8</v>
      </c>
      <c r="L15" s="20"/>
      <c r="M15" s="20"/>
      <c r="N15" s="21"/>
      <c r="O15" s="1"/>
      <c r="P15" s="1"/>
      <c r="Q15" s="1"/>
      <c r="R15" s="1"/>
    </row>
    <row r="16" spans="2:18" x14ac:dyDescent="0.2">
      <c r="B16" s="11">
        <v>5</v>
      </c>
      <c r="C16" s="12">
        <f t="shared" ref="C16:G16" si="4">D16*1.2</f>
        <v>73.675524555160109</v>
      </c>
      <c r="D16" s="12">
        <f t="shared" si="4"/>
        <v>61.396270462633424</v>
      </c>
      <c r="E16" s="12">
        <f t="shared" si="4"/>
        <v>51.163558718861189</v>
      </c>
      <c r="F16" s="12">
        <f t="shared" si="4"/>
        <v>42.636298932384328</v>
      </c>
      <c r="G16" s="12">
        <f t="shared" si="4"/>
        <v>35.530249110320277</v>
      </c>
      <c r="H16" s="13">
        <f>$H$21/(B16*B16)*100</f>
        <v>29.608540925266901</v>
      </c>
      <c r="J16" s="18" t="s">
        <v>9</v>
      </c>
      <c r="K16" s="22">
        <v>281</v>
      </c>
      <c r="L16" s="20"/>
      <c r="M16" s="20"/>
      <c r="N16" s="21"/>
      <c r="O16" s="1"/>
      <c r="P16" s="1"/>
      <c r="Q16" s="1"/>
      <c r="R16" s="1"/>
    </row>
    <row r="17" spans="2:18" x14ac:dyDescent="0.2">
      <c r="B17" s="11">
        <v>6</v>
      </c>
      <c r="C17" s="12">
        <f t="shared" ref="C17:G17" si="5">D17*1.2</f>
        <v>51.163558718861189</v>
      </c>
      <c r="D17" s="12">
        <f t="shared" si="5"/>
        <v>42.636298932384328</v>
      </c>
      <c r="E17" s="12">
        <f t="shared" si="5"/>
        <v>35.530249110320277</v>
      </c>
      <c r="F17" s="12">
        <f t="shared" si="5"/>
        <v>29.608540925266901</v>
      </c>
      <c r="G17" s="12">
        <f t="shared" si="5"/>
        <v>24.673784104389085</v>
      </c>
      <c r="H17" s="13">
        <f>$H$21/(B17*B17)*100</f>
        <v>20.561486753657572</v>
      </c>
      <c r="J17" s="18" t="s">
        <v>10</v>
      </c>
      <c r="K17" s="23">
        <f>K16*100</f>
        <v>28100</v>
      </c>
      <c r="L17" s="20"/>
      <c r="M17" s="20"/>
      <c r="N17" s="21"/>
      <c r="O17" s="1"/>
      <c r="P17" s="1"/>
      <c r="Q17" s="1"/>
      <c r="R17" s="1"/>
    </row>
    <row r="18" spans="2:18" ht="15.75" thickBot="1" x14ac:dyDescent="0.25">
      <c r="B18" s="11">
        <v>7</v>
      </c>
      <c r="C18" s="12">
        <f t="shared" ref="C18:G18" si="6">D18*1.2</f>
        <v>37.589553344469458</v>
      </c>
      <c r="D18" s="12">
        <f t="shared" si="6"/>
        <v>31.324627787057882</v>
      </c>
      <c r="E18" s="12">
        <f t="shared" si="6"/>
        <v>26.103856489214902</v>
      </c>
      <c r="F18" s="12">
        <f t="shared" si="6"/>
        <v>21.75321374101242</v>
      </c>
      <c r="G18" s="12">
        <f t="shared" si="6"/>
        <v>18.127678117510349</v>
      </c>
      <c r="H18" s="13">
        <f>$H$21/(B18*B18)*100</f>
        <v>15.106398431258624</v>
      </c>
      <c r="J18" s="24" t="s">
        <v>11</v>
      </c>
      <c r="K18" s="25">
        <f>K14/K17</f>
        <v>18.505338078291814</v>
      </c>
      <c r="L18" s="26"/>
      <c r="M18" s="26"/>
      <c r="N18" s="27"/>
      <c r="O18" s="1"/>
      <c r="P18" s="1"/>
      <c r="Q18" s="1"/>
      <c r="R18" s="1"/>
    </row>
    <row r="19" spans="2:18" x14ac:dyDescent="0.2">
      <c r="B19" s="11">
        <v>8</v>
      </c>
      <c r="C19" s="12">
        <f t="shared" ref="C19:G19" si="7">D19*1.2</f>
        <v>28.779501779359418</v>
      </c>
      <c r="D19" s="12">
        <f t="shared" si="7"/>
        <v>23.982918149466183</v>
      </c>
      <c r="E19" s="12">
        <f t="shared" si="7"/>
        <v>19.985765124555154</v>
      </c>
      <c r="F19" s="12">
        <f t="shared" si="7"/>
        <v>16.65480427046263</v>
      </c>
      <c r="G19" s="12">
        <f t="shared" si="7"/>
        <v>13.87900355871886</v>
      </c>
      <c r="H19" s="13">
        <f>$H$21/(B19*B19)*100</f>
        <v>11.565836298932384</v>
      </c>
      <c r="O19" s="1"/>
      <c r="P19" s="1"/>
      <c r="Q19" s="1"/>
      <c r="R19" s="1"/>
    </row>
    <row r="20" spans="2:18" x14ac:dyDescent="0.2">
      <c r="B20" s="11">
        <v>9</v>
      </c>
      <c r="C20" s="12">
        <f t="shared" ref="C20:G20" si="8">D20*1.2</f>
        <v>22.739359430604981</v>
      </c>
      <c r="D20" s="12">
        <f t="shared" si="8"/>
        <v>18.949466192170817</v>
      </c>
      <c r="E20" s="12">
        <f t="shared" si="8"/>
        <v>15.791221826809014</v>
      </c>
      <c r="F20" s="12">
        <f t="shared" si="8"/>
        <v>13.159351522340845</v>
      </c>
      <c r="G20" s="12">
        <f t="shared" si="8"/>
        <v>10.966126268617371</v>
      </c>
      <c r="H20" s="13">
        <f>$H$21/(B20*B20)*100</f>
        <v>9.1384385571811428</v>
      </c>
      <c r="O20" s="1"/>
      <c r="P20" s="1"/>
      <c r="Q20" s="1"/>
      <c r="R20" s="1"/>
    </row>
    <row r="21" spans="2:18" x14ac:dyDescent="0.2">
      <c r="B21" s="11">
        <v>10</v>
      </c>
      <c r="C21" s="12">
        <f t="shared" ref="C21:F21" si="9">D21*1.2</f>
        <v>18.418881138790034</v>
      </c>
      <c r="D21" s="12">
        <f t="shared" si="9"/>
        <v>15.349067615658363</v>
      </c>
      <c r="E21" s="12">
        <f t="shared" si="9"/>
        <v>12.790889679715303</v>
      </c>
      <c r="F21" s="12">
        <f t="shared" si="9"/>
        <v>10.659074733096086</v>
      </c>
      <c r="G21" s="12">
        <f>H21*1.2</f>
        <v>8.882562277580071</v>
      </c>
      <c r="H21" s="34">
        <f>K18*(1-D12)/3*2</f>
        <v>7.4021352313167261</v>
      </c>
      <c r="O21" s="1"/>
      <c r="P21" s="1"/>
      <c r="Q21" s="1"/>
      <c r="R21" s="1"/>
    </row>
    <row r="22" spans="2:18" x14ac:dyDescent="0.2">
      <c r="B22" s="11">
        <v>11</v>
      </c>
      <c r="C22" s="12">
        <f t="shared" ref="C22:G22" si="10">D22*1.2</f>
        <v>15.222215817181848</v>
      </c>
      <c r="D22" s="12">
        <f t="shared" si="10"/>
        <v>12.68517984765154</v>
      </c>
      <c r="E22" s="12">
        <f t="shared" si="10"/>
        <v>10.570983206376283</v>
      </c>
      <c r="F22" s="12">
        <f t="shared" si="10"/>
        <v>8.809152671980236</v>
      </c>
      <c r="G22" s="12">
        <f t="shared" si="10"/>
        <v>7.3409605599835297</v>
      </c>
      <c r="H22" s="13">
        <f>$H$21/(B22*B22)*100</f>
        <v>6.1174671333196082</v>
      </c>
      <c r="O22" s="1"/>
      <c r="P22" s="1"/>
      <c r="Q22" s="1"/>
      <c r="R22" s="1"/>
    </row>
    <row r="23" spans="2:18" x14ac:dyDescent="0.2">
      <c r="B23" s="11">
        <v>12</v>
      </c>
      <c r="C23" s="12">
        <f t="shared" ref="C23:G23" si="11">D23*1.2</f>
        <v>12.790889679715297</v>
      </c>
      <c r="D23" s="12">
        <f t="shared" si="11"/>
        <v>10.659074733096082</v>
      </c>
      <c r="E23" s="12">
        <f t="shared" si="11"/>
        <v>8.8825622775800692</v>
      </c>
      <c r="F23" s="12">
        <f t="shared" si="11"/>
        <v>7.4021352313167252</v>
      </c>
      <c r="G23" s="12">
        <f t="shared" si="11"/>
        <v>6.1684460260972713</v>
      </c>
      <c r="H23" s="13">
        <f t="shared" ref="H23:H24" si="12">$H$21/(B23*B23)*100</f>
        <v>5.1403716884143931</v>
      </c>
      <c r="O23" s="1"/>
      <c r="P23" s="1"/>
      <c r="Q23" s="1"/>
      <c r="R23" s="1"/>
    </row>
    <row r="24" spans="2:18" ht="15.75" thickBot="1" x14ac:dyDescent="0.25">
      <c r="B24" s="28">
        <v>13</v>
      </c>
      <c r="C24" s="12">
        <f t="shared" ref="C24:G24" si="13">D24*1.2</f>
        <v>10.898746235970432</v>
      </c>
      <c r="D24" s="12">
        <f t="shared" si="13"/>
        <v>9.0822885299753597</v>
      </c>
      <c r="E24" s="12">
        <f t="shared" si="13"/>
        <v>7.5685737749794662</v>
      </c>
      <c r="F24" s="12">
        <f t="shared" si="13"/>
        <v>6.3071448124828891</v>
      </c>
      <c r="G24" s="12">
        <f t="shared" si="13"/>
        <v>5.2559540104024078</v>
      </c>
      <c r="H24" s="29">
        <f t="shared" si="12"/>
        <v>4.3799616753353403</v>
      </c>
      <c r="O24" s="1"/>
      <c r="P24" s="1"/>
      <c r="Q24" s="1"/>
      <c r="R24" s="1"/>
    </row>
  </sheetData>
  <mergeCells count="8">
    <mergeCell ref="B8:C8"/>
    <mergeCell ref="B9:C9"/>
    <mergeCell ref="B2:C2"/>
    <mergeCell ref="B3:C3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Borges</dc:creator>
  <cp:lastModifiedBy>Ricardo Borges</cp:lastModifiedBy>
  <dcterms:created xsi:type="dcterms:W3CDTF">2017-10-24T23:22:28Z</dcterms:created>
  <dcterms:modified xsi:type="dcterms:W3CDTF">2017-10-25T00:41:38Z</dcterms:modified>
</cp:coreProperties>
</file>