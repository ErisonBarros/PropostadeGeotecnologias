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5" documentId="8_{76CD0D95-1590-4566-BDAE-A0AC0F6A6890}" xr6:coauthVersionLast="47" xr6:coauthVersionMax="47" xr10:uidLastSave="{E123AD38-D06B-42A7-8E21-67543192CADC}"/>
  <bookViews>
    <workbookView minimized="1" xWindow="2160" yWindow="2160" windowWidth="17280" windowHeight="8880" tabRatio="821" xr2:uid="{6521DA30-817E-48F5-AF0A-4499189AFDEF}"/>
  </bookViews>
  <sheets>
    <sheet name="AEROLVENTAMENTO DAS MATAS" sheetId="12" r:id="rId1"/>
    <sheet name="AEROLEVANTAMENTO  164 HECTA" sheetId="9" r:id="rId2"/>
    <sheet name="ÁREA 164 HA" sheetId="1" r:id="rId3"/>
    <sheet name="ÁREA DE 74 HA" sheetId="3" r:id="rId4"/>
    <sheet name="PLANILHA TOTAL" sheetId="8" r:id="rId5"/>
    <sheet name="ÁREA 16 HA" sheetId="1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2" l="1"/>
  <c r="E4" i="12"/>
  <c r="E3" i="12"/>
  <c r="F4" i="12"/>
  <c r="F3" i="12"/>
  <c r="F2" i="12"/>
  <c r="H10" i="11"/>
  <c r="I10" i="11" s="1"/>
  <c r="F9" i="11"/>
  <c r="F8" i="11"/>
  <c r="F7" i="11"/>
  <c r="F6" i="11"/>
  <c r="F4" i="11"/>
  <c r="C5" i="8"/>
  <c r="E5" i="8"/>
  <c r="D5" i="8"/>
  <c r="E4" i="8"/>
  <c r="D4" i="8"/>
  <c r="C4" i="8"/>
  <c r="F5" i="12" l="1"/>
  <c r="J6" i="12"/>
  <c r="F10" i="11"/>
  <c r="J10" i="11"/>
  <c r="G12" i="11" s="1"/>
  <c r="F5" i="9"/>
  <c r="I6" i="9"/>
  <c r="F4" i="9"/>
  <c r="F3" i="9"/>
  <c r="F2" i="9"/>
  <c r="F4" i="3"/>
  <c r="D3" i="8"/>
  <c r="H10" i="1"/>
  <c r="I10" i="1" s="1"/>
  <c r="H10" i="3"/>
  <c r="I10" i="3"/>
  <c r="B9" i="3"/>
  <c r="B8" i="3"/>
  <c r="B7" i="3"/>
  <c r="B6" i="3"/>
  <c r="F9" i="3"/>
  <c r="F8" i="3"/>
  <c r="F7" i="3"/>
  <c r="F6" i="3"/>
  <c r="F6" i="1"/>
  <c r="F7" i="1"/>
  <c r="F9" i="1"/>
  <c r="F8" i="1"/>
  <c r="F4" i="1"/>
  <c r="G8" i="12" l="1"/>
  <c r="F10" i="1"/>
  <c r="F10" i="3"/>
  <c r="C3" i="8" s="1"/>
  <c r="E3" i="8" s="1"/>
  <c r="D2" i="8"/>
  <c r="J6" i="9" l="1"/>
  <c r="G8" i="9" s="1"/>
  <c r="J10" i="1"/>
  <c r="G12" i="1" s="1"/>
  <c r="C2" i="8"/>
  <c r="E2" i="8" s="1"/>
  <c r="J10" i="3"/>
  <c r="G12" i="3" s="1"/>
</calcChain>
</file>

<file path=xl/sharedStrings.xml><?xml version="1.0" encoding="utf-8"?>
<sst xmlns="http://schemas.openxmlformats.org/spreadsheetml/2006/main" count="141" uniqueCount="51">
  <si>
    <t>ITENS</t>
  </si>
  <si>
    <t>DESCRIÇÃO</t>
  </si>
  <si>
    <t>UND</t>
  </si>
  <si>
    <t>QUANT.</t>
  </si>
  <si>
    <t>PREÇO UNITÁRIIO</t>
  </si>
  <si>
    <t>PREÇO</t>
  </si>
  <si>
    <t>1.1</t>
  </si>
  <si>
    <t>Mobilização de equipamentos e pessoas para  realização do levantamento</t>
  </si>
  <si>
    <t>VERBA</t>
  </si>
  <si>
    <t>2.1</t>
  </si>
  <si>
    <t>Aerolevantamento com uso de Drone  sem Apoio check e apoio com as devidas autorizaçãoes de Vôo. (Aproximadamente 164 hectares)</t>
  </si>
  <si>
    <t>2.3</t>
  </si>
  <si>
    <t>Geração de Ortomoisaico com a vetorização (delimitação) de Galiheiros, matas e acudes e edificações e estradas  para geração de  plantas topográficas  planialtimétrica com uso de Imagens de Drone com a devida responsabilidade técnica. (Aproximadamente 35 hectares)</t>
  </si>
  <si>
    <t>TOTAL</t>
  </si>
  <si>
    <t xml:space="preserve">Custo </t>
  </si>
  <si>
    <t>Marco</t>
  </si>
  <si>
    <t>Despesas Total</t>
  </si>
  <si>
    <t>Despachante</t>
  </si>
  <si>
    <t>Restante</t>
  </si>
  <si>
    <t>Aerolevantamento com uso de Drone  com Apoio check e apoio e as devidas autorizaçãoes de Vôo. (Aproximadamente 164 hectares)</t>
  </si>
  <si>
    <t>Geração de Ortomoisaico com a vetorização (delimitação) de Galiheiros, matas e acudes e edificações e estradas  para geração de  plantas topográficas  planialtimétrica com uso de Imagens de Drone com a devida responsabilidade técnica. (Aproximadamente 164 hectares)</t>
  </si>
  <si>
    <r>
      <t>ITENS</t>
    </r>
    <r>
      <rPr>
        <sz val="6"/>
        <color rgb="FF000000"/>
        <rFont val="Calibri"/>
        <family val="2"/>
      </rPr>
      <t> </t>
    </r>
  </si>
  <si>
    <r>
      <t>DESCRIÇÃO</t>
    </r>
    <r>
      <rPr>
        <sz val="6"/>
        <color rgb="FF000000"/>
        <rFont val="Calibri"/>
        <family val="2"/>
      </rPr>
      <t> </t>
    </r>
  </si>
  <si>
    <r>
      <t>UND</t>
    </r>
    <r>
      <rPr>
        <sz val="6"/>
        <color rgb="FF000000"/>
        <rFont val="Calibri"/>
        <family val="2"/>
      </rPr>
      <t> </t>
    </r>
  </si>
  <si>
    <r>
      <t>QUANT.</t>
    </r>
    <r>
      <rPr>
        <sz val="6"/>
        <color rgb="FF000000"/>
        <rFont val="Calibri"/>
        <family val="2"/>
      </rPr>
      <t> </t>
    </r>
  </si>
  <si>
    <r>
      <t>PREÇO </t>
    </r>
    <r>
      <rPr>
        <sz val="6"/>
        <color rgb="FF000000"/>
        <rFont val="Calibri"/>
        <family val="2"/>
      </rPr>
      <t> </t>
    </r>
  </si>
  <si>
    <t>VALOR</t>
  </si>
  <si>
    <r>
      <t>UNITÁRIIO</t>
    </r>
    <r>
      <rPr>
        <sz val="6"/>
        <color rgb="FF000000"/>
        <rFont val="Calibri"/>
        <family val="2"/>
      </rPr>
      <t> </t>
    </r>
  </si>
  <si>
    <r>
      <t>1.0</t>
    </r>
    <r>
      <rPr>
        <sz val="6"/>
        <color rgb="FF000000"/>
        <rFont val="Calibri"/>
        <family val="2"/>
      </rPr>
      <t> </t>
    </r>
  </si>
  <si>
    <t>MOBILIZAÇÃO</t>
  </si>
  <si>
    <t>1.1 </t>
  </si>
  <si>
    <t>Mobilização de equipamentos e pessoas para realização do levantamento para adquação do levantamento para atender as especificações do Manual de Georreferenciamento (MTGIR, 2022) </t>
  </si>
  <si>
    <t>km</t>
  </si>
  <si>
    <t>2.0</t>
  </si>
  <si>
    <t>LEVNTAMENTO CADASTRAL TERRITORIAL</t>
  </si>
  <si>
    <t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t>
  </si>
  <si>
    <t>hectares </t>
  </si>
  <si>
    <t>2.2</t>
  </si>
  <si>
    <t>Confecção e Implantação  de Marcos e plaquetas Padrão INCRA. </t>
  </si>
  <si>
    <t>UNID </t>
  </si>
  <si>
    <t>Serviços de Gabinete: Processamento de Dados GNSS  e analise de dados, elaboração de planilhas eletrônicas, relatórios, cálculos, criação de Requerimentos no SIGEF</t>
  </si>
  <si>
    <t>2.4</t>
  </si>
  <si>
    <t>Serviço de Gabinete: Elaboração de peças técnicas para subsidiar o processo de usocapião  como:  Elaboração de plantas Topográficas em CAD e calculos necessários com impressão em formato ABNT em 3 vias com a elaboração do memorial descritivo</t>
  </si>
  <si>
    <t>unid </t>
  </si>
  <si>
    <t>marcos</t>
  </si>
  <si>
    <t>PROPRIEDADE</t>
  </si>
  <si>
    <t>DESPESAS</t>
  </si>
  <si>
    <t>DESPACHANTE</t>
  </si>
  <si>
    <t>ÁREA 164 H</t>
  </si>
  <si>
    <t>ÁREA DE 74 H</t>
  </si>
  <si>
    <t>AEROLEVANTAMENTO  164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</si>
</sst>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_-&quot;R$&quot;\ * #,##0.00_-;\-&quot;R$&quot;\ * #,##0.00_-;_-&quot;R$&quot;\ * &quot;-&quot;??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12"/>
      <color rgb="FF000000"/>
      <name val="Times New Roman"/>
      <family val="1"/>
    </font>
    <font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6"/>
      <color rgb="FF000000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rgb="FF000000"/>
      <name val="Calibri"/>
      <family val="2"/>
      <scheme val="minor"/>
    </font>
    <font>
      <b/>
      <sz val="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8">
    <xf numFmtId="0" fontId="0" fillId="0" borderId="0" xfId="0"/>
    <xf numFmtId="165" fontId="4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left" vertical="center" wrapText="1"/>
    </xf>
    <xf numFmtId="165" fontId="0" fillId="2" borderId="0" xfId="0" applyNumberFormat="1" applyFill="1"/>
    <xf numFmtId="0" fontId="0" fillId="0" borderId="2" xfId="0" applyBorder="1" applyAlignment="1">
      <alignment horizontal="center"/>
    </xf>
    <xf numFmtId="0" fontId="0" fillId="0" borderId="2" xfId="0" applyBorder="1"/>
    <xf numFmtId="165" fontId="0" fillId="0" borderId="2" xfId="0" applyNumberFormat="1" applyBorder="1"/>
    <xf numFmtId="165" fontId="2" fillId="0" borderId="2" xfId="0" applyNumberFormat="1" applyFont="1" applyBorder="1"/>
    <xf numFmtId="165" fontId="3" fillId="2" borderId="1" xfId="0" applyNumberFormat="1" applyFont="1" applyFill="1" applyBorder="1" applyAlignment="1">
      <alignment vertical="center" wrapText="1"/>
    </xf>
    <xf numFmtId="165" fontId="4" fillId="0" borderId="2" xfId="1" applyFont="1" applyFill="1" applyBorder="1" applyAlignment="1">
      <alignment horizontal="center" vertical="center" wrapText="1"/>
    </xf>
    <xf numFmtId="0" fontId="6" fillId="0" borderId="0" xfId="0" applyFont="1"/>
    <xf numFmtId="165" fontId="4" fillId="0" borderId="4" xfId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165" fontId="3" fillId="2" borderId="2" xfId="0" applyNumberFormat="1" applyFont="1" applyFill="1" applyBorder="1" applyAlignment="1">
      <alignment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165" fontId="7" fillId="2" borderId="2" xfId="0" applyNumberFormat="1" applyFont="1" applyFill="1" applyBorder="1"/>
    <xf numFmtId="0" fontId="9" fillId="3" borderId="2" xfId="0" applyFont="1" applyFill="1" applyBorder="1" applyAlignment="1">
      <alignment horizontal="center"/>
    </xf>
    <xf numFmtId="0" fontId="10" fillId="0" borderId="0" xfId="0" applyFont="1"/>
    <xf numFmtId="165" fontId="11" fillId="0" borderId="2" xfId="1" applyFont="1" applyBorder="1" applyAlignment="1">
      <alignment horizontal="center" vertical="center" wrapText="1"/>
    </xf>
    <xf numFmtId="165" fontId="11" fillId="0" borderId="2" xfId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wrapText="1"/>
    </xf>
    <xf numFmtId="164" fontId="9" fillId="2" borderId="2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vertical="center" wrapText="1"/>
    </xf>
    <xf numFmtId="165" fontId="10" fillId="5" borderId="0" xfId="0" applyNumberFormat="1" applyFont="1" applyFill="1"/>
    <xf numFmtId="164" fontId="9" fillId="5" borderId="2" xfId="0" applyNumberFormat="1" applyFont="1" applyFill="1" applyBorder="1" applyAlignment="1">
      <alignment horizontal="center" vertical="center"/>
    </xf>
    <xf numFmtId="164" fontId="0" fillId="0" borderId="2" xfId="0" applyNumberFormat="1" applyBorder="1"/>
    <xf numFmtId="0" fontId="2" fillId="3" borderId="2" xfId="0" applyFont="1" applyFill="1" applyBorder="1" applyAlignment="1">
      <alignment horizontal="center"/>
    </xf>
    <xf numFmtId="165" fontId="8" fillId="0" borderId="2" xfId="1" applyFont="1" applyBorder="1" applyAlignment="1">
      <alignment horizontal="center" vertical="center" wrapText="1"/>
    </xf>
    <xf numFmtId="165" fontId="8" fillId="0" borderId="2" xfId="1" applyFont="1" applyFill="1" applyBorder="1" applyAlignment="1">
      <alignment horizontal="center" vertical="center" wrapText="1"/>
    </xf>
    <xf numFmtId="164" fontId="12" fillId="5" borderId="0" xfId="0" applyNumberFormat="1" applyFont="1" applyFill="1"/>
    <xf numFmtId="164" fontId="8" fillId="5" borderId="1" xfId="0" applyNumberFormat="1" applyFont="1" applyFill="1" applyBorder="1" applyAlignment="1">
      <alignment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756A-D1C5-4A57-BD4B-336B81D2E6CF}">
  <sheetPr>
    <tabColor theme="7" tint="-0.249977111117893"/>
  </sheetPr>
  <dimension ref="A1:J8"/>
  <sheetViews>
    <sheetView tabSelected="1" topLeftCell="B1" zoomScale="190" zoomScaleNormal="190" workbookViewId="0">
      <selection activeCell="B1" sqref="B1:F1"/>
    </sheetView>
  </sheetViews>
  <sheetFormatPr defaultRowHeight="14.45"/>
  <cols>
    <col min="1" max="1" width="4.7109375" bestFit="1" customWidth="1"/>
    <col min="2" max="2" width="49.28515625" customWidth="1"/>
    <col min="3" max="3" width="4.5703125" bestFit="1" customWidth="1"/>
    <col min="4" max="4" width="5.85546875" bestFit="1" customWidth="1"/>
    <col min="5" max="5" width="11.140625" bestFit="1" customWidth="1"/>
    <col min="6" max="6" width="8.85546875" bestFit="1" customWidth="1"/>
    <col min="7" max="7" width="11.5703125" customWidth="1"/>
  </cols>
  <sheetData>
    <row r="1" spans="1:10">
      <c r="A1" s="21" t="s">
        <v>0</v>
      </c>
      <c r="B1" s="28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2"/>
      <c r="H1" s="22"/>
      <c r="I1" s="22"/>
      <c r="J1" s="22"/>
    </row>
    <row r="2" spans="1:10">
      <c r="A2" s="26" t="s">
        <v>6</v>
      </c>
      <c r="B2" s="25" t="s">
        <v>7</v>
      </c>
      <c r="C2" s="26" t="s">
        <v>8</v>
      </c>
      <c r="D2" s="26">
        <v>2</v>
      </c>
      <c r="E2" s="27">
        <v>500</v>
      </c>
      <c r="F2" s="27">
        <f>D2*E2</f>
        <v>1000</v>
      </c>
      <c r="G2" s="22"/>
      <c r="H2" s="22"/>
      <c r="I2" s="22"/>
      <c r="J2" s="22"/>
    </row>
    <row r="3" spans="1:10" ht="15.6">
      <c r="A3" s="26" t="s">
        <v>9</v>
      </c>
      <c r="B3" s="25" t="s">
        <v>10</v>
      </c>
      <c r="C3" s="26" t="s">
        <v>8</v>
      </c>
      <c r="D3" s="26">
        <v>1</v>
      </c>
      <c r="E3" s="27">
        <f>9000/4</f>
        <v>2250</v>
      </c>
      <c r="F3" s="27">
        <f>D3*E3</f>
        <v>2250</v>
      </c>
      <c r="G3" s="22"/>
      <c r="H3" s="22"/>
      <c r="I3" s="22"/>
      <c r="J3" s="22"/>
    </row>
    <row r="4" spans="1:10" ht="23.45">
      <c r="A4" s="26" t="s">
        <v>11</v>
      </c>
      <c r="B4" s="25" t="s">
        <v>12</v>
      </c>
      <c r="C4" s="26" t="s">
        <v>8</v>
      </c>
      <c r="D4" s="26">
        <v>1</v>
      </c>
      <c r="E4" s="27">
        <f>5000/4</f>
        <v>1250</v>
      </c>
      <c r="F4" s="27">
        <f>D4*E4</f>
        <v>1250</v>
      </c>
      <c r="G4" s="22"/>
      <c r="H4" s="22"/>
      <c r="I4" s="22"/>
      <c r="J4" s="22"/>
    </row>
    <row r="5" spans="1:10" ht="15" customHeight="1">
      <c r="A5" s="22"/>
      <c r="B5" s="39" t="s">
        <v>13</v>
      </c>
      <c r="C5" s="40"/>
      <c r="D5" s="40"/>
      <c r="E5" s="41"/>
      <c r="F5" s="29">
        <f>SUM(F2:F4)</f>
        <v>4500</v>
      </c>
      <c r="G5" s="35" t="s">
        <v>14</v>
      </c>
      <c r="H5" s="35" t="s">
        <v>15</v>
      </c>
      <c r="I5" s="35" t="s">
        <v>16</v>
      </c>
      <c r="J5" s="36" t="s">
        <v>17</v>
      </c>
    </row>
    <row r="6" spans="1:10" ht="10.9" customHeight="1">
      <c r="A6" s="22"/>
      <c r="B6" s="22"/>
      <c r="C6" s="22"/>
      <c r="D6" s="22"/>
      <c r="E6" s="22"/>
      <c r="F6" s="22"/>
      <c r="G6" s="32">
        <v>1000</v>
      </c>
      <c r="H6" s="30">
        <v>0</v>
      </c>
      <c r="I6" s="38">
        <f>G6+H6</f>
        <v>1000</v>
      </c>
      <c r="J6" s="30">
        <f>F5*0.1</f>
        <v>450</v>
      </c>
    </row>
    <row r="7" spans="1:10">
      <c r="B7" s="22"/>
      <c r="C7" s="22"/>
      <c r="D7" s="22"/>
      <c r="E7" s="22"/>
      <c r="F7" s="22"/>
      <c r="G7" s="22"/>
      <c r="H7" s="22"/>
      <c r="I7" s="22"/>
      <c r="J7" s="22"/>
    </row>
    <row r="8" spans="1:10">
      <c r="F8" s="12" t="s">
        <v>18</v>
      </c>
      <c r="G8" s="37">
        <f>F5-I6-J6</f>
        <v>3050</v>
      </c>
      <c r="H8" s="22"/>
      <c r="I8" s="22"/>
      <c r="J8" s="22"/>
    </row>
  </sheetData>
  <mergeCells count="1">
    <mergeCell ref="B5:E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6180-624C-4B5F-96FE-1AAA75658A8A}">
  <sheetPr>
    <tabColor theme="7" tint="0.39997558519241921"/>
  </sheetPr>
  <dimension ref="A1:J8"/>
  <sheetViews>
    <sheetView zoomScale="140" zoomScaleNormal="140" workbookViewId="0">
      <selection activeCell="H6" sqref="H6"/>
    </sheetView>
  </sheetViews>
  <sheetFormatPr defaultColWidth="8.85546875" defaultRowHeight="14.45"/>
  <cols>
    <col min="1" max="1" width="5.28515625" bestFit="1" customWidth="1"/>
    <col min="2" max="2" width="33.7109375" customWidth="1"/>
    <col min="3" max="3" width="5.140625" bestFit="1" customWidth="1"/>
    <col min="4" max="4" width="6.42578125" bestFit="1" customWidth="1"/>
    <col min="5" max="5" width="13.42578125" bestFit="1" customWidth="1"/>
    <col min="6" max="6" width="9.85546875" bestFit="1" customWidth="1"/>
    <col min="7" max="7" width="13.140625" bestFit="1" customWidth="1"/>
    <col min="8" max="8" width="10.28515625" customWidth="1"/>
    <col min="9" max="9" width="10.28515625" bestFit="1" customWidth="1"/>
    <col min="10" max="10" width="9.85546875" bestFit="1" customWidth="1"/>
  </cols>
  <sheetData>
    <row r="1" spans="1:10">
      <c r="A1" s="21" t="s">
        <v>0</v>
      </c>
      <c r="B1" s="28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2"/>
      <c r="H1" s="22"/>
      <c r="I1" s="22"/>
      <c r="J1" s="22"/>
    </row>
    <row r="2" spans="1:10" ht="15.6">
      <c r="A2" s="26" t="s">
        <v>6</v>
      </c>
      <c r="B2" s="25" t="s">
        <v>7</v>
      </c>
      <c r="C2" s="26" t="s">
        <v>8</v>
      </c>
      <c r="D2" s="26">
        <v>6</v>
      </c>
      <c r="E2" s="27">
        <v>450</v>
      </c>
      <c r="F2" s="27">
        <f>D2*E2</f>
        <v>2700</v>
      </c>
      <c r="G2" s="22"/>
      <c r="H2" s="22"/>
      <c r="I2" s="22"/>
      <c r="J2" s="22"/>
    </row>
    <row r="3" spans="1:10" ht="30" customHeight="1">
      <c r="A3" s="26" t="s">
        <v>9</v>
      </c>
      <c r="B3" s="25" t="s">
        <v>19</v>
      </c>
      <c r="C3" s="26" t="s">
        <v>8</v>
      </c>
      <c r="D3" s="26">
        <v>1</v>
      </c>
      <c r="E3" s="27">
        <v>9000</v>
      </c>
      <c r="F3" s="27">
        <f>D3*E3</f>
        <v>9000</v>
      </c>
      <c r="G3" s="22"/>
      <c r="H3" s="22"/>
      <c r="I3" s="22"/>
      <c r="J3" s="22"/>
    </row>
    <row r="4" spans="1:10" ht="45" customHeight="1">
      <c r="A4" s="26" t="s">
        <v>11</v>
      </c>
      <c r="B4" s="25" t="s">
        <v>20</v>
      </c>
      <c r="C4" s="26" t="s">
        <v>8</v>
      </c>
      <c r="D4" s="26">
        <v>1</v>
      </c>
      <c r="E4" s="27">
        <v>5000</v>
      </c>
      <c r="F4" s="27">
        <f>D4*E4</f>
        <v>5000</v>
      </c>
      <c r="G4" s="22"/>
      <c r="H4" s="22"/>
      <c r="I4" s="22"/>
      <c r="J4" s="22"/>
    </row>
    <row r="5" spans="1:10">
      <c r="A5" s="22"/>
      <c r="B5" s="39" t="s">
        <v>13</v>
      </c>
      <c r="C5" s="40"/>
      <c r="D5" s="40"/>
      <c r="E5" s="41"/>
      <c r="F5" s="29">
        <f>SUM(F2:F4)</f>
        <v>16700</v>
      </c>
      <c r="G5" s="23" t="s">
        <v>14</v>
      </c>
      <c r="H5" s="23"/>
      <c r="I5" s="23" t="s">
        <v>16</v>
      </c>
      <c r="J5" s="24" t="s">
        <v>17</v>
      </c>
    </row>
    <row r="6" spans="1:10" ht="15.6" customHeight="1">
      <c r="A6" s="22"/>
      <c r="B6" s="22"/>
      <c r="C6" s="22"/>
      <c r="D6" s="22"/>
      <c r="E6" s="22"/>
      <c r="F6" s="22"/>
      <c r="G6" s="32">
        <v>6000</v>
      </c>
      <c r="H6" s="30">
        <v>0</v>
      </c>
      <c r="I6" s="30">
        <f>G6+H6</f>
        <v>6000</v>
      </c>
      <c r="J6" s="30">
        <f>F5*0.1</f>
        <v>1670</v>
      </c>
    </row>
    <row r="7" spans="1:10">
      <c r="B7" s="22"/>
      <c r="C7" s="22"/>
      <c r="D7" s="22"/>
      <c r="E7" s="22"/>
      <c r="F7" s="22"/>
      <c r="G7" s="22"/>
      <c r="H7" s="22"/>
      <c r="I7" s="22"/>
      <c r="J7" s="22"/>
    </row>
    <row r="8" spans="1:10">
      <c r="G8" s="31">
        <f>F5-I6-J6</f>
        <v>9030</v>
      </c>
      <c r="H8" s="22"/>
      <c r="I8" s="22"/>
      <c r="J8" s="22"/>
    </row>
  </sheetData>
  <mergeCells count="1">
    <mergeCell ref="B5:E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DEDE-1B38-4A59-9887-191121262BE0}">
  <sheetPr>
    <tabColor theme="4"/>
  </sheetPr>
  <dimension ref="A1:J12"/>
  <sheetViews>
    <sheetView topLeftCell="B6" zoomScale="160" zoomScaleNormal="160" workbookViewId="0">
      <selection sqref="A1:F10"/>
    </sheetView>
  </sheetViews>
  <sheetFormatPr defaultColWidth="8.85546875" defaultRowHeight="14.45"/>
  <cols>
    <col min="2" max="2" width="30.7109375" customWidth="1"/>
    <col min="6" max="6" width="10.140625" bestFit="1" customWidth="1"/>
    <col min="7" max="7" width="12.28515625" bestFit="1" customWidth="1"/>
    <col min="9" max="9" width="8.7109375" customWidth="1"/>
    <col min="10" max="10" width="10.28515625" bestFit="1" customWidth="1"/>
  </cols>
  <sheetData>
    <row r="1" spans="1:10">
      <c r="A1" s="42" t="s">
        <v>21</v>
      </c>
      <c r="B1" s="42" t="s">
        <v>22</v>
      </c>
      <c r="C1" s="42" t="s">
        <v>23</v>
      </c>
      <c r="D1" s="42" t="s">
        <v>24</v>
      </c>
      <c r="E1" s="14" t="s">
        <v>25</v>
      </c>
      <c r="F1" s="42" t="s">
        <v>26</v>
      </c>
    </row>
    <row r="2" spans="1:10">
      <c r="A2" s="42"/>
      <c r="B2" s="42"/>
      <c r="C2" s="42"/>
      <c r="D2" s="42"/>
      <c r="E2" s="14" t="s">
        <v>27</v>
      </c>
      <c r="F2" s="42"/>
    </row>
    <row r="3" spans="1:10" ht="15.6">
      <c r="A3" s="15" t="s">
        <v>28</v>
      </c>
      <c r="B3" s="16" t="s">
        <v>29</v>
      </c>
      <c r="C3" s="17"/>
      <c r="D3" s="17"/>
      <c r="E3" s="17"/>
      <c r="F3" s="17"/>
    </row>
    <row r="4" spans="1:10" ht="31.15">
      <c r="A4" s="2" t="s">
        <v>30</v>
      </c>
      <c r="B4" s="3" t="s">
        <v>31</v>
      </c>
      <c r="C4" s="2" t="s">
        <v>32</v>
      </c>
      <c r="D4" s="2">
        <v>10</v>
      </c>
      <c r="E4" s="1">
        <v>80</v>
      </c>
      <c r="F4" s="1">
        <f>D4*E4</f>
        <v>800</v>
      </c>
    </row>
    <row r="5" spans="1:10" ht="12" customHeight="1">
      <c r="A5" s="15" t="s">
        <v>33</v>
      </c>
      <c r="B5" s="16" t="s">
        <v>34</v>
      </c>
      <c r="C5" s="17"/>
      <c r="D5" s="17"/>
      <c r="E5" s="17"/>
      <c r="F5" s="17"/>
    </row>
    <row r="6" spans="1:10" ht="54.6">
      <c r="A6" s="2" t="s">
        <v>9</v>
      </c>
      <c r="B6" s="3" t="s">
        <v>35</v>
      </c>
      <c r="C6" s="2" t="s">
        <v>36</v>
      </c>
      <c r="D6" s="2">
        <v>164</v>
      </c>
      <c r="E6" s="1">
        <v>62</v>
      </c>
      <c r="F6" s="1">
        <f t="shared" ref="F6:F9" si="0">D6*E6</f>
        <v>10168</v>
      </c>
    </row>
    <row r="7" spans="1:10" ht="15.6">
      <c r="A7" s="2" t="s">
        <v>37</v>
      </c>
      <c r="B7" s="3" t="s">
        <v>38</v>
      </c>
      <c r="C7" s="2" t="s">
        <v>39</v>
      </c>
      <c r="D7" s="2">
        <v>12</v>
      </c>
      <c r="E7" s="1">
        <v>45</v>
      </c>
      <c r="F7" s="1">
        <f t="shared" si="0"/>
        <v>540</v>
      </c>
    </row>
    <row r="8" spans="1:10" ht="23.45">
      <c r="A8" s="2" t="s">
        <v>11</v>
      </c>
      <c r="B8" s="3" t="s">
        <v>40</v>
      </c>
      <c r="C8" s="2" t="s">
        <v>36</v>
      </c>
      <c r="D8" s="2">
        <v>164</v>
      </c>
      <c r="E8" s="1">
        <v>12</v>
      </c>
      <c r="F8" s="1">
        <f t="shared" si="0"/>
        <v>1968</v>
      </c>
    </row>
    <row r="9" spans="1:10" ht="39">
      <c r="A9" s="2" t="s">
        <v>41</v>
      </c>
      <c r="B9" s="4" t="s">
        <v>42</v>
      </c>
      <c r="C9" s="2" t="s">
        <v>43</v>
      </c>
      <c r="D9" s="2">
        <v>5</v>
      </c>
      <c r="E9" s="1">
        <v>135</v>
      </c>
      <c r="F9" s="1">
        <f t="shared" si="0"/>
        <v>675</v>
      </c>
      <c r="G9" s="13" t="s">
        <v>14</v>
      </c>
      <c r="H9" s="1" t="s">
        <v>44</v>
      </c>
      <c r="I9" s="1" t="s">
        <v>16</v>
      </c>
      <c r="J9" s="11" t="s">
        <v>17</v>
      </c>
    </row>
    <row r="10" spans="1:10">
      <c r="A10" s="43" t="s">
        <v>13</v>
      </c>
      <c r="B10" s="43"/>
      <c r="C10" s="43"/>
      <c r="D10" s="43"/>
      <c r="E10" s="43"/>
      <c r="F10" s="18">
        <f>SUM(F4:F9)</f>
        <v>14151</v>
      </c>
      <c r="G10" s="10">
        <v>2500</v>
      </c>
      <c r="H10" s="10">
        <f>D7*12</f>
        <v>144</v>
      </c>
      <c r="I10" s="10">
        <f>G10+H10</f>
        <v>2644</v>
      </c>
      <c r="J10" s="10">
        <f>F10*0.1</f>
        <v>1415.1000000000001</v>
      </c>
    </row>
    <row r="12" spans="1:10">
      <c r="F12" s="12" t="s">
        <v>18</v>
      </c>
      <c r="G12" s="5">
        <f>F10-I10-J10</f>
        <v>10091.9</v>
      </c>
    </row>
  </sheetData>
  <mergeCells count="6">
    <mergeCell ref="F1:F2"/>
    <mergeCell ref="A10:E10"/>
    <mergeCell ref="A1:A2"/>
    <mergeCell ref="B1:B2"/>
    <mergeCell ref="C1:C2"/>
    <mergeCell ref="D1:D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6639-60C3-4122-8CD9-0D09A9713338}">
  <sheetPr>
    <tabColor rgb="FFFF0000"/>
  </sheetPr>
  <dimension ref="A1:J12"/>
  <sheetViews>
    <sheetView topLeftCell="A5" zoomScale="148" zoomScaleNormal="148" workbookViewId="0">
      <selection activeCell="F12" sqref="F12"/>
    </sheetView>
  </sheetViews>
  <sheetFormatPr defaultColWidth="8.85546875" defaultRowHeight="14.45"/>
  <cols>
    <col min="2" max="2" width="30.7109375" customWidth="1"/>
    <col min="6" max="6" width="9.85546875" bestFit="1" customWidth="1"/>
    <col min="7" max="7" width="12.42578125" bestFit="1" customWidth="1"/>
  </cols>
  <sheetData>
    <row r="1" spans="1:10">
      <c r="A1" s="42" t="s">
        <v>21</v>
      </c>
      <c r="B1" s="42" t="s">
        <v>22</v>
      </c>
      <c r="C1" s="42" t="s">
        <v>23</v>
      </c>
      <c r="D1" s="42" t="s">
        <v>24</v>
      </c>
      <c r="E1" s="14" t="s">
        <v>25</v>
      </c>
      <c r="F1" s="42" t="s">
        <v>26</v>
      </c>
    </row>
    <row r="2" spans="1:10">
      <c r="A2" s="42"/>
      <c r="B2" s="42"/>
      <c r="C2" s="42"/>
      <c r="D2" s="42"/>
      <c r="E2" s="14" t="s">
        <v>27</v>
      </c>
      <c r="F2" s="42"/>
    </row>
    <row r="3" spans="1:10" ht="15.6">
      <c r="A3" s="15" t="s">
        <v>28</v>
      </c>
      <c r="B3" s="16" t="s">
        <v>29</v>
      </c>
      <c r="C3" s="17"/>
      <c r="D3" s="17"/>
      <c r="E3" s="17"/>
      <c r="F3" s="17"/>
    </row>
    <row r="4" spans="1:10" ht="31.15">
      <c r="A4" s="2" t="s">
        <v>30</v>
      </c>
      <c r="B4" s="3" t="s">
        <v>31</v>
      </c>
      <c r="C4" s="2" t="s">
        <v>32</v>
      </c>
      <c r="D4" s="2">
        <v>10</v>
      </c>
      <c r="E4" s="1">
        <v>80</v>
      </c>
      <c r="F4" s="1">
        <f>D4*E4</f>
        <v>800</v>
      </c>
    </row>
    <row r="5" spans="1:10" ht="12" customHeight="1">
      <c r="A5" s="15" t="s">
        <v>33</v>
      </c>
      <c r="B5" s="16" t="s">
        <v>34</v>
      </c>
      <c r="C5" s="17"/>
      <c r="D5" s="17"/>
      <c r="E5" s="17"/>
      <c r="F5" s="17"/>
    </row>
    <row r="6" spans="1:10" ht="54.6">
      <c r="A6" s="2" t="s">
        <v>9</v>
      </c>
      <c r="B6" s="3" t="str">
        <f>'ÁREA 164 HA'!B6</f>
        <v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v>
      </c>
      <c r="C6" s="2" t="s">
        <v>36</v>
      </c>
      <c r="D6" s="2">
        <v>74</v>
      </c>
      <c r="E6" s="1">
        <v>62</v>
      </c>
      <c r="F6" s="1">
        <f t="shared" ref="F6:F9" si="0">D6*E6</f>
        <v>4588</v>
      </c>
    </row>
    <row r="7" spans="1:10" ht="15.6">
      <c r="A7" s="2" t="s">
        <v>37</v>
      </c>
      <c r="B7" s="3" t="str">
        <f>'ÁREA 164 HA'!B7</f>
        <v>Confecção e Implantação  de Marcos e plaquetas Padrão INCRA. </v>
      </c>
      <c r="C7" s="2" t="s">
        <v>39</v>
      </c>
      <c r="D7" s="2">
        <v>10</v>
      </c>
      <c r="E7" s="1">
        <v>45</v>
      </c>
      <c r="F7" s="1">
        <f t="shared" si="0"/>
        <v>450</v>
      </c>
    </row>
    <row r="8" spans="1:10" ht="23.45">
      <c r="A8" s="2" t="s">
        <v>11</v>
      </c>
      <c r="B8" s="3" t="str">
        <f>'ÁREA 164 HA'!B8</f>
        <v>Serviços de Gabinete: Processamento de Dados GNSS  e analise de dados, elaboração de planilhas eletrônicas, relatórios, cálculos, criação de Requerimentos no SIGEF</v>
      </c>
      <c r="C8" s="2" t="s">
        <v>36</v>
      </c>
      <c r="D8" s="2">
        <v>16.47</v>
      </c>
      <c r="E8" s="1">
        <v>12</v>
      </c>
      <c r="F8" s="1">
        <f t="shared" si="0"/>
        <v>197.64</v>
      </c>
    </row>
    <row r="9" spans="1:10" ht="39">
      <c r="A9" s="2" t="s">
        <v>41</v>
      </c>
      <c r="B9" s="4" t="str">
        <f>'ÁREA 164 HA'!B9</f>
        <v>Serviço de Gabinete: Elaboração de peças técnicas para subsidiar o processo de usocapião  como:  Elaboração de plantas Topográficas em CAD e calculos necessários com impressão em formato ABNT em 3 vias com a elaboração do memorial descritivo</v>
      </c>
      <c r="C9" s="2" t="s">
        <v>43</v>
      </c>
      <c r="D9" s="2">
        <v>5</v>
      </c>
      <c r="E9" s="1">
        <v>135</v>
      </c>
      <c r="F9" s="1">
        <f t="shared" si="0"/>
        <v>675</v>
      </c>
      <c r="G9" s="13" t="s">
        <v>14</v>
      </c>
      <c r="H9" s="1" t="s">
        <v>44</v>
      </c>
      <c r="I9" s="1" t="s">
        <v>16</v>
      </c>
      <c r="J9" s="11" t="s">
        <v>17</v>
      </c>
    </row>
    <row r="10" spans="1:10">
      <c r="A10" s="44" t="s">
        <v>13</v>
      </c>
      <c r="B10" s="45"/>
      <c r="C10" s="45"/>
      <c r="D10" s="45"/>
      <c r="E10" s="46"/>
      <c r="F10" s="19">
        <f>SUM(F4:F9)</f>
        <v>6710.64</v>
      </c>
      <c r="G10" s="10">
        <v>700</v>
      </c>
      <c r="H10" s="10">
        <f>35*12</f>
        <v>420</v>
      </c>
      <c r="I10" s="10">
        <f>G10+H10</f>
        <v>1120</v>
      </c>
      <c r="J10" s="10">
        <f>F10*0.1</f>
        <v>671.06400000000008</v>
      </c>
    </row>
    <row r="12" spans="1:10">
      <c r="F12" s="12" t="s">
        <v>18</v>
      </c>
      <c r="G12" s="5">
        <f>F10-I10-J10</f>
        <v>4919.576</v>
      </c>
    </row>
  </sheetData>
  <mergeCells count="6">
    <mergeCell ref="F1:F2"/>
    <mergeCell ref="A10:E10"/>
    <mergeCell ref="A1:A2"/>
    <mergeCell ref="B1:B2"/>
    <mergeCell ref="C1:C2"/>
    <mergeCell ref="D1:D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3CAE-50B3-4582-8ADC-22377A18CF5C}">
  <sheetPr>
    <tabColor rgb="FFFFC000"/>
  </sheetPr>
  <dimension ref="A1:E5"/>
  <sheetViews>
    <sheetView zoomScale="130" zoomScaleNormal="130" workbookViewId="0">
      <selection activeCell="B13" sqref="B13"/>
    </sheetView>
  </sheetViews>
  <sheetFormatPr defaultColWidth="8.85546875" defaultRowHeight="14.45"/>
  <cols>
    <col min="2" max="2" width="31.28515625" bestFit="1" customWidth="1"/>
    <col min="3" max="4" width="13.7109375" customWidth="1"/>
    <col min="5" max="5" width="14" bestFit="1" customWidth="1"/>
    <col min="7" max="7" width="13.7109375" bestFit="1" customWidth="1"/>
  </cols>
  <sheetData>
    <row r="1" spans="1:5">
      <c r="A1" s="34" t="s">
        <v>0</v>
      </c>
      <c r="B1" s="34" t="s">
        <v>45</v>
      </c>
      <c r="C1" s="34" t="s">
        <v>5</v>
      </c>
      <c r="D1" s="34" t="s">
        <v>46</v>
      </c>
      <c r="E1" s="34" t="s">
        <v>47</v>
      </c>
    </row>
    <row r="2" spans="1:5">
      <c r="A2" s="6">
        <v>1</v>
      </c>
      <c r="B2" s="7" t="s">
        <v>48</v>
      </c>
      <c r="C2" s="8">
        <f>'ÁREA 164 HA'!F10</f>
        <v>14151</v>
      </c>
      <c r="D2" s="8">
        <f>'ÁREA 164 HA'!I10</f>
        <v>2644</v>
      </c>
      <c r="E2" s="8">
        <f>C2*0.1</f>
        <v>1415.1000000000001</v>
      </c>
    </row>
    <row r="3" spans="1:5">
      <c r="A3" s="6">
        <v>2</v>
      </c>
      <c r="B3" s="7" t="s">
        <v>49</v>
      </c>
      <c r="C3" s="8">
        <f>'ÁREA DE 74 HA'!F10</f>
        <v>6710.64</v>
      </c>
      <c r="D3" s="8">
        <f>'ÁREA DE 74 HA'!I10</f>
        <v>1120</v>
      </c>
      <c r="E3" s="8">
        <f>C3*0.1</f>
        <v>671.06400000000008</v>
      </c>
    </row>
    <row r="4" spans="1:5">
      <c r="A4" s="6">
        <v>3</v>
      </c>
      <c r="B4" s="7" t="s">
        <v>50</v>
      </c>
      <c r="C4" s="33">
        <f>'AEROLEVANTAMENTO  164 HECTA'!F5</f>
        <v>16700</v>
      </c>
      <c r="D4" s="8">
        <f>'AEROLEVANTAMENTO  164 HECTA'!I6</f>
        <v>6000</v>
      </c>
      <c r="E4" s="8">
        <f>'AEROLEVANTAMENTO  164 HECTA'!J6</f>
        <v>1670</v>
      </c>
    </row>
    <row r="5" spans="1:5">
      <c r="A5" s="47" t="s">
        <v>13</v>
      </c>
      <c r="B5" s="47"/>
      <c r="C5" s="20">
        <f>SUM(C2:C4)</f>
        <v>37561.64</v>
      </c>
      <c r="D5" s="9">
        <f>SUM(D2:D4)</f>
        <v>9764</v>
      </c>
      <c r="E5" s="8">
        <f>SUM(E2:E4)</f>
        <v>3756.1640000000002</v>
      </c>
    </row>
  </sheetData>
  <mergeCells count="1">
    <mergeCell ref="A5:B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65D8-9255-0E43-9DF2-26403198760C}">
  <sheetPr>
    <tabColor rgb="FFFFFF00"/>
  </sheetPr>
  <dimension ref="A1:J12"/>
  <sheetViews>
    <sheetView zoomScale="160" zoomScaleNormal="160" workbookViewId="0">
      <selection sqref="A1:F10"/>
    </sheetView>
  </sheetViews>
  <sheetFormatPr defaultColWidth="8.85546875" defaultRowHeight="14.45"/>
  <cols>
    <col min="2" max="2" width="30.7109375" customWidth="1"/>
    <col min="6" max="6" width="10.140625" bestFit="1" customWidth="1"/>
    <col min="7" max="7" width="12.28515625" bestFit="1" customWidth="1"/>
    <col min="9" max="9" width="8.7109375" customWidth="1"/>
    <col min="10" max="10" width="10.28515625" bestFit="1" customWidth="1"/>
  </cols>
  <sheetData>
    <row r="1" spans="1:10">
      <c r="A1" s="42" t="s">
        <v>21</v>
      </c>
      <c r="B1" s="42" t="s">
        <v>22</v>
      </c>
      <c r="C1" s="42" t="s">
        <v>23</v>
      </c>
      <c r="D1" s="42" t="s">
        <v>24</v>
      </c>
      <c r="E1" s="14" t="s">
        <v>25</v>
      </c>
      <c r="F1" s="42" t="s">
        <v>26</v>
      </c>
    </row>
    <row r="2" spans="1:10">
      <c r="A2" s="42"/>
      <c r="B2" s="42"/>
      <c r="C2" s="42"/>
      <c r="D2" s="42"/>
      <c r="E2" s="14" t="s">
        <v>27</v>
      </c>
      <c r="F2" s="42"/>
    </row>
    <row r="3" spans="1:10" ht="15.6">
      <c r="A3" s="15" t="s">
        <v>28</v>
      </c>
      <c r="B3" s="16" t="s">
        <v>29</v>
      </c>
      <c r="C3" s="17"/>
      <c r="D3" s="17"/>
      <c r="E3" s="17"/>
      <c r="F3" s="17"/>
    </row>
    <row r="4" spans="1:10" ht="31.15">
      <c r="A4" s="2" t="s">
        <v>30</v>
      </c>
      <c r="B4" s="3" t="s">
        <v>31</v>
      </c>
      <c r="C4" s="2" t="s">
        <v>32</v>
      </c>
      <c r="D4" s="2">
        <v>15</v>
      </c>
      <c r="E4" s="1">
        <v>80</v>
      </c>
      <c r="F4" s="1">
        <f>D4*E4</f>
        <v>1200</v>
      </c>
    </row>
    <row r="5" spans="1:10" ht="12" customHeight="1">
      <c r="A5" s="15" t="s">
        <v>33</v>
      </c>
      <c r="B5" s="16" t="s">
        <v>34</v>
      </c>
      <c r="C5" s="17"/>
      <c r="D5" s="17"/>
      <c r="E5" s="17"/>
      <c r="F5" s="17"/>
    </row>
    <row r="6" spans="1:10" ht="54.6">
      <c r="A6" s="2" t="s">
        <v>9</v>
      </c>
      <c r="B6" s="3" t="s">
        <v>35</v>
      </c>
      <c r="C6" s="2" t="s">
        <v>36</v>
      </c>
      <c r="D6" s="2">
        <v>16</v>
      </c>
      <c r="E6" s="1">
        <v>62</v>
      </c>
      <c r="F6" s="1">
        <f t="shared" ref="F6:F9" si="0">D6*E6</f>
        <v>992</v>
      </c>
    </row>
    <row r="7" spans="1:10" ht="15.6">
      <c r="A7" s="2" t="s">
        <v>37</v>
      </c>
      <c r="B7" s="3" t="s">
        <v>38</v>
      </c>
      <c r="C7" s="2" t="s">
        <v>39</v>
      </c>
      <c r="D7" s="2">
        <v>16</v>
      </c>
      <c r="E7" s="1">
        <v>45</v>
      </c>
      <c r="F7" s="1">
        <f t="shared" si="0"/>
        <v>720</v>
      </c>
    </row>
    <row r="8" spans="1:10" ht="23.45">
      <c r="A8" s="2" t="s">
        <v>11</v>
      </c>
      <c r="B8" s="3" t="s">
        <v>40</v>
      </c>
      <c r="C8" s="2" t="s">
        <v>36</v>
      </c>
      <c r="D8" s="2">
        <v>16</v>
      </c>
      <c r="E8" s="1">
        <v>13</v>
      </c>
      <c r="F8" s="1">
        <f t="shared" si="0"/>
        <v>208</v>
      </c>
    </row>
    <row r="9" spans="1:10" ht="39">
      <c r="A9" s="2" t="s">
        <v>41</v>
      </c>
      <c r="B9" s="4" t="s">
        <v>42</v>
      </c>
      <c r="C9" s="2" t="s">
        <v>43</v>
      </c>
      <c r="D9" s="2">
        <v>3</v>
      </c>
      <c r="E9" s="1">
        <v>135</v>
      </c>
      <c r="F9" s="1">
        <f t="shared" si="0"/>
        <v>405</v>
      </c>
      <c r="G9" s="13" t="s">
        <v>14</v>
      </c>
      <c r="H9" s="1" t="s">
        <v>44</v>
      </c>
      <c r="I9" s="1" t="s">
        <v>16</v>
      </c>
      <c r="J9" s="11" t="s">
        <v>17</v>
      </c>
    </row>
    <row r="10" spans="1:10">
      <c r="A10" s="43" t="s">
        <v>13</v>
      </c>
      <c r="B10" s="43"/>
      <c r="C10" s="43"/>
      <c r="D10" s="43"/>
      <c r="E10" s="43"/>
      <c r="F10" s="18">
        <f>SUM(F4:F9)</f>
        <v>3525</v>
      </c>
      <c r="G10" s="10">
        <v>2500</v>
      </c>
      <c r="H10" s="10">
        <f>D7*12</f>
        <v>192</v>
      </c>
      <c r="I10" s="10">
        <f>G10+H10</f>
        <v>2692</v>
      </c>
      <c r="J10" s="10">
        <f>F10*0.1</f>
        <v>352.5</v>
      </c>
    </row>
    <row r="12" spans="1:10">
      <c r="F12" s="12" t="s">
        <v>18</v>
      </c>
      <c r="G12" s="5">
        <f>F10-I10-J10</f>
        <v>480.5</v>
      </c>
    </row>
  </sheetData>
  <mergeCells count="6">
    <mergeCell ref="F1:F2"/>
    <mergeCell ref="A10:E10"/>
    <mergeCell ref="A1:A2"/>
    <mergeCell ref="B1:B2"/>
    <mergeCell ref="C1:C2"/>
    <mergeCell ref="D1:D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Usuário Convidado</cp:lastModifiedBy>
  <cp:revision/>
  <dcterms:created xsi:type="dcterms:W3CDTF">2023-12-04T09:06:08Z</dcterms:created>
  <dcterms:modified xsi:type="dcterms:W3CDTF">2024-11-07T00:03:03Z</dcterms:modified>
  <cp:category/>
  <cp:contentStatus/>
</cp:coreProperties>
</file>