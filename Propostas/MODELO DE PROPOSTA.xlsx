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" documentId="8_{692E22BE-BD47-4527-AFFF-F29EF2008CD7}" xr6:coauthVersionLast="47" xr6:coauthVersionMax="47" xr10:uidLastSave="{56433AF4-BDB8-4D2E-BCBE-BDCAA1B58802}"/>
  <bookViews>
    <workbookView xWindow="-108" yWindow="-108" windowWidth="23256" windowHeight="12456" activeTab="1" xr2:uid="{E6096AFB-3FF2-48F4-8114-59A1BBC6C9D8}"/>
  </bookViews>
  <sheets>
    <sheet name="CUSTOS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F14" i="2"/>
  <c r="F12" i="2"/>
  <c r="F10" i="2"/>
  <c r="F9" i="2"/>
  <c r="F7" i="2"/>
  <c r="F6" i="2"/>
  <c r="F3" i="2"/>
</calcChain>
</file>

<file path=xl/sharedStrings.xml><?xml version="1.0" encoding="utf-8"?>
<sst xmlns="http://schemas.openxmlformats.org/spreadsheetml/2006/main" count="86" uniqueCount="77">
  <si>
    <t>Item</t>
  </si>
  <si>
    <t>Unidade</t>
  </si>
  <si>
    <t>Quantidade</t>
  </si>
  <si>
    <t>Valor Unitário (R$)</t>
  </si>
  <si>
    <t>Custo Total (R$)</t>
  </si>
  <si>
    <t>Observações</t>
  </si>
  <si>
    <t>1. Características do Imóvel</t>
  </si>
  <si>
    <t>Área total do imóvel</t>
  </si>
  <si>
    <t>hectares (ha)</t>
  </si>
  <si>
    <t>Inserir valor manualmente</t>
  </si>
  <si>
    <t>Número de vértices</t>
  </si>
  <si>
    <t>unidades</t>
  </si>
  <si>
    <t>Distância de mobilização</t>
  </si>
  <si>
    <t>km (ida e volta)</t>
  </si>
  <si>
    <t>Desde sede da empresa</t>
  </si>
  <si>
    <t>2. Mão de Obra – Campo</t>
  </si>
  <si>
    <t>Topógrafo</t>
  </si>
  <si>
    <t>hora</t>
  </si>
  <si>
    <t>Auxiliar de campo</t>
  </si>
  <si>
    <t>Diárias de alimentação</t>
  </si>
  <si>
    <t>diária/pessoa</t>
  </si>
  <si>
    <t>3. Mão de Obra – Escritório</t>
  </si>
  <si>
    <t>Processamento de dados</t>
  </si>
  <si>
    <t>Software, vetorização, ajuste</t>
  </si>
  <si>
    <t>Elaboração de planta/memorial</t>
  </si>
  <si>
    <t>Inclui ABNT e SIGEF</t>
  </si>
  <si>
    <t>Revisão e conferência técnica</t>
  </si>
  <si>
    <t>4. Equipamentos</t>
  </si>
  <si>
    <t>GNSS RTK (depreciação + uso)</t>
  </si>
  <si>
    <t>diária</t>
  </si>
  <si>
    <t>Estação total (se aplicável)</t>
  </si>
  <si>
    <t>Veículo (depreciação + uso)</t>
  </si>
  <si>
    <t>diária/km</t>
  </si>
  <si>
    <t>Considerar combustível e desgaste</t>
  </si>
  <si>
    <t>Acessórios topográficos</t>
  </si>
  <si>
    <t>Tripé, bastão, rádio, etc.</t>
  </si>
  <si>
    <t>5. Custos Indiretos (%)</t>
  </si>
  <si>
    <t>% sobre diretos</t>
  </si>
  <si>
    <t>%</t>
  </si>
  <si>
    <t>Administração, seguros, etc.</t>
  </si>
  <si>
    <t>6. Margem de Lucro (%)</t>
  </si>
  <si>
    <t>% sobre total</t>
  </si>
  <si>
    <t>TOTAL GERAL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</si>
  <si>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</si>
  <si>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</si>
  <si>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</si>
  <si>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</si>
  <si>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</si>
  <si>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</si>
  <si>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</si>
  <si>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</si>
  <si>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</si>
  <si>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</si>
  <si>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</si>
  <si>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</si>
  <si>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LEVANTAMENTO TOPOGRÁFICO E INSUMOS DE CAMPO</t>
  </si>
  <si>
    <t>2.1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</si>
  <si>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</si>
  <si>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hectres</t>
  </si>
  <si>
    <t>2.2</t>
  </si>
  <si>
    <t>Implantação de Marcos Padrão INCRA  com codificação do credenciado</t>
  </si>
  <si>
    <t>Und</t>
  </si>
  <si>
    <t xml:space="preserve">3.0 </t>
  </si>
  <si>
    <t>ESCRITÓRIO</t>
  </si>
  <si>
    <t>3.1</t>
  </si>
  <si>
    <t>Elaboração de planta em CAD e calculos e memoriais descritivos  necessários com impressão em formato ABNT em 3 vias com a elaboração do memorial descritivo, com Anotação de Responsabilidade Técnica - ART</t>
  </si>
  <si>
    <t>3.2</t>
  </si>
  <si>
    <t>Elaboração de Planilha ODS para inserção no SIGEF com a Devida Responsabilidade Técnica conforme MTGIR 2° Edição.</t>
  </si>
  <si>
    <t>verba</t>
  </si>
  <si>
    <t>4.0</t>
  </si>
  <si>
    <t>DESPACHANTE</t>
  </si>
  <si>
    <t>4.1</t>
  </si>
  <si>
    <t>Serviço de Despacnhate para emissão, consulta e redação de requerimentos e dar entrada no processo de averbação de certificação.</t>
  </si>
  <si>
    <t>TOTAL</t>
  </si>
  <si>
    <t>Pessoal que vai ajudar no Levantamento+ MARCOS</t>
  </si>
  <si>
    <t>Parte de Escritório e ResponsabilidadeS</t>
  </si>
  <si>
    <t>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</si>
</sst>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8" fontId="2" fillId="3" borderId="0" xfId="0" applyNumberFormat="1" applyFont="1" applyFill="1" applyAlignment="1">
      <alignment vertic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4" fillId="0" borderId="1" xfId="2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0" fontId="4" fillId="0" borderId="1" xfId="0" applyFont="1" applyBorder="1"/>
    <xf numFmtId="44" fontId="0" fillId="0" borderId="1" xfId="2" applyFont="1" applyBorder="1" applyAlignment="1">
      <alignment horizontal="center" vertical="center"/>
    </xf>
    <xf numFmtId="0" fontId="6" fillId="5" borderId="1" xfId="0" applyFont="1" applyFill="1" applyBorder="1"/>
    <xf numFmtId="0" fontId="4" fillId="5" borderId="1" xfId="0" applyFont="1" applyFill="1" applyBorder="1"/>
    <xf numFmtId="44" fontId="4" fillId="5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44" fontId="4" fillId="5" borderId="1" xfId="2" applyFont="1" applyFill="1" applyBorder="1"/>
    <xf numFmtId="0" fontId="4" fillId="0" borderId="1" xfId="0" applyFont="1" applyBorder="1" applyAlignment="1">
      <alignment wrapText="1"/>
    </xf>
    <xf numFmtId="44" fontId="4" fillId="0" borderId="1" xfId="0" applyNumberFormat="1" applyFont="1" applyBorder="1" applyAlignment="1">
      <alignment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44" fontId="2" fillId="6" borderId="1" xfId="0" applyNumberFormat="1" applyFont="1" applyFill="1" applyBorder="1"/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8" fontId="7" fillId="0" borderId="0" xfId="0" applyNumberFormat="1" applyFont="1"/>
    <xf numFmtId="0" fontId="2" fillId="0" borderId="0" xfId="0" applyFont="1"/>
    <xf numFmtId="44" fontId="2" fillId="0" borderId="0" xfId="0" applyNumberFormat="1" applyFont="1"/>
    <xf numFmtId="0" fontId="0" fillId="6" borderId="0" xfId="0" applyFill="1"/>
    <xf numFmtId="44" fontId="0" fillId="6" borderId="0" xfId="1" applyFont="1" applyFill="1"/>
    <xf numFmtId="0" fontId="2" fillId="6" borderId="0" xfId="0" applyFont="1" applyFill="1"/>
    <xf numFmtId="44" fontId="2" fillId="6" borderId="0" xfId="0" applyNumberFormat="1" applyFont="1" applyFill="1"/>
  </cellXfs>
  <cellStyles count="3">
    <cellStyle name="Moeda" xfId="1" builtinId="4"/>
    <cellStyle name="Moeda 2" xfId="2" xr:uid="{EA102577-3740-42FF-BAA2-4C3FCB31839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1EAB-5113-4ED9-A75D-54D7DADE3519}">
  <dimension ref="A1:F26"/>
  <sheetViews>
    <sheetView workbookViewId="0">
      <selection activeCell="C6" sqref="C6"/>
    </sheetView>
  </sheetViews>
  <sheetFormatPr defaultRowHeight="14.4" x14ac:dyDescent="0.3"/>
  <cols>
    <col min="1" max="1" width="42.21875" customWidth="1"/>
    <col min="2" max="2" width="33" customWidth="1"/>
    <col min="3" max="3" width="14.88671875" customWidth="1"/>
    <col min="6" max="6" width="24.33203125" bestFit="1" customWidth="1"/>
  </cols>
  <sheetData>
    <row r="1" spans="1:6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5"/>
      <c r="C2" s="5"/>
      <c r="D2" s="5"/>
      <c r="E2" s="5"/>
      <c r="F2" s="5"/>
    </row>
    <row r="3" spans="1:6" x14ac:dyDescent="0.3">
      <c r="A3" s="1" t="s">
        <v>7</v>
      </c>
      <c r="B3" s="1" t="s">
        <v>8</v>
      </c>
      <c r="C3" s="1">
        <v>4.0999999999999996</v>
      </c>
      <c r="D3" s="1"/>
      <c r="E3" s="1"/>
      <c r="F3" s="1" t="s">
        <v>9</v>
      </c>
    </row>
    <row r="4" spans="1:6" x14ac:dyDescent="0.3">
      <c r="A4" s="1" t="s">
        <v>10</v>
      </c>
      <c r="B4" s="1" t="s">
        <v>11</v>
      </c>
      <c r="C4" s="1">
        <v>10</v>
      </c>
      <c r="D4" s="1"/>
      <c r="E4" s="1"/>
      <c r="F4" s="1"/>
    </row>
    <row r="5" spans="1:6" ht="22.8" customHeight="1" x14ac:dyDescent="0.3">
      <c r="A5" s="1" t="s">
        <v>12</v>
      </c>
      <c r="B5" s="1" t="s">
        <v>13</v>
      </c>
      <c r="C5" s="1">
        <v>140</v>
      </c>
      <c r="D5" s="1"/>
      <c r="E5" s="1"/>
      <c r="F5" s="1" t="s">
        <v>14</v>
      </c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4" t="s">
        <v>15</v>
      </c>
      <c r="B7" s="5"/>
      <c r="C7" s="5"/>
      <c r="D7" s="5"/>
      <c r="E7" s="5"/>
      <c r="F7" s="5"/>
    </row>
    <row r="8" spans="1:6" x14ac:dyDescent="0.3">
      <c r="A8" s="1" t="s">
        <v>16</v>
      </c>
      <c r="B8" s="1" t="s">
        <v>17</v>
      </c>
      <c r="C8" s="1">
        <v>4</v>
      </c>
      <c r="D8" s="1"/>
      <c r="E8" s="1"/>
      <c r="F8" s="1"/>
    </row>
    <row r="9" spans="1:6" x14ac:dyDescent="0.3">
      <c r="A9" s="1" t="s">
        <v>18</v>
      </c>
      <c r="B9" s="1" t="s">
        <v>17</v>
      </c>
      <c r="C9" s="1">
        <v>1</v>
      </c>
      <c r="D9" s="1"/>
      <c r="E9" s="1"/>
      <c r="F9" s="1"/>
    </row>
    <row r="10" spans="1:6" x14ac:dyDescent="0.3">
      <c r="A10" s="1" t="s">
        <v>19</v>
      </c>
      <c r="B10" s="1" t="s">
        <v>20</v>
      </c>
      <c r="C10" s="1">
        <v>150</v>
      </c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4" t="s">
        <v>21</v>
      </c>
      <c r="B12" s="5"/>
      <c r="C12" s="5"/>
      <c r="D12" s="5"/>
      <c r="E12" s="5"/>
      <c r="F12" s="5"/>
    </row>
    <row r="13" spans="1:6" ht="22.8" customHeight="1" x14ac:dyDescent="0.3">
      <c r="A13" s="1" t="s">
        <v>22</v>
      </c>
      <c r="B13" s="1" t="s">
        <v>17</v>
      </c>
      <c r="C13" s="1">
        <v>2</v>
      </c>
      <c r="D13" s="1"/>
      <c r="E13" s="1"/>
      <c r="F13" s="1" t="s">
        <v>23</v>
      </c>
    </row>
    <row r="14" spans="1:6" ht="27.6" customHeight="1" x14ac:dyDescent="0.3">
      <c r="A14" s="1" t="s">
        <v>24</v>
      </c>
      <c r="B14" s="1" t="s">
        <v>17</v>
      </c>
      <c r="C14" s="1">
        <v>2</v>
      </c>
      <c r="D14" s="1"/>
      <c r="E14" s="1"/>
      <c r="F14" s="1" t="s">
        <v>25</v>
      </c>
    </row>
    <row r="15" spans="1:6" ht="27.6" customHeight="1" x14ac:dyDescent="0.3">
      <c r="A15" s="1" t="s">
        <v>26</v>
      </c>
      <c r="B15" s="1" t="s">
        <v>17</v>
      </c>
      <c r="C15" s="1">
        <v>1</v>
      </c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4" t="s">
        <v>27</v>
      </c>
      <c r="B17" s="5"/>
      <c r="C17" s="5"/>
      <c r="D17" s="5"/>
      <c r="E17" s="5"/>
      <c r="F17" s="5"/>
    </row>
    <row r="18" spans="1:6" x14ac:dyDescent="0.3">
      <c r="A18" s="1" t="s">
        <v>28</v>
      </c>
      <c r="B18" s="1" t="s">
        <v>29</v>
      </c>
      <c r="C18" s="1">
        <v>350</v>
      </c>
      <c r="D18" s="1"/>
      <c r="E18" s="1"/>
      <c r="F18" s="1"/>
    </row>
    <row r="19" spans="1:6" x14ac:dyDescent="0.3">
      <c r="A19" s="1" t="s">
        <v>30</v>
      </c>
      <c r="B19" s="1" t="s">
        <v>29</v>
      </c>
      <c r="C19" s="1">
        <v>0</v>
      </c>
      <c r="D19" s="1"/>
      <c r="E19" s="1"/>
      <c r="F19" s="1"/>
    </row>
    <row r="20" spans="1:6" ht="28.8" x14ac:dyDescent="0.3">
      <c r="A20" s="1" t="s">
        <v>31</v>
      </c>
      <c r="B20" s="1" t="s">
        <v>32</v>
      </c>
      <c r="C20" s="1"/>
      <c r="D20" s="1"/>
      <c r="E20" s="1"/>
      <c r="F20" s="1" t="s">
        <v>33</v>
      </c>
    </row>
    <row r="21" spans="1:6" x14ac:dyDescent="0.3">
      <c r="A21" s="1" t="s">
        <v>34</v>
      </c>
      <c r="B21" s="1" t="s">
        <v>29</v>
      </c>
      <c r="C21" s="1"/>
      <c r="D21" s="1"/>
      <c r="E21" s="1"/>
      <c r="F21" s="1" t="s">
        <v>35</v>
      </c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 t="s">
        <v>36</v>
      </c>
      <c r="B23" s="1" t="s">
        <v>37</v>
      </c>
      <c r="C23" s="1" t="s">
        <v>38</v>
      </c>
      <c r="D23" s="1"/>
      <c r="E23" s="1"/>
      <c r="F23" s="1" t="s">
        <v>39</v>
      </c>
    </row>
    <row r="24" spans="1:6" x14ac:dyDescent="0.3">
      <c r="A24" s="2" t="s">
        <v>40</v>
      </c>
      <c r="B24" s="1" t="s">
        <v>41</v>
      </c>
      <c r="C24" s="1" t="s">
        <v>38</v>
      </c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4" t="s">
        <v>42</v>
      </c>
      <c r="B26" s="5"/>
      <c r="C26" s="5"/>
      <c r="D26" s="5"/>
      <c r="E26" s="6">
        <v>0</v>
      </c>
      <c r="F26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F02D-A649-47AF-810A-C93898BD1B43}">
  <dimension ref="A1:F20"/>
  <sheetViews>
    <sheetView tabSelected="1" workbookViewId="0">
      <selection activeCell="E3" sqref="E3"/>
    </sheetView>
  </sheetViews>
  <sheetFormatPr defaultRowHeight="14.4" x14ac:dyDescent="0.3"/>
  <cols>
    <col min="2" max="2" width="42.109375" bestFit="1" customWidth="1"/>
    <col min="5" max="5" width="11.109375" bestFit="1" customWidth="1"/>
    <col min="6" max="6" width="12.88671875" bestFit="1" customWidth="1"/>
  </cols>
  <sheetData>
    <row r="1" spans="1:6" x14ac:dyDescent="0.3">
      <c r="A1" s="7" t="s">
        <v>43</v>
      </c>
      <c r="B1" s="7" t="s">
        <v>44</v>
      </c>
      <c r="C1" s="7" t="s">
        <v>45</v>
      </c>
      <c r="D1" s="8" t="s">
        <v>46</v>
      </c>
      <c r="E1" s="7" t="s">
        <v>47</v>
      </c>
      <c r="F1" s="7" t="s">
        <v>48</v>
      </c>
    </row>
    <row r="2" spans="1:6" x14ac:dyDescent="0.3">
      <c r="A2" s="9" t="s">
        <v>49</v>
      </c>
      <c r="B2" s="9" t="s">
        <v>50</v>
      </c>
      <c r="C2" s="10"/>
      <c r="D2" s="10"/>
      <c r="E2" s="10"/>
      <c r="F2" s="10"/>
    </row>
    <row r="3" spans="1:6" ht="24" x14ac:dyDescent="0.3">
      <c r="A3" s="11" t="s">
        <v>51</v>
      </c>
      <c r="B3" s="12" t="s">
        <v>52</v>
      </c>
      <c r="C3" s="13" t="s">
        <v>53</v>
      </c>
      <c r="D3" s="14">
        <v>1</v>
      </c>
      <c r="E3" s="15">
        <v>1500</v>
      </c>
      <c r="F3" s="15">
        <f>D3*E3</f>
        <v>1500</v>
      </c>
    </row>
    <row r="4" spans="1:6" ht="15.6" x14ac:dyDescent="0.3">
      <c r="A4" s="16"/>
      <c r="B4" s="17"/>
      <c r="C4" s="18"/>
      <c r="D4" s="16"/>
      <c r="E4" s="16"/>
      <c r="F4" s="19"/>
    </row>
    <row r="5" spans="1:6" x14ac:dyDescent="0.3">
      <c r="A5" s="20" t="s">
        <v>54</v>
      </c>
      <c r="B5" s="20" t="s">
        <v>55</v>
      </c>
      <c r="C5" s="21"/>
      <c r="D5" s="21"/>
      <c r="E5" s="21"/>
      <c r="F5" s="22"/>
    </row>
    <row r="6" spans="1:6" ht="96" x14ac:dyDescent="0.3">
      <c r="A6" s="23" t="s">
        <v>56</v>
      </c>
      <c r="B6" s="12" t="s">
        <v>57</v>
      </c>
      <c r="C6" s="13" t="s">
        <v>58</v>
      </c>
      <c r="D6" s="13">
        <v>1259.2</v>
      </c>
      <c r="E6" s="15">
        <v>13</v>
      </c>
      <c r="F6" s="15">
        <f>D6*E6</f>
        <v>16369.6</v>
      </c>
    </row>
    <row r="7" spans="1:6" ht="24" x14ac:dyDescent="0.3">
      <c r="A7" s="13" t="s">
        <v>59</v>
      </c>
      <c r="B7" s="12" t="s">
        <v>60</v>
      </c>
      <c r="C7" s="13" t="s">
        <v>61</v>
      </c>
      <c r="D7" s="13">
        <v>10</v>
      </c>
      <c r="E7" s="15">
        <v>100</v>
      </c>
      <c r="F7" s="15">
        <f>D7*E7</f>
        <v>1000</v>
      </c>
    </row>
    <row r="8" spans="1:6" x14ac:dyDescent="0.3">
      <c r="A8" s="20" t="s">
        <v>62</v>
      </c>
      <c r="B8" s="20" t="s">
        <v>63</v>
      </c>
      <c r="C8" s="21"/>
      <c r="D8" s="21"/>
      <c r="E8" s="21"/>
      <c r="F8" s="24"/>
    </row>
    <row r="9" spans="1:6" ht="48.6" x14ac:dyDescent="0.3">
      <c r="A9" s="23" t="s">
        <v>64</v>
      </c>
      <c r="B9" s="25" t="s">
        <v>65</v>
      </c>
      <c r="C9" s="13" t="s">
        <v>53</v>
      </c>
      <c r="D9" s="13">
        <v>1</v>
      </c>
      <c r="E9" s="15">
        <v>600</v>
      </c>
      <c r="F9" s="15">
        <f>D9*E9</f>
        <v>600</v>
      </c>
    </row>
    <row r="10" spans="1:6" ht="36.6" x14ac:dyDescent="0.3">
      <c r="A10" s="18" t="s">
        <v>66</v>
      </c>
      <c r="B10" s="25" t="s">
        <v>67</v>
      </c>
      <c r="C10" s="13" t="s">
        <v>68</v>
      </c>
      <c r="D10" s="13">
        <v>1</v>
      </c>
      <c r="E10" s="15">
        <v>500</v>
      </c>
      <c r="F10" s="15">
        <f>D10*E10</f>
        <v>500</v>
      </c>
    </row>
    <row r="11" spans="1:6" x14ac:dyDescent="0.3">
      <c r="A11" s="20" t="s">
        <v>69</v>
      </c>
      <c r="B11" s="20" t="s">
        <v>70</v>
      </c>
      <c r="C11" s="20"/>
      <c r="D11" s="20"/>
      <c r="E11" s="20"/>
      <c r="F11" s="20"/>
    </row>
    <row r="12" spans="1:6" ht="36.6" x14ac:dyDescent="0.3">
      <c r="A12" s="25" t="s">
        <v>71</v>
      </c>
      <c r="B12" s="25" t="s">
        <v>72</v>
      </c>
      <c r="C12" s="13" t="s">
        <v>53</v>
      </c>
      <c r="D12" s="13">
        <v>1</v>
      </c>
      <c r="E12" s="15">
        <v>3000</v>
      </c>
      <c r="F12" s="26">
        <f>D12*E12</f>
        <v>3000</v>
      </c>
    </row>
    <row r="13" spans="1:6" x14ac:dyDescent="0.3">
      <c r="A13" s="25"/>
      <c r="B13" s="25"/>
      <c r="C13" s="25"/>
      <c r="D13" s="25"/>
      <c r="E13" s="25"/>
      <c r="F13" s="25"/>
    </row>
    <row r="14" spans="1:6" x14ac:dyDescent="0.3">
      <c r="A14" s="27"/>
      <c r="B14" s="28" t="s">
        <v>73</v>
      </c>
      <c r="C14" s="27"/>
      <c r="D14" s="27"/>
      <c r="E14" s="27"/>
      <c r="F14" s="29">
        <f>SUM(F2:F13)</f>
        <v>22969.599999999999</v>
      </c>
    </row>
    <row r="15" spans="1:6" x14ac:dyDescent="0.3">
      <c r="A15" s="30"/>
      <c r="B15" s="1"/>
      <c r="C15" s="30"/>
      <c r="D15" s="31"/>
      <c r="E15" s="32"/>
      <c r="F15" s="33"/>
    </row>
    <row r="16" spans="1:6" x14ac:dyDescent="0.3">
      <c r="A16" s="30"/>
      <c r="B16" s="1"/>
      <c r="C16" s="30"/>
      <c r="D16" s="31"/>
      <c r="E16" s="32"/>
      <c r="F16" s="34"/>
    </row>
    <row r="17" spans="2:5" x14ac:dyDescent="0.3">
      <c r="D17" s="35"/>
      <c r="E17" s="36"/>
    </row>
    <row r="18" spans="2:5" x14ac:dyDescent="0.3">
      <c r="B18" s="37" t="s">
        <v>74</v>
      </c>
      <c r="C18" s="38">
        <v>10000</v>
      </c>
    </row>
    <row r="19" spans="2:5" x14ac:dyDescent="0.3">
      <c r="B19" s="37" t="s">
        <v>75</v>
      </c>
      <c r="C19" s="38">
        <v>5000</v>
      </c>
    </row>
    <row r="20" spans="2:5" x14ac:dyDescent="0.3">
      <c r="B20" s="39" t="s">
        <v>76</v>
      </c>
      <c r="C20" s="40">
        <f>SUM(C18:C19)</f>
        <v>15000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2025-06-15T14:46:16Z</dcterms:created>
  <dcterms:modified xsi:type="dcterms:W3CDTF">2025-07-15T04:48:35Z</dcterms:modified>
</cp:coreProperties>
</file>