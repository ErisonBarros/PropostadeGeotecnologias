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37" documentId="8_{9866423B-C4D3-4B18-9C98-FADB026AED3A}" xr6:coauthVersionLast="47" xr6:coauthVersionMax="47" xr10:uidLastSave="{77DB2F4B-8189-453C-BDE2-2A38961169F0}"/>
  <bookViews>
    <workbookView xWindow="-108" yWindow="-108" windowWidth="23256" windowHeight="12456" firstSheet="9" activeTab="16" xr2:uid="{BF1A5A34-7DC4-43AA-9767-2C716462EE5E}"/>
  </bookViews>
  <sheets>
    <sheet name="ITEM 01" sheetId="1" r:id="rId1"/>
    <sheet name="ITEM 02" sheetId="2" r:id="rId2"/>
    <sheet name="ITEM 03" sheetId="3" r:id="rId3"/>
    <sheet name="ITEM 04" sheetId="4" r:id="rId4"/>
    <sheet name="ITEM 05" sheetId="5" r:id="rId5"/>
    <sheet name="ITEM 06" sheetId="6" r:id="rId6"/>
    <sheet name="ITEM07" sheetId="7" r:id="rId7"/>
    <sheet name="ITEM 08" sheetId="8" r:id="rId8"/>
    <sheet name="ITEM 09" sheetId="9" r:id="rId9"/>
    <sheet name="ITEM 10" sheetId="10" r:id="rId10"/>
    <sheet name="ITEM 11" sheetId="11" r:id="rId11"/>
    <sheet name="ITENS 12" sheetId="12" r:id="rId12"/>
    <sheet name="ITEM13" sheetId="13" r:id="rId13"/>
    <sheet name="ITEM 14" sheetId="14" r:id="rId14"/>
    <sheet name="ITEM15" sheetId="15" r:id="rId15"/>
    <sheet name="ITEM16" sheetId="16" r:id="rId16"/>
    <sheet name="RESUMO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7" l="1"/>
  <c r="E22" i="17"/>
  <c r="H18" i="17"/>
  <c r="G18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3" i="17"/>
  <c r="E18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3" i="17"/>
  <c r="B18" i="17"/>
  <c r="B16" i="17"/>
  <c r="B14" i="17"/>
  <c r="B13" i="17"/>
  <c r="B11" i="17"/>
  <c r="B10" i="17"/>
  <c r="B9" i="17"/>
  <c r="B8" i="17"/>
  <c r="B7" i="17"/>
  <c r="B6" i="17"/>
  <c r="B3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F14" i="16"/>
  <c r="F13" i="16"/>
  <c r="F10" i="16"/>
  <c r="F9" i="16"/>
  <c r="F8" i="16"/>
  <c r="F6" i="16"/>
  <c r="F5" i="16"/>
  <c r="F3" i="16"/>
  <c r="F16" i="16" s="1"/>
  <c r="F14" i="15"/>
  <c r="F13" i="15"/>
  <c r="F10" i="15"/>
  <c r="F9" i="15"/>
  <c r="F8" i="15"/>
  <c r="F6" i="15"/>
  <c r="F5" i="15"/>
  <c r="F3" i="15"/>
  <c r="F16" i="15" s="1"/>
  <c r="F14" i="14"/>
  <c r="F13" i="14"/>
  <c r="F10" i="14"/>
  <c r="F9" i="14"/>
  <c r="F8" i="14"/>
  <c r="F6" i="14"/>
  <c r="F5" i="14"/>
  <c r="F3" i="14"/>
  <c r="F14" i="13"/>
  <c r="F13" i="13"/>
  <c r="F10" i="13"/>
  <c r="F9" i="13"/>
  <c r="F8" i="13"/>
  <c r="F6" i="13"/>
  <c r="F5" i="13"/>
  <c r="F3" i="13"/>
  <c r="F16" i="13" s="1"/>
  <c r="F14" i="12"/>
  <c r="F13" i="12"/>
  <c r="F10" i="12"/>
  <c r="F9" i="12"/>
  <c r="F8" i="12"/>
  <c r="F6" i="12"/>
  <c r="F5" i="12"/>
  <c r="F3" i="12"/>
  <c r="F16" i="12" s="1"/>
  <c r="F14" i="11"/>
  <c r="F13" i="11"/>
  <c r="F10" i="11"/>
  <c r="F9" i="11"/>
  <c r="F8" i="11"/>
  <c r="F6" i="11"/>
  <c r="F5" i="11"/>
  <c r="F3" i="11"/>
  <c r="F16" i="11" s="1"/>
  <c r="F14" i="10"/>
  <c r="F13" i="10"/>
  <c r="F10" i="10"/>
  <c r="F9" i="10"/>
  <c r="F8" i="10"/>
  <c r="F6" i="10"/>
  <c r="F5" i="10"/>
  <c r="F3" i="10"/>
  <c r="F16" i="10" s="1"/>
  <c r="F14" i="9"/>
  <c r="F13" i="9"/>
  <c r="F10" i="9"/>
  <c r="F9" i="9"/>
  <c r="F8" i="9"/>
  <c r="F6" i="9"/>
  <c r="F5" i="9"/>
  <c r="F3" i="9"/>
  <c r="F16" i="9" s="1"/>
  <c r="F14" i="8"/>
  <c r="F13" i="8"/>
  <c r="F10" i="8"/>
  <c r="F9" i="8"/>
  <c r="F8" i="8"/>
  <c r="F6" i="8"/>
  <c r="F5" i="8"/>
  <c r="F3" i="8"/>
  <c r="F16" i="8" s="1"/>
  <c r="F14" i="7"/>
  <c r="F13" i="7"/>
  <c r="F10" i="7"/>
  <c r="F9" i="7"/>
  <c r="F8" i="7"/>
  <c r="F6" i="7"/>
  <c r="F5" i="7"/>
  <c r="F3" i="7"/>
  <c r="F16" i="7" s="1"/>
  <c r="F14" i="6"/>
  <c r="F13" i="6"/>
  <c r="F10" i="6"/>
  <c r="F9" i="6"/>
  <c r="F8" i="6"/>
  <c r="F6" i="6"/>
  <c r="F5" i="6"/>
  <c r="F3" i="6"/>
  <c r="F14" i="5"/>
  <c r="F13" i="5"/>
  <c r="F10" i="5"/>
  <c r="F9" i="5"/>
  <c r="F8" i="5"/>
  <c r="F6" i="5"/>
  <c r="F5" i="5"/>
  <c r="F3" i="5"/>
  <c r="F16" i="5" s="1"/>
  <c r="F14" i="4"/>
  <c r="F13" i="4"/>
  <c r="F10" i="4"/>
  <c r="F9" i="4"/>
  <c r="F8" i="4"/>
  <c r="F6" i="4"/>
  <c r="F5" i="4"/>
  <c r="F3" i="4"/>
  <c r="F16" i="4" s="1"/>
  <c r="F14" i="3"/>
  <c r="F16" i="3" s="1"/>
  <c r="F13" i="3"/>
  <c r="F10" i="3"/>
  <c r="F9" i="3"/>
  <c r="F8" i="3"/>
  <c r="F6" i="3"/>
  <c r="F5" i="3"/>
  <c r="F3" i="3"/>
  <c r="C25" i="2"/>
  <c r="F14" i="2"/>
  <c r="F13" i="2"/>
  <c r="F10" i="2"/>
  <c r="F9" i="2"/>
  <c r="F8" i="2"/>
  <c r="F6" i="2"/>
  <c r="F5" i="2"/>
  <c r="F3" i="2"/>
  <c r="C25" i="1"/>
  <c r="F14" i="1"/>
  <c r="F13" i="1"/>
  <c r="F10" i="1"/>
  <c r="F6" i="1"/>
  <c r="F9" i="1"/>
  <c r="F8" i="1"/>
  <c r="F5" i="1"/>
  <c r="F3" i="1"/>
  <c r="F16" i="14" l="1"/>
  <c r="F16" i="6"/>
  <c r="F16" i="2"/>
  <c r="F16" i="1"/>
  <c r="C3" i="17" s="1"/>
</calcChain>
</file>

<file path=xl/sharedStrings.xml><?xml version="1.0" encoding="utf-8"?>
<sst xmlns="http://schemas.openxmlformats.org/spreadsheetml/2006/main" count="759" uniqueCount="45">
  <si>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</si>
  <si>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</si>
  <si>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</si>
  <si>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</si>
  <si>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</si>
  <si>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</si>
  <si>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</si>
  <si>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</si>
  <si>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</si>
  <si>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</si>
  <si>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</si>
  <si>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</si>
  <si>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</si>
  <si>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</si>
  <si>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>ESCRITÓRIO</t>
  </si>
  <si>
    <t>3.1</t>
  </si>
  <si>
    <t>LEVANTAMENTO TOPOGRÁFICO E INSUMOS DE CAMPO</t>
  </si>
  <si>
    <t>2.2</t>
  </si>
  <si>
    <t>Und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</si>
  <si>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</si>
  <si>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Implantação de Marcos Padrão INCRA  com codificação dos vertices e do credenciado</t>
  </si>
  <si>
    <t>3.0</t>
  </si>
  <si>
    <t>Elaboração de plantas e peças técnicas em CAD e calculos e memoriais descritivos  necessários com impressão em formato ABNT em 3 vias com a elaboração do memorial descritivo, com Anotação de Responsabilidade Técnica - ART</t>
  </si>
  <si>
    <t>Elaboração e Registro do Imóvel no Cadastro Ambiental Rural - CAR no SICAR</t>
  </si>
  <si>
    <t>Criação e Registro do Sistma Nacional de Cadastro de Imóvel Rural SNCR para Emissão anual de CCIR ( Area  Geral, Remanescente e Desmebrada)</t>
  </si>
  <si>
    <t xml:space="preserve">Criação e Registro do Cadastro de Imóvel do Brasil - CIB na Receita Federal do Brasil </t>
  </si>
  <si>
    <t>Regularição o Imposto Territorial Rural - ITR e necessidade de Despachante</t>
  </si>
  <si>
    <t>hectares</t>
  </si>
  <si>
    <t>Elaboração de Planilha ODS para inserção no SIGEF com a Devida Responsabilidade Técnica conforme MTGIR 2° Edição e Lançamento no SIGEF</t>
  </si>
  <si>
    <t>SERVIÇOS DE DESPACHANTE IMOBILIÁRIO</t>
  </si>
  <si>
    <t>4.0</t>
  </si>
  <si>
    <t>4.1</t>
  </si>
  <si>
    <t>4.2</t>
  </si>
  <si>
    <t>4.3</t>
  </si>
  <si>
    <t>DESPESAS:</t>
  </si>
  <si>
    <t xml:space="preserve">Marcos </t>
  </si>
  <si>
    <t>Ajudante</t>
  </si>
  <si>
    <t>Alimentação</t>
  </si>
  <si>
    <t xml:space="preserve">combustivel </t>
  </si>
  <si>
    <t>3.2</t>
  </si>
  <si>
    <t>3.3</t>
  </si>
  <si>
    <t>VALOR(R$)</t>
  </si>
  <si>
    <t>ÁREAS</t>
  </si>
  <si>
    <t>REDUÇÃO</t>
  </si>
  <si>
    <t>REDUZIR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</si>
</sst>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2" fillId="2" borderId="2" xfId="0" applyFont="1" applyFill="1" applyBorder="1"/>
    <xf numFmtId="0" fontId="0" fillId="0" borderId="0" xfId="0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5"/>
  <sheetViews>
    <sheetView zoomScale="130" zoomScaleNormal="130" workbookViewId="0">
      <selection activeCell="F3" sqref="F3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90.5</v>
      </c>
      <c r="E5" s="18">
        <v>35</v>
      </c>
      <c r="F5" s="18">
        <f>D5*E5</f>
        <v>3167.5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7217.5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D122-3BD1-4BE5-8A5A-1DDA90464611}">
  <dimension ref="A1:H25"/>
  <sheetViews>
    <sheetView workbookViewId="0">
      <selection activeCell="D15" sqref="D1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f>SUM(C21:C24)</f>
        <v>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65C-C201-40F7-BB36-B1D5077ABACC}">
  <dimension ref="A1:H25"/>
  <sheetViews>
    <sheetView workbookViewId="0">
      <selection activeCell="E14" sqref="E14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E0DD-4FCA-4AE4-93D1-6C6BB62C2DB2}">
  <dimension ref="A1:H25"/>
  <sheetViews>
    <sheetView workbookViewId="0">
      <selection activeCell="E20" sqref="E20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40.299999999999997</v>
      </c>
      <c r="E5" s="18">
        <v>25</v>
      </c>
      <c r="F5" s="18">
        <f>D5*E5</f>
        <v>1007.4999999999999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5057.5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C291-1C2B-4BE5-BCA8-65EAE1B394E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9</v>
      </c>
      <c r="E5" s="18">
        <v>25</v>
      </c>
      <c r="F5" s="18">
        <f>D5*E5</f>
        <v>225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3BE7-2D21-4239-B2E9-B53E3133F35E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7</v>
      </c>
      <c r="E5" s="18">
        <v>25</v>
      </c>
      <c r="F5" s="18">
        <f>D5*E5</f>
        <v>175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4225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553F-3085-4C75-9E16-590EEEF91A14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1.8</v>
      </c>
      <c r="E5" s="18">
        <v>25</v>
      </c>
      <c r="F5" s="18">
        <f>D5*E5</f>
        <v>45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4095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1B7-1648-4433-9EFF-0C995147008B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3.6</v>
      </c>
      <c r="E5" s="18">
        <v>25</v>
      </c>
      <c r="F5" s="18">
        <f>D5*E5</f>
        <v>90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4140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F8D9-4221-45CE-9B17-28C9CD7D6A9E}">
  <dimension ref="A1:H25"/>
  <sheetViews>
    <sheetView topLeftCell="A3"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100</v>
      </c>
      <c r="E5" s="18">
        <v>35</v>
      </c>
      <c r="F5" s="18">
        <f>D5*E5</f>
        <v>3500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7550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C8A5-0AE6-409E-87E5-C92661AD1DE6}">
  <dimension ref="A1:H25"/>
  <sheetViews>
    <sheetView workbookViewId="0">
      <selection activeCell="C26" sqref="C2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120</v>
      </c>
      <c r="E5" s="18">
        <v>35</v>
      </c>
      <c r="F5" s="18">
        <f>D5*E5</f>
        <v>4200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8250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2F13-52E9-49B7-BEB2-24FD66346C41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10</v>
      </c>
      <c r="E5" s="18">
        <v>25</v>
      </c>
      <c r="F5" s="18">
        <f>D5*E5</f>
        <v>250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4300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2B2-5EAD-4FA1-8ED9-8E63D7BEB282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5.6</v>
      </c>
      <c r="E5" s="18">
        <v>25</v>
      </c>
      <c r="F5" s="18">
        <f>D5*E5</f>
        <v>140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4190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D673-68F7-4561-B3EC-F1D1360E02ED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3</v>
      </c>
      <c r="E5" s="18">
        <v>25</v>
      </c>
      <c r="F5" s="18">
        <f>D5*E5</f>
        <v>75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4125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02D9-12CC-4C97-A55B-BBE50A230473}">
  <dimension ref="A1:H25"/>
  <sheetViews>
    <sheetView workbookViewId="0">
      <selection activeCell="G24" sqref="G24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77.5</v>
      </c>
      <c r="E5" s="18">
        <v>25</v>
      </c>
      <c r="F5" s="18">
        <f>D5*E5</f>
        <v>1937.5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5987.5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1200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3853-FFE5-4B89-8495-FA1115F9010C}">
  <dimension ref="A1:H25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135</v>
      </c>
      <c r="E5" s="18">
        <v>35</v>
      </c>
      <c r="F5" s="18">
        <f>D5*E5</f>
        <v>4725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8775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C23A-6E84-4FAC-9807-115E7BBAFEF9}">
  <dimension ref="A1:H25"/>
  <sheetViews>
    <sheetView topLeftCell="A8" workbookViewId="0">
      <selection activeCell="I13" sqref="I13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96" x14ac:dyDescent="0.3">
      <c r="A5" s="9" t="s">
        <v>13</v>
      </c>
      <c r="B5" s="17" t="s">
        <v>19</v>
      </c>
      <c r="C5" s="9" t="s">
        <v>27</v>
      </c>
      <c r="D5" s="9">
        <v>135</v>
      </c>
      <c r="E5" s="18">
        <v>35</v>
      </c>
      <c r="F5" s="18">
        <f>D5*E5</f>
        <v>4725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x14ac:dyDescent="0.25">
      <c r="A7" s="28" t="s">
        <v>21</v>
      </c>
      <c r="B7" s="15" t="s">
        <v>14</v>
      </c>
      <c r="C7" s="14"/>
      <c r="D7" s="14"/>
      <c r="E7" s="14"/>
      <c r="F7" s="19"/>
    </row>
    <row r="8" spans="1:6" s="5" customFormat="1" ht="60" x14ac:dyDescent="0.25">
      <c r="A8" s="9" t="s">
        <v>15</v>
      </c>
      <c r="B8" s="20" t="s">
        <v>22</v>
      </c>
      <c r="C8" s="9" t="s">
        <v>11</v>
      </c>
      <c r="D8" s="9">
        <v>1</v>
      </c>
      <c r="E8" s="18">
        <v>700</v>
      </c>
      <c r="F8" s="18">
        <f>D8*E8</f>
        <v>700</v>
      </c>
    </row>
    <row r="9" spans="1:6" s="5" customFormat="1" ht="36" x14ac:dyDescent="0.25">
      <c r="A9" s="9" t="s">
        <v>39</v>
      </c>
      <c r="B9" s="20" t="s">
        <v>28</v>
      </c>
      <c r="C9" s="9" t="s">
        <v>11</v>
      </c>
      <c r="D9" s="9">
        <v>1</v>
      </c>
      <c r="E9" s="18">
        <v>500</v>
      </c>
      <c r="F9" s="18">
        <f>D9*E9</f>
        <v>500</v>
      </c>
    </row>
    <row r="10" spans="1:6" s="5" customFormat="1" ht="24" x14ac:dyDescent="0.25">
      <c r="A10" s="9" t="s">
        <v>40</v>
      </c>
      <c r="B10" s="20" t="s">
        <v>23</v>
      </c>
      <c r="C10" s="9" t="s">
        <v>11</v>
      </c>
      <c r="D10" s="9">
        <v>1</v>
      </c>
      <c r="E10" s="18">
        <v>400</v>
      </c>
      <c r="F10" s="18">
        <f>D10*E10</f>
        <v>400</v>
      </c>
    </row>
    <row r="11" spans="1:6" s="5" customFormat="1" x14ac:dyDescent="0.25">
      <c r="A11" s="28" t="s">
        <v>30</v>
      </c>
      <c r="B11" s="15" t="s">
        <v>29</v>
      </c>
      <c r="C11" s="14"/>
      <c r="D11" s="14"/>
      <c r="E11" s="14"/>
      <c r="F11" s="19"/>
    </row>
    <row r="12" spans="1:6" s="5" customFormat="1" ht="36" x14ac:dyDescent="0.25">
      <c r="A12" s="9" t="s">
        <v>31</v>
      </c>
      <c r="B12" s="20" t="s">
        <v>24</v>
      </c>
      <c r="C12" s="9" t="s">
        <v>11</v>
      </c>
      <c r="D12" s="9">
        <v>1</v>
      </c>
      <c r="E12" s="18">
        <v>600</v>
      </c>
      <c r="F12" s="18">
        <v>500</v>
      </c>
    </row>
    <row r="13" spans="1:6" s="5" customFormat="1" ht="24" x14ac:dyDescent="0.25">
      <c r="A13" s="9" t="s">
        <v>32</v>
      </c>
      <c r="B13" s="20" t="s">
        <v>25</v>
      </c>
      <c r="C13" s="9" t="s">
        <v>11</v>
      </c>
      <c r="D13" s="9">
        <v>1</v>
      </c>
      <c r="E13" s="18">
        <v>500</v>
      </c>
      <c r="F13" s="18">
        <f>D13*E13</f>
        <v>500</v>
      </c>
    </row>
    <row r="14" spans="1:6" s="5" customFormat="1" ht="24" x14ac:dyDescent="0.25">
      <c r="A14" s="9" t="s">
        <v>33</v>
      </c>
      <c r="B14" s="20" t="s">
        <v>26</v>
      </c>
      <c r="C14" s="9" t="s">
        <v>11</v>
      </c>
      <c r="D14" s="9">
        <v>1</v>
      </c>
      <c r="E14" s="18">
        <v>500</v>
      </c>
      <c r="F14" s="18">
        <f>D14*E14</f>
        <v>500</v>
      </c>
    </row>
    <row r="15" spans="1:6" s="5" customFormat="1" x14ac:dyDescent="0.25">
      <c r="A15" s="9"/>
      <c r="B15" s="20"/>
      <c r="C15" s="9"/>
      <c r="D15" s="9"/>
      <c r="E15" s="18"/>
      <c r="F15" s="18"/>
    </row>
    <row r="16" spans="1:6" s="5" customFormat="1" x14ac:dyDescent="0.3">
      <c r="A16" s="21"/>
      <c r="B16" s="22" t="s">
        <v>0</v>
      </c>
      <c r="C16" s="21"/>
      <c r="D16" s="21"/>
      <c r="E16" s="21"/>
      <c r="F16" s="23">
        <f>SUM(F2:F15)</f>
        <v>8775</v>
      </c>
    </row>
    <row r="17" spans="1:8" s="5" customFormat="1" x14ac:dyDescent="0.3">
      <c r="A17" s="2"/>
      <c r="B17" s="3"/>
      <c r="C17" s="2"/>
      <c r="D17" s="6"/>
      <c r="E17" s="7"/>
      <c r="H17" s="26"/>
    </row>
    <row r="18" spans="1:8" s="5" customFormat="1" x14ac:dyDescent="0.3">
      <c r="A18" s="2"/>
      <c r="B18" s="3"/>
      <c r="C18" s="2"/>
      <c r="D18" s="6"/>
      <c r="E18" s="7"/>
      <c r="F18" s="25"/>
    </row>
    <row r="19" spans="1:8" x14ac:dyDescent="0.3">
      <c r="D19" s="1"/>
      <c r="E19" s="4"/>
    </row>
    <row r="20" spans="1:8" x14ac:dyDescent="0.3">
      <c r="A20" s="33"/>
      <c r="B20" s="33" t="s">
        <v>34</v>
      </c>
      <c r="C20" s="33"/>
    </row>
    <row r="21" spans="1:8" x14ac:dyDescent="0.3">
      <c r="B21" t="s">
        <v>35</v>
      </c>
      <c r="C21" s="29">
        <v>150</v>
      </c>
    </row>
    <row r="22" spans="1:8" x14ac:dyDescent="0.3">
      <c r="B22" t="s">
        <v>36</v>
      </c>
      <c r="C22" s="30">
        <v>160</v>
      </c>
    </row>
    <row r="23" spans="1:8" x14ac:dyDescent="0.3">
      <c r="B23" t="s">
        <v>37</v>
      </c>
      <c r="C23" s="30">
        <v>90</v>
      </c>
    </row>
    <row r="24" spans="1:8" x14ac:dyDescent="0.3">
      <c r="B24" t="s">
        <v>38</v>
      </c>
      <c r="C24" s="30">
        <v>100</v>
      </c>
    </row>
    <row r="25" spans="1:8" x14ac:dyDescent="0.3">
      <c r="A25" s="31"/>
      <c r="B25" s="31"/>
      <c r="C25" s="32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4964-8653-4253-8C53-889343FB21AF}">
  <dimension ref="A2:H24"/>
  <sheetViews>
    <sheetView tabSelected="1" workbookViewId="0">
      <selection activeCell="D25" sqref="D25"/>
    </sheetView>
  </sheetViews>
  <sheetFormatPr defaultRowHeight="14.4" x14ac:dyDescent="0.3"/>
  <cols>
    <col min="1" max="1" width="10.77734375" customWidth="1"/>
    <col min="2" max="2" width="17.21875" customWidth="1"/>
    <col min="3" max="3" width="13.77734375" customWidth="1"/>
    <col min="4" max="4" width="12.44140625" customWidth="1"/>
    <col min="5" max="5" width="13.6640625" customWidth="1"/>
    <col min="6" max="6" width="11.88671875" bestFit="1" customWidth="1"/>
    <col min="7" max="7" width="12.88671875" bestFit="1" customWidth="1"/>
    <col min="8" max="8" width="9.33203125" bestFit="1" customWidth="1"/>
  </cols>
  <sheetData>
    <row r="2" spans="1:7" x14ac:dyDescent="0.3">
      <c r="A2" s="34" t="s">
        <v>1</v>
      </c>
      <c r="B2" s="34" t="s">
        <v>42</v>
      </c>
      <c r="C2" s="34" t="s">
        <v>41</v>
      </c>
      <c r="D2" s="34" t="s">
        <v>43</v>
      </c>
      <c r="F2" s="34" t="s">
        <v>44</v>
      </c>
      <c r="G2" s="34" t="s">
        <v>0</v>
      </c>
    </row>
    <row r="3" spans="1:7" x14ac:dyDescent="0.3">
      <c r="A3" s="34">
        <v>1</v>
      </c>
      <c r="B3" s="34">
        <f>'ITEM 01'!D5</f>
        <v>90.5</v>
      </c>
      <c r="C3" s="35">
        <f>'ITEM 01'!F16</f>
        <v>7217.5</v>
      </c>
      <c r="D3" s="37">
        <v>600</v>
      </c>
      <c r="E3" s="35">
        <f>C3-D3</f>
        <v>6617.5</v>
      </c>
      <c r="F3" s="38">
        <v>2500</v>
      </c>
      <c r="G3" s="35">
        <f>E3-F3</f>
        <v>4117.5</v>
      </c>
    </row>
    <row r="4" spans="1:7" x14ac:dyDescent="0.3">
      <c r="A4" s="34">
        <v>2</v>
      </c>
      <c r="B4" s="34">
        <v>9</v>
      </c>
      <c r="C4" s="35">
        <f>'ITEM 02'!F16</f>
        <v>4275</v>
      </c>
      <c r="D4" s="37">
        <v>600</v>
      </c>
      <c r="E4" s="35">
        <f t="shared" ref="E4:E17" si="0">C4-D4</f>
        <v>3675</v>
      </c>
      <c r="F4" s="38">
        <v>2500</v>
      </c>
      <c r="G4" s="35">
        <f t="shared" ref="G4:G17" si="1">E4-F4</f>
        <v>1175</v>
      </c>
    </row>
    <row r="5" spans="1:7" x14ac:dyDescent="0.3">
      <c r="A5" s="34">
        <v>3</v>
      </c>
      <c r="B5" s="34">
        <v>3.2</v>
      </c>
      <c r="C5" s="35">
        <f>'ITEM 03'!F16</f>
        <v>5057.5</v>
      </c>
      <c r="D5" s="37">
        <v>600</v>
      </c>
      <c r="E5" s="35">
        <f t="shared" si="0"/>
        <v>4457.5</v>
      </c>
      <c r="F5" s="38">
        <v>2500</v>
      </c>
      <c r="G5" s="35">
        <f t="shared" si="1"/>
        <v>1957.5</v>
      </c>
    </row>
    <row r="6" spans="1:7" x14ac:dyDescent="0.3">
      <c r="A6" s="34">
        <v>4</v>
      </c>
      <c r="B6" s="34">
        <f>'ITEM 03'!D5</f>
        <v>40.299999999999997</v>
      </c>
      <c r="C6" s="35">
        <f>'ITEM 04'!F16</f>
        <v>5057.5</v>
      </c>
      <c r="D6" s="37">
        <v>600</v>
      </c>
      <c r="E6" s="35">
        <f t="shared" si="0"/>
        <v>4457.5</v>
      </c>
      <c r="F6" s="38">
        <v>2500</v>
      </c>
      <c r="G6" s="35">
        <f t="shared" si="1"/>
        <v>1957.5</v>
      </c>
    </row>
    <row r="7" spans="1:7" x14ac:dyDescent="0.3">
      <c r="A7" s="34">
        <v>5</v>
      </c>
      <c r="B7" s="34">
        <f>'ITEM 05'!D5</f>
        <v>9</v>
      </c>
      <c r="C7" s="35">
        <f>'ITEM 05'!F16</f>
        <v>4275</v>
      </c>
      <c r="D7" s="37">
        <v>600</v>
      </c>
      <c r="E7" s="35">
        <f t="shared" si="0"/>
        <v>3675</v>
      </c>
      <c r="F7" s="38">
        <v>2500</v>
      </c>
      <c r="G7" s="35">
        <f t="shared" si="1"/>
        <v>1175</v>
      </c>
    </row>
    <row r="8" spans="1:7" x14ac:dyDescent="0.3">
      <c r="A8" s="34">
        <v>6</v>
      </c>
      <c r="B8" s="34">
        <f>'ITEM 06'!D5</f>
        <v>7</v>
      </c>
      <c r="C8" s="35">
        <f>'ITEM 06'!F16</f>
        <v>4225</v>
      </c>
      <c r="D8" s="37">
        <v>600</v>
      </c>
      <c r="E8" s="35">
        <f t="shared" si="0"/>
        <v>3625</v>
      </c>
      <c r="F8" s="38">
        <v>2500</v>
      </c>
      <c r="G8" s="35">
        <f t="shared" si="1"/>
        <v>1125</v>
      </c>
    </row>
    <row r="9" spans="1:7" x14ac:dyDescent="0.3">
      <c r="A9" s="34">
        <v>7</v>
      </c>
      <c r="B9" s="34">
        <f>ITEM07!D5</f>
        <v>1.8</v>
      </c>
      <c r="C9" s="35">
        <f>ITEM07!F16</f>
        <v>4095</v>
      </c>
      <c r="D9" s="37">
        <v>600</v>
      </c>
      <c r="E9" s="35">
        <f t="shared" si="0"/>
        <v>3495</v>
      </c>
      <c r="F9" s="38">
        <v>2500</v>
      </c>
      <c r="G9" s="35">
        <f t="shared" si="1"/>
        <v>995</v>
      </c>
    </row>
    <row r="10" spans="1:7" x14ac:dyDescent="0.3">
      <c r="A10" s="34">
        <v>8</v>
      </c>
      <c r="B10" s="34">
        <f>'ITEM 08'!D5</f>
        <v>3.6</v>
      </c>
      <c r="C10" s="35">
        <f>'ITEM 08'!F16</f>
        <v>4140</v>
      </c>
      <c r="D10" s="37">
        <v>600</v>
      </c>
      <c r="E10" s="35">
        <f t="shared" si="0"/>
        <v>3540</v>
      </c>
      <c r="F10" s="38">
        <v>2500</v>
      </c>
      <c r="G10" s="35">
        <f t="shared" si="1"/>
        <v>1040</v>
      </c>
    </row>
    <row r="11" spans="1:7" x14ac:dyDescent="0.3">
      <c r="A11" s="34">
        <v>9</v>
      </c>
      <c r="B11" s="34">
        <f>'ITEM 09'!D5</f>
        <v>100</v>
      </c>
      <c r="C11" s="35">
        <f>'ITEM 09'!F16</f>
        <v>7550</v>
      </c>
      <c r="D11" s="37">
        <v>600</v>
      </c>
      <c r="E11" s="35">
        <f t="shared" si="0"/>
        <v>6950</v>
      </c>
      <c r="F11" s="38">
        <v>2500</v>
      </c>
      <c r="G11" s="35">
        <f t="shared" si="1"/>
        <v>4450</v>
      </c>
    </row>
    <row r="12" spans="1:7" x14ac:dyDescent="0.3">
      <c r="A12" s="34">
        <v>10</v>
      </c>
      <c r="B12" s="34">
        <v>20</v>
      </c>
      <c r="C12" s="35">
        <f>'ITEM 10'!F16</f>
        <v>8250</v>
      </c>
      <c r="D12" s="37">
        <v>600</v>
      </c>
      <c r="E12" s="35">
        <f t="shared" si="0"/>
        <v>7650</v>
      </c>
      <c r="F12" s="38">
        <v>2500</v>
      </c>
      <c r="G12" s="35">
        <f t="shared" si="1"/>
        <v>5150</v>
      </c>
    </row>
    <row r="13" spans="1:7" x14ac:dyDescent="0.3">
      <c r="A13" s="34">
        <v>11</v>
      </c>
      <c r="B13" s="34">
        <f>'ITEM 11'!D5</f>
        <v>10</v>
      </c>
      <c r="C13" s="35">
        <f>'ITEM 11'!F16</f>
        <v>4300</v>
      </c>
      <c r="D13" s="37">
        <v>600</v>
      </c>
      <c r="E13" s="35">
        <f t="shared" si="0"/>
        <v>3700</v>
      </c>
      <c r="F13" s="38">
        <v>2500</v>
      </c>
      <c r="G13" s="35">
        <f t="shared" si="1"/>
        <v>1200</v>
      </c>
    </row>
    <row r="14" spans="1:7" x14ac:dyDescent="0.3">
      <c r="A14" s="34">
        <v>12</v>
      </c>
      <c r="B14" s="34">
        <f>'ITENS 12'!D5</f>
        <v>5.6</v>
      </c>
      <c r="C14" s="35">
        <f>'ITENS 12'!F16</f>
        <v>4190</v>
      </c>
      <c r="D14" s="37">
        <v>600</v>
      </c>
      <c r="E14" s="35">
        <f t="shared" si="0"/>
        <v>3590</v>
      </c>
      <c r="F14" s="38">
        <v>2500</v>
      </c>
      <c r="G14" s="35">
        <f t="shared" si="1"/>
        <v>1090</v>
      </c>
    </row>
    <row r="15" spans="1:7" x14ac:dyDescent="0.3">
      <c r="A15" s="34">
        <v>13</v>
      </c>
      <c r="B15" s="34">
        <v>4</v>
      </c>
      <c r="C15" s="35">
        <f>ITEM13!F16</f>
        <v>4125</v>
      </c>
      <c r="D15" s="37">
        <v>600</v>
      </c>
      <c r="E15" s="35">
        <f t="shared" si="0"/>
        <v>3525</v>
      </c>
      <c r="F15" s="38">
        <v>2500</v>
      </c>
      <c r="G15" s="35">
        <f t="shared" si="1"/>
        <v>1025</v>
      </c>
    </row>
    <row r="16" spans="1:7" x14ac:dyDescent="0.3">
      <c r="A16" s="34">
        <v>14</v>
      </c>
      <c r="B16" s="34">
        <f>'ITEM 14'!D5</f>
        <v>77.5</v>
      </c>
      <c r="C16" s="35">
        <f>'ITEM 14'!F16</f>
        <v>5987.5</v>
      </c>
      <c r="D16" s="37">
        <v>600</v>
      </c>
      <c r="E16" s="35">
        <f t="shared" si="0"/>
        <v>5387.5</v>
      </c>
      <c r="F16" s="38">
        <v>2500</v>
      </c>
      <c r="G16" s="35">
        <f t="shared" si="1"/>
        <v>2887.5</v>
      </c>
    </row>
    <row r="17" spans="1:8" x14ac:dyDescent="0.3">
      <c r="A17" s="34">
        <v>15</v>
      </c>
      <c r="B17" s="34">
        <v>1.36</v>
      </c>
      <c r="C17" s="35">
        <f>ITEM15!F16</f>
        <v>8775</v>
      </c>
      <c r="D17" s="37">
        <v>600</v>
      </c>
      <c r="E17" s="35">
        <f t="shared" si="0"/>
        <v>8175</v>
      </c>
      <c r="F17" s="38">
        <v>2500</v>
      </c>
      <c r="G17" s="35">
        <f t="shared" si="1"/>
        <v>5675</v>
      </c>
    </row>
    <row r="18" spans="1:8" x14ac:dyDescent="0.3">
      <c r="A18" s="36" t="s">
        <v>0</v>
      </c>
      <c r="B18" s="36">
        <f>SUM(B3:B17)</f>
        <v>382.86</v>
      </c>
      <c r="C18" s="35"/>
      <c r="E18" s="35">
        <f>SUM(E3:E17)</f>
        <v>72520</v>
      </c>
      <c r="G18" s="35">
        <f>SUM(G3:G17)</f>
        <v>35020</v>
      </c>
      <c r="H18" s="35">
        <f>G18/B18</f>
        <v>91.469466645771291</v>
      </c>
    </row>
    <row r="19" spans="1:8" x14ac:dyDescent="0.3">
      <c r="A19" s="34"/>
      <c r="B19" s="34"/>
    </row>
    <row r="20" spans="1:8" x14ac:dyDescent="0.3">
      <c r="A20" s="34"/>
      <c r="B20" s="34"/>
    </row>
    <row r="22" spans="1:8" x14ac:dyDescent="0.3">
      <c r="C22">
        <v>382.86</v>
      </c>
      <c r="D22">
        <v>35</v>
      </c>
      <c r="E22">
        <f>C22*D22</f>
        <v>13400.1</v>
      </c>
    </row>
    <row r="24" spans="1:8" x14ac:dyDescent="0.3">
      <c r="D24">
        <f>18000/C22</f>
        <v>47.014574518100609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ITEM 01</vt:lpstr>
      <vt:lpstr>ITEM 02</vt:lpstr>
      <vt:lpstr>ITEM 03</vt:lpstr>
      <vt:lpstr>ITEM 04</vt:lpstr>
      <vt:lpstr>ITEM 05</vt:lpstr>
      <vt:lpstr>ITEM 06</vt:lpstr>
      <vt:lpstr>ITEM07</vt:lpstr>
      <vt:lpstr>ITEM 08</vt:lpstr>
      <vt:lpstr>ITEM 09</vt:lpstr>
      <vt:lpstr>ITEM 10</vt:lpstr>
      <vt:lpstr>ITEM 11</vt:lpstr>
      <vt:lpstr>ITENS 12</vt:lpstr>
      <vt:lpstr>ITEM13</vt:lpstr>
      <vt:lpstr>ITEM 14</vt:lpstr>
      <vt:lpstr>ITEM15</vt:lpstr>
      <vt:lpstr>ITEM16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2025-09-13T19:32:46Z</dcterms:modified>
  <cp:category/>
  <cp:contentStatus/>
</cp:coreProperties>
</file>