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6" documentId="11_5ECEEBF0571EA3D63D4C8DD990DB545D64CE837A" xr6:coauthVersionLast="47" xr6:coauthVersionMax="47" xr10:uidLastSave="{9435E1C5-788A-4B12-96BC-BD0701DC16CE}"/>
  <bookViews>
    <workbookView xWindow="-108" yWindow="-108" windowWidth="23256" windowHeight="12576" xr2:uid="{00000000-000D-0000-FFFF-FFFF00000000}"/>
  </bookViews>
  <sheets>
    <sheet name="Simul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C13" i="1"/>
  <c r="E25" i="1" s="1"/>
  <c r="N3" i="1"/>
  <c r="E24" i="1" s="1"/>
  <c r="D33" i="1" l="1"/>
</calcChain>
</file>

<file path=xl/sharedStrings.xml><?xml version="1.0" encoding="utf-8"?>
<sst xmlns="http://schemas.openxmlformats.org/spreadsheetml/2006/main" count="42" uniqueCount="35">
  <si>
    <t>Cálculo de reembolso</t>
  </si>
  <si>
    <t>1º Passo</t>
  </si>
  <si>
    <t>Estipular o veículo padrão:</t>
  </si>
  <si>
    <t>Gol</t>
  </si>
  <si>
    <t>Estimar o KM rodado por ano:</t>
  </si>
  <si>
    <t>2° Passo</t>
  </si>
  <si>
    <t>Valor de mercado</t>
  </si>
  <si>
    <t>Tipo de combustível (G/A)</t>
  </si>
  <si>
    <t>Gasolina</t>
  </si>
  <si>
    <t>Autonomia (KM/L)</t>
  </si>
  <si>
    <t>Acesse o link para o treinamento:</t>
  </si>
  <si>
    <r>
      <rPr>
        <u/>
        <sz val="11"/>
        <color indexed="12"/>
        <rFont val="Calibri"/>
        <family val="2"/>
      </rPr>
      <t>http://blog.contelege.com.br/reembolso-por-km-rodado/</t>
    </r>
  </si>
  <si>
    <t>Valor do combustível (R$/L)</t>
  </si>
  <si>
    <t>IPVA</t>
  </si>
  <si>
    <t>Seguro obrigatório (SP)</t>
  </si>
  <si>
    <t>Licenciamento (SP)</t>
  </si>
  <si>
    <t>Valor total das revisões previstas no ano</t>
  </si>
  <si>
    <t>Valor do pneu (Unit)</t>
  </si>
  <si>
    <t>Depreciação</t>
  </si>
  <si>
    <t>5 anos</t>
  </si>
  <si>
    <t>Custo por lavagem</t>
  </si>
  <si>
    <t>Periodo de lavagem</t>
  </si>
  <si>
    <t>Semanal</t>
  </si>
  <si>
    <t>3° Passo</t>
  </si>
  <si>
    <t>Definir os indicadores de reembolso</t>
  </si>
  <si>
    <t>% de participação da empresa</t>
  </si>
  <si>
    <t>Reembolso a pagar</t>
  </si>
  <si>
    <t>Combustível</t>
  </si>
  <si>
    <t>Sim</t>
  </si>
  <si>
    <t>IPVA + LIC + SO</t>
  </si>
  <si>
    <t>Manutenção (revisão)</t>
  </si>
  <si>
    <t>Pneus</t>
  </si>
  <si>
    <t>Limpeza</t>
  </si>
  <si>
    <t>Seguro</t>
  </si>
  <si>
    <t>Reembolso total por KM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</si>
</sst>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6" x14ac:knownFonts="1">
    <font>
      <sz val="11"/>
      <color indexed="8"/>
      <name val="Calibri"/>
    </font>
    <font>
      <sz val="17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sz val="16"/>
      <color indexed="8"/>
      <name val="Calibri"/>
      <family val="2"/>
    </font>
    <font>
      <sz val="2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3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ck">
        <color indexed="10"/>
      </right>
      <top style="thin">
        <color indexed="8"/>
      </top>
      <bottom style="medium">
        <color indexed="10"/>
      </bottom>
      <diagonal/>
    </border>
    <border>
      <left style="thick">
        <color indexed="10"/>
      </left>
      <right/>
      <top style="thin">
        <color indexed="8"/>
      </top>
      <bottom style="medium">
        <color indexed="10"/>
      </bottom>
      <diagonal/>
    </border>
    <border>
      <left/>
      <right style="thick">
        <color indexed="10"/>
      </right>
      <top style="medium">
        <color indexed="10"/>
      </top>
      <bottom style="medium">
        <color indexed="8"/>
      </bottom>
      <diagonal/>
    </border>
    <border>
      <left style="thick">
        <color indexed="10"/>
      </left>
      <right/>
      <top style="medium">
        <color indexed="10"/>
      </top>
      <bottom style="medium">
        <color indexed="8"/>
      </bottom>
      <diagonal/>
    </border>
    <border>
      <left/>
      <right style="medium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10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10"/>
      </top>
      <bottom style="medium">
        <color indexed="10"/>
      </bottom>
      <diagonal/>
    </border>
    <border>
      <left style="thick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n">
        <color indexed="8"/>
      </top>
      <bottom style="medium">
        <color indexed="10"/>
      </bottom>
      <diagonal/>
    </border>
    <border>
      <left style="thick">
        <color indexed="10"/>
      </left>
      <right style="medium">
        <color indexed="10"/>
      </right>
      <top style="thin">
        <color indexed="8"/>
      </top>
      <bottom style="medium">
        <color indexed="10"/>
      </bottom>
      <diagonal/>
    </border>
    <border>
      <left style="medium">
        <color indexed="10"/>
      </left>
      <right/>
      <top style="thin">
        <color indexed="8"/>
      </top>
      <bottom style="medium">
        <color indexed="10"/>
      </bottom>
      <diagonal/>
    </border>
    <border>
      <left style="thick">
        <color indexed="10"/>
      </left>
      <right style="thick">
        <color indexed="10"/>
      </right>
      <top style="medium">
        <color indexed="10"/>
      </top>
      <bottom style="medium">
        <color indexed="10"/>
      </bottom>
      <diagonal/>
    </border>
    <border>
      <left style="thick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 style="thick">
        <color indexed="10"/>
      </left>
      <right style="thick">
        <color indexed="10"/>
      </right>
      <top style="medium">
        <color indexed="10"/>
      </top>
      <bottom style="medium">
        <color indexed="8"/>
      </bottom>
      <diagonal/>
    </border>
    <border>
      <left style="thick">
        <color indexed="10"/>
      </left>
      <right style="medium">
        <color indexed="10"/>
      </right>
      <top style="medium">
        <color indexed="10"/>
      </top>
      <bottom style="medium">
        <color indexed="8"/>
      </bottom>
      <diagonal/>
    </border>
    <border>
      <left style="medium">
        <color indexed="10"/>
      </left>
      <right/>
      <top style="medium">
        <color indexed="10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7">
    <xf numFmtId="0" fontId="0" fillId="0" borderId="0" xfId="0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2" borderId="5" xfId="0" applyNumberFormat="1" applyFont="1" applyFill="1" applyBorder="1" applyAlignment="1"/>
    <xf numFmtId="164" fontId="0" fillId="2" borderId="6" xfId="0" applyNumberFormat="1" applyFont="1" applyFill="1" applyBorder="1" applyAlignment="1"/>
    <xf numFmtId="49" fontId="0" fillId="3" borderId="9" xfId="0" applyNumberFormat="1" applyFont="1" applyFill="1" applyBorder="1" applyAlignment="1"/>
    <xf numFmtId="49" fontId="2" fillId="2" borderId="10" xfId="0" applyNumberFormat="1" applyFont="1" applyFill="1" applyBorder="1" applyAlignment="1">
      <alignment horizontal="center" vertical="center"/>
    </xf>
    <xf numFmtId="49" fontId="0" fillId="3" borderId="11" xfId="0" applyNumberFormat="1" applyFont="1" applyFill="1" applyBorder="1" applyAlignment="1"/>
    <xf numFmtId="0" fontId="2" fillId="2" borderId="12" xfId="0" applyNumberFormat="1" applyFont="1" applyFill="1" applyBorder="1" applyAlignment="1">
      <alignment horizontal="center" vertical="center"/>
    </xf>
    <xf numFmtId="0" fontId="0" fillId="2" borderId="13" xfId="0" applyNumberFormat="1" applyFont="1" applyFill="1" applyBorder="1" applyAlignment="1"/>
    <xf numFmtId="0" fontId="0" fillId="2" borderId="14" xfId="0" applyNumberFormat="1" applyFont="1" applyFill="1" applyBorder="1" applyAlignment="1"/>
    <xf numFmtId="164" fontId="2" fillId="2" borderId="10" xfId="0" applyNumberFormat="1" applyFont="1" applyFill="1" applyBorder="1" applyAlignment="1">
      <alignment horizontal="center" vertical="center"/>
    </xf>
    <xf numFmtId="49" fontId="0" fillId="3" borderId="15" xfId="0" applyNumberFormat="1" applyFont="1" applyFill="1" applyBorder="1" applyAlignment="1"/>
    <xf numFmtId="49" fontId="2" fillId="2" borderId="16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right"/>
    </xf>
    <xf numFmtId="49" fontId="3" fillId="2" borderId="5" xfId="0" applyNumberFormat="1" applyFont="1" applyFill="1" applyBorder="1" applyAlignment="1"/>
    <xf numFmtId="49" fontId="2" fillId="2" borderId="12" xfId="0" applyNumberFormat="1" applyFont="1" applyFill="1" applyBorder="1" applyAlignment="1">
      <alignment horizontal="center" vertical="center"/>
    </xf>
    <xf numFmtId="0" fontId="0" fillId="0" borderId="17" xfId="0" applyFont="1" applyBorder="1" applyAlignment="1"/>
    <xf numFmtId="0" fontId="0" fillId="0" borderId="7" xfId="0" applyFont="1" applyBorder="1" applyAlignment="1"/>
    <xf numFmtId="0" fontId="0" fillId="2" borderId="18" xfId="0" applyNumberFormat="1" applyFont="1" applyFill="1" applyBorder="1" applyAlignment="1">
      <alignment horizontal="center"/>
    </xf>
    <xf numFmtId="49" fontId="0" fillId="2" borderId="18" xfId="0" applyNumberFormat="1" applyFont="1" applyFill="1" applyBorder="1" applyAlignment="1">
      <alignment horizontal="center"/>
    </xf>
    <xf numFmtId="49" fontId="0" fillId="3" borderId="9" xfId="0" applyNumberFormat="1" applyFont="1" applyFill="1" applyBorder="1" applyAlignment="1">
      <alignment horizontal="left" vertical="center"/>
    </xf>
    <xf numFmtId="49" fontId="0" fillId="3" borderId="19" xfId="0" applyNumberFormat="1" applyFont="1" applyFill="1" applyBorder="1" applyAlignment="1">
      <alignment horizontal="center" vertical="center"/>
    </xf>
    <xf numFmtId="9" fontId="0" fillId="3" borderId="20" xfId="0" applyNumberFormat="1" applyFont="1" applyFill="1" applyBorder="1" applyAlignment="1">
      <alignment horizontal="center" vertical="center"/>
    </xf>
    <xf numFmtId="164" fontId="0" fillId="2" borderId="21" xfId="0" applyNumberFormat="1" applyFont="1" applyFill="1" applyBorder="1" applyAlignment="1">
      <alignment horizontal="center" vertical="center"/>
    </xf>
    <xf numFmtId="49" fontId="0" fillId="3" borderId="15" xfId="0" applyNumberFormat="1" applyFont="1" applyFill="1" applyBorder="1" applyAlignment="1">
      <alignment horizontal="left" vertical="center"/>
    </xf>
    <xf numFmtId="49" fontId="0" fillId="3" borderId="22" xfId="0" applyNumberFormat="1" applyFont="1" applyFill="1" applyBorder="1" applyAlignment="1">
      <alignment horizontal="center" vertical="center"/>
    </xf>
    <xf numFmtId="9" fontId="0" fillId="3" borderId="23" xfId="0" applyNumberFormat="1" applyFont="1" applyFill="1" applyBorder="1" applyAlignment="1">
      <alignment horizontal="center" vertical="center"/>
    </xf>
    <xf numFmtId="164" fontId="0" fillId="2" borderId="24" xfId="0" applyNumberFormat="1" applyFont="1" applyFill="1" applyBorder="1" applyAlignment="1">
      <alignment horizontal="center" vertical="center"/>
    </xf>
    <xf numFmtId="49" fontId="0" fillId="3" borderId="11" xfId="0" applyNumberFormat="1" applyFont="1" applyFill="1" applyBorder="1" applyAlignment="1">
      <alignment horizontal="left" vertical="center"/>
    </xf>
    <xf numFmtId="49" fontId="0" fillId="3" borderId="25" xfId="0" applyNumberFormat="1" applyFont="1" applyFill="1" applyBorder="1" applyAlignment="1">
      <alignment horizontal="center" vertical="center"/>
    </xf>
    <xf numFmtId="9" fontId="0" fillId="3" borderId="26" xfId="0" applyNumberFormat="1" applyFont="1" applyFill="1" applyBorder="1" applyAlignment="1">
      <alignment horizontal="center" vertical="center"/>
    </xf>
    <xf numFmtId="164" fontId="0" fillId="2" borderId="27" xfId="0" applyNumberFormat="1" applyFont="1" applyFill="1" applyBorder="1" applyAlignment="1">
      <alignment horizontal="center" vertical="center"/>
    </xf>
    <xf numFmtId="0" fontId="0" fillId="2" borderId="28" xfId="0" applyNumberFormat="1" applyFont="1" applyFill="1" applyBorder="1" applyAlignment="1">
      <alignment horizontal="center" vertical="center"/>
    </xf>
    <xf numFmtId="0" fontId="0" fillId="0" borderId="28" xfId="0" applyFont="1" applyBorder="1" applyAlignment="1"/>
    <xf numFmtId="164" fontId="5" fillId="2" borderId="5" xfId="0" applyNumberFormat="1" applyFont="1" applyFill="1" applyBorder="1" applyAlignment="1">
      <alignment horizontal="center" vertical="center"/>
    </xf>
    <xf numFmtId="0" fontId="0" fillId="0" borderId="29" xfId="0" applyFont="1" applyBorder="1" applyAlignment="1"/>
    <xf numFmtId="0" fontId="0" fillId="0" borderId="30" xfId="0" applyFont="1" applyBorder="1" applyAlignment="1"/>
    <xf numFmtId="164" fontId="5" fillId="2" borderId="30" xfId="0" applyNumberFormat="1" applyFont="1" applyFill="1" applyBorder="1" applyAlignment="1">
      <alignment horizontal="center" vertical="center"/>
    </xf>
    <xf numFmtId="0" fontId="0" fillId="0" borderId="31" xfId="0" applyFont="1" applyBorder="1" applyAlignment="1"/>
    <xf numFmtId="4" fontId="2" fillId="2" borderId="1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/>
    </xf>
    <xf numFmtId="0" fontId="2" fillId="2" borderId="8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3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3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AEEF3"/>
      <rgbColor rgb="FF0000FF"/>
      <rgbColor rgb="FF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1176121</xdr:colOff>
      <xdr:row>3</xdr:row>
      <xdr:rowOff>42836</xdr:rowOff>
    </xdr:from>
    <xdr:to>
      <xdr:col>5</xdr:col>
      <xdr:colOff>246278</xdr:colOff>
      <xdr:row>9</xdr:row>
      <xdr:rowOff>52413</xdr:rowOff>
    </xdr:to>
    <xdr:pic>
      <xdr:nvPicPr>
        <xdr:cNvPr id="2" name="logo contele gestor de equipes horiz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3721" y="623861"/>
          <a:ext cx="4378758" cy="116845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blog.contelege.com.br/reembolso-por-km-roda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5"/>
  <sheetViews>
    <sheetView showGridLines="0" tabSelected="1" topLeftCell="A13" workbookViewId="0">
      <selection activeCell="C12" sqref="C12"/>
    </sheetView>
  </sheetViews>
  <sheetFormatPr defaultColWidth="8.88671875" defaultRowHeight="14.4" customHeight="1" x14ac:dyDescent="0.3"/>
  <cols>
    <col min="1" max="1" width="9.109375" style="1" customWidth="1"/>
    <col min="2" max="2" width="37.33203125" style="1" customWidth="1"/>
    <col min="3" max="5" width="34.88671875" style="1" customWidth="1"/>
    <col min="6" max="8" width="9.109375" style="1" customWidth="1"/>
    <col min="9" max="13" width="8.88671875" style="1" hidden="1" customWidth="1"/>
    <col min="14" max="14" width="7.109375" style="1" bestFit="1" customWidth="1"/>
    <col min="15" max="256" width="8.88671875" style="1" customWidth="1"/>
  </cols>
  <sheetData>
    <row r="1" spans="1:14" ht="15" customHeight="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5" customHeight="1" x14ac:dyDescent="0.3">
      <c r="A2" s="5"/>
      <c r="B2" s="47" t="s">
        <v>0</v>
      </c>
      <c r="C2" s="48"/>
      <c r="D2" s="48"/>
      <c r="E2" s="48"/>
      <c r="F2" s="6"/>
      <c r="G2" s="6"/>
      <c r="H2" s="6"/>
      <c r="I2" s="6"/>
      <c r="J2" s="6"/>
      <c r="K2" s="6"/>
      <c r="L2" s="6"/>
      <c r="M2" s="6"/>
      <c r="N2" s="7"/>
    </row>
    <row r="3" spans="1:14" ht="15.75" customHeight="1" x14ac:dyDescent="0.3">
      <c r="A3" s="5"/>
      <c r="B3" s="49"/>
      <c r="C3" s="49"/>
      <c r="D3" s="48"/>
      <c r="E3" s="48"/>
      <c r="F3" s="8"/>
      <c r="G3" s="6"/>
      <c r="H3" s="6"/>
      <c r="I3" s="6"/>
      <c r="J3" s="6"/>
      <c r="K3" s="6"/>
      <c r="L3" s="6"/>
      <c r="M3" s="6"/>
      <c r="N3" s="9">
        <f>IF(C10="G","3,76",IF(C10="Gasolina",3.76,IF(C10="Gazolina",3.76,IF(C10="A",2.95,IF(C10="Alcool",2.95,IF(C10="Álcool",2.95,""))))))</f>
        <v>3.76</v>
      </c>
    </row>
    <row r="4" spans="1:14" ht="14.4" customHeight="1" x14ac:dyDescent="0.3">
      <c r="A4" s="5"/>
      <c r="B4" s="50" t="s">
        <v>1</v>
      </c>
      <c r="C4" s="51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ht="15" customHeight="1" x14ac:dyDescent="0.3">
      <c r="A5" s="5"/>
      <c r="B5" s="10" t="s">
        <v>2</v>
      </c>
      <c r="C5" s="11" t="s">
        <v>3</v>
      </c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ht="15.75" customHeight="1" x14ac:dyDescent="0.3">
      <c r="A6" s="5"/>
      <c r="B6" s="12" t="s">
        <v>4</v>
      </c>
      <c r="C6" s="13">
        <v>75000</v>
      </c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ht="15.75" customHeight="1" x14ac:dyDescent="0.3">
      <c r="A7" s="5"/>
      <c r="B7" s="14"/>
      <c r="C7" s="15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ht="14.4" customHeight="1" x14ac:dyDescent="0.3">
      <c r="A8" s="5"/>
      <c r="B8" s="50" t="s">
        <v>5</v>
      </c>
      <c r="C8" s="51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ht="15.75" customHeight="1" x14ac:dyDescent="0.3">
      <c r="A9" s="5"/>
      <c r="B9" s="10" t="s">
        <v>6</v>
      </c>
      <c r="C9" s="16">
        <v>20000</v>
      </c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ht="15" customHeight="1" x14ac:dyDescent="0.3">
      <c r="A10" s="5"/>
      <c r="B10" s="17" t="s">
        <v>7</v>
      </c>
      <c r="C10" s="18" t="s">
        <v>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ht="15.75" customHeight="1" x14ac:dyDescent="0.3">
      <c r="A11" s="5"/>
      <c r="B11" s="17" t="s">
        <v>9</v>
      </c>
      <c r="C11" s="46">
        <v>14.75</v>
      </c>
      <c r="D11" s="20" t="s">
        <v>10</v>
      </c>
      <c r="E11" s="21" t="s">
        <v>11</v>
      </c>
      <c r="F11" s="6"/>
      <c r="G11" s="6"/>
      <c r="H11" s="6"/>
      <c r="I11" s="6"/>
      <c r="J11" s="6"/>
      <c r="K11" s="6"/>
      <c r="L11" s="6"/>
      <c r="M11" s="6"/>
      <c r="N11" s="7"/>
    </row>
    <row r="12" spans="1:14" ht="15" customHeight="1" x14ac:dyDescent="0.3">
      <c r="A12" s="5"/>
      <c r="B12" s="17" t="s">
        <v>12</v>
      </c>
      <c r="C12" s="19">
        <v>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spans="1:14" ht="15" customHeight="1" x14ac:dyDescent="0.3">
      <c r="A13" s="5"/>
      <c r="B13" s="17" t="s">
        <v>13</v>
      </c>
      <c r="C13" s="19">
        <f>IFERROR(IF(C9="","Preencha o Valor do veículo",C9*3.5%),"")</f>
        <v>700.00000000000011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5"/>
      <c r="B14" s="17" t="s">
        <v>14</v>
      </c>
      <c r="C14" s="19">
        <v>105.65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</row>
    <row r="15" spans="1:14" ht="15" customHeight="1" x14ac:dyDescent="0.3">
      <c r="A15" s="5"/>
      <c r="B15" s="17" t="s">
        <v>15</v>
      </c>
      <c r="C15" s="19">
        <v>80.069999999999993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ht="15" customHeight="1" x14ac:dyDescent="0.3">
      <c r="A16" s="5"/>
      <c r="B16" s="17" t="s">
        <v>16</v>
      </c>
      <c r="C16" s="19">
        <v>1500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ht="15" customHeight="1" x14ac:dyDescent="0.3">
      <c r="A17" s="5"/>
      <c r="B17" s="17" t="s">
        <v>17</v>
      </c>
      <c r="C17" s="19">
        <v>300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ht="15" customHeight="1" x14ac:dyDescent="0.3">
      <c r="A18" s="5"/>
      <c r="B18" s="17" t="s">
        <v>18</v>
      </c>
      <c r="C18" s="18" t="s">
        <v>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customHeight="1" x14ac:dyDescent="0.3">
      <c r="A19" s="5"/>
      <c r="B19" s="17" t="s">
        <v>20</v>
      </c>
      <c r="C19" s="19">
        <v>35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ht="15" customHeight="1" x14ac:dyDescent="0.3">
      <c r="A20" s="5"/>
      <c r="B20" s="12" t="s">
        <v>21</v>
      </c>
      <c r="C20" s="22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ht="15" customHeight="1" x14ac:dyDescent="0.3">
      <c r="A21" s="5"/>
      <c r="B21" s="23"/>
      <c r="C21" s="23"/>
      <c r="D21" s="24"/>
      <c r="E21" s="24"/>
      <c r="F21" s="6"/>
      <c r="G21" s="6"/>
      <c r="H21" s="6"/>
      <c r="I21" s="6"/>
      <c r="J21" s="6"/>
      <c r="K21" s="6"/>
      <c r="L21" s="6"/>
      <c r="M21" s="6"/>
      <c r="N21" s="7"/>
    </row>
    <row r="22" spans="1:14" ht="14.4" customHeight="1" x14ac:dyDescent="0.3">
      <c r="A22" s="5"/>
      <c r="B22" s="50" t="s">
        <v>23</v>
      </c>
      <c r="C22" s="51"/>
      <c r="D22" s="51"/>
      <c r="E22" s="51"/>
      <c r="F22" s="6"/>
      <c r="G22" s="6"/>
      <c r="H22" s="6"/>
      <c r="I22" s="6"/>
      <c r="J22" s="6"/>
      <c r="K22" s="6"/>
      <c r="L22" s="6"/>
      <c r="M22" s="6"/>
      <c r="N22" s="7"/>
    </row>
    <row r="23" spans="1:14" ht="14.4" customHeight="1" x14ac:dyDescent="0.3">
      <c r="A23" s="5"/>
      <c r="B23" s="25"/>
      <c r="C23" s="26" t="s">
        <v>24</v>
      </c>
      <c r="D23" s="26" t="s">
        <v>25</v>
      </c>
      <c r="E23" s="26" t="s">
        <v>26</v>
      </c>
      <c r="F23" s="6"/>
      <c r="G23" s="6"/>
      <c r="H23" s="6"/>
      <c r="I23" s="6"/>
      <c r="J23" s="6"/>
      <c r="K23" s="6"/>
      <c r="L23" s="6"/>
      <c r="M23" s="6"/>
      <c r="N23" s="7"/>
    </row>
    <row r="24" spans="1:14" ht="15" customHeight="1" x14ac:dyDescent="0.3">
      <c r="A24" s="5"/>
      <c r="B24" s="27" t="s">
        <v>27</v>
      </c>
      <c r="C24" s="28" t="s">
        <v>28</v>
      </c>
      <c r="D24" s="29">
        <v>1</v>
      </c>
      <c r="E24" s="30">
        <f>IFERROR(IF(C24="Sim",C12/C11*D24,0),"")</f>
        <v>0.40677966101694918</v>
      </c>
      <c r="F24" s="6"/>
      <c r="G24" s="6"/>
      <c r="H24" s="6"/>
      <c r="I24" s="6"/>
      <c r="J24" s="6"/>
      <c r="K24" s="6"/>
      <c r="L24" s="6"/>
      <c r="M24" s="6"/>
      <c r="N24" s="7"/>
    </row>
    <row r="25" spans="1:14" ht="15" customHeight="1" x14ac:dyDescent="0.3">
      <c r="A25" s="5"/>
      <c r="B25" s="31" t="s">
        <v>29</v>
      </c>
      <c r="C25" s="32" t="s">
        <v>28</v>
      </c>
      <c r="D25" s="33">
        <v>0.5</v>
      </c>
      <c r="E25" s="34">
        <f>IFERROR(IF(C25="Sim",SUM($C$13:$C$15)/C6*D25,0),"")</f>
        <v>5.9048E-3</v>
      </c>
      <c r="F25" s="6"/>
      <c r="G25" s="6"/>
      <c r="H25" s="6"/>
      <c r="I25" s="6"/>
      <c r="J25" s="6"/>
      <c r="K25" s="6"/>
      <c r="L25" s="6"/>
      <c r="M25" s="6"/>
      <c r="N25" s="7"/>
    </row>
    <row r="26" spans="1:14" ht="15" customHeight="1" x14ac:dyDescent="0.3">
      <c r="A26" s="5"/>
      <c r="B26" s="31" t="s">
        <v>30</v>
      </c>
      <c r="C26" s="32" t="s">
        <v>28</v>
      </c>
      <c r="D26" s="33">
        <v>0.5</v>
      </c>
      <c r="E26" s="34">
        <f>IFERROR(IF(C26="Sim",C16/C6*D26,0),"")</f>
        <v>0.01</v>
      </c>
      <c r="F26" s="6"/>
      <c r="G26" s="6"/>
      <c r="H26" s="6"/>
      <c r="I26" s="6"/>
      <c r="J26" s="6"/>
      <c r="K26" s="6"/>
      <c r="L26" s="6"/>
      <c r="M26" s="6"/>
      <c r="N26" s="7"/>
    </row>
    <row r="27" spans="1:14" ht="15" customHeight="1" x14ac:dyDescent="0.3">
      <c r="A27" s="5"/>
      <c r="B27" s="31" t="s">
        <v>31</v>
      </c>
      <c r="C27" s="32" t="s">
        <v>28</v>
      </c>
      <c r="D27" s="33">
        <v>1</v>
      </c>
      <c r="E27" s="34">
        <f>IFERROR(IF(C27="Sim",C17*4*D27/C6,0),"")</f>
        <v>1.6E-2</v>
      </c>
      <c r="F27" s="6"/>
      <c r="G27" s="6"/>
      <c r="H27" s="6"/>
      <c r="I27" s="6"/>
      <c r="J27" s="6"/>
      <c r="K27" s="6"/>
      <c r="L27" s="6"/>
      <c r="M27" s="6"/>
      <c r="N27" s="7"/>
    </row>
    <row r="28" spans="1:14" ht="15" customHeight="1" x14ac:dyDescent="0.3">
      <c r="A28" s="5"/>
      <c r="B28" s="31" t="s">
        <v>18</v>
      </c>
      <c r="C28" s="32" t="s">
        <v>28</v>
      </c>
      <c r="D28" s="33">
        <v>1</v>
      </c>
      <c r="E28" s="34">
        <f>IFERROR(IF(C28="Sim",IF(C18="5 anos",C9*0.6,IF(C18="4 anos",C9*0.5,IF(C18="3 anos",C9*0.4)))/(C6*LEFT(C18,1))*D28,0),"")</f>
        <v>3.2000000000000001E-2</v>
      </c>
      <c r="F28" s="6"/>
      <c r="G28" s="6"/>
      <c r="H28" s="6"/>
      <c r="I28" s="6"/>
      <c r="J28" s="6"/>
      <c r="K28" s="6"/>
      <c r="L28" s="6"/>
      <c r="M28" s="6"/>
      <c r="N28" s="7"/>
    </row>
    <row r="29" spans="1:14" ht="15" customHeight="1" x14ac:dyDescent="0.3">
      <c r="A29" s="5"/>
      <c r="B29" s="31" t="s">
        <v>32</v>
      </c>
      <c r="C29" s="32" t="s">
        <v>28</v>
      </c>
      <c r="D29" s="33">
        <v>0.7</v>
      </c>
      <c r="E29" s="34">
        <f>IFERROR(IF(C29="Sim",IF(C20="Semanal",C19*48,IF(C20="Mensal",C19*12,IF(C20="Quinzenal",C19*24)))/C6*D29,0),"")</f>
        <v>1.5679999999999999E-2</v>
      </c>
      <c r="F29" s="6"/>
      <c r="G29" s="6"/>
      <c r="H29" s="6"/>
      <c r="I29" s="6"/>
      <c r="J29" s="6"/>
      <c r="K29" s="6"/>
      <c r="L29" s="6"/>
      <c r="M29" s="6"/>
      <c r="N29" s="7"/>
    </row>
    <row r="30" spans="1:14" ht="15" customHeight="1" x14ac:dyDescent="0.3">
      <c r="A30" s="5"/>
      <c r="B30" s="35" t="s">
        <v>33</v>
      </c>
      <c r="C30" s="36" t="s">
        <v>28</v>
      </c>
      <c r="D30" s="37">
        <v>0.5</v>
      </c>
      <c r="E30" s="38">
        <f>IFERROR(IF(C30="Sim",(C9*0.065/C6)*D30,0),"")</f>
        <v>8.6666666666666663E-3</v>
      </c>
      <c r="F30" s="6"/>
      <c r="G30" s="6"/>
      <c r="H30" s="6"/>
      <c r="I30" s="6"/>
      <c r="J30" s="6"/>
      <c r="K30" s="6"/>
      <c r="L30" s="6"/>
      <c r="M30" s="6"/>
      <c r="N30" s="7"/>
    </row>
    <row r="31" spans="1:14" ht="14.4" customHeight="1" x14ac:dyDescent="0.3">
      <c r="A31" s="5"/>
      <c r="B31" s="39"/>
      <c r="C31" s="40"/>
      <c r="D31" s="40"/>
      <c r="E31" s="40"/>
      <c r="F31" s="6"/>
      <c r="G31" s="6"/>
      <c r="H31" s="6"/>
      <c r="I31" s="6"/>
      <c r="J31" s="6"/>
      <c r="K31" s="6"/>
      <c r="L31" s="6"/>
      <c r="M31" s="6"/>
      <c r="N31" s="7"/>
    </row>
    <row r="32" spans="1:14" ht="14.4" customHeight="1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</row>
    <row r="33" spans="1:14" ht="15" customHeight="1" x14ac:dyDescent="0.3">
      <c r="A33" s="5"/>
      <c r="B33" s="6"/>
      <c r="C33" s="54" t="s">
        <v>34</v>
      </c>
      <c r="D33" s="52">
        <f>SUM(E24:E30)</f>
        <v>0.49503112768361585</v>
      </c>
      <c r="E33" s="41"/>
      <c r="F33" s="6"/>
      <c r="G33" s="6"/>
      <c r="H33" s="6"/>
      <c r="I33" s="6"/>
      <c r="J33" s="6"/>
      <c r="K33" s="6"/>
      <c r="L33" s="6"/>
      <c r="M33" s="6"/>
      <c r="N33" s="7"/>
    </row>
    <row r="34" spans="1:14" ht="15" customHeight="1" x14ac:dyDescent="0.3">
      <c r="A34" s="5"/>
      <c r="B34" s="6"/>
      <c r="C34" s="55"/>
      <c r="D34" s="52"/>
      <c r="E34" s="41"/>
      <c r="F34" s="6"/>
      <c r="G34" s="6"/>
      <c r="H34" s="6"/>
      <c r="I34" s="6"/>
      <c r="J34" s="6"/>
      <c r="K34" s="6"/>
      <c r="L34" s="6"/>
      <c r="M34" s="6"/>
      <c r="N34" s="7"/>
    </row>
    <row r="35" spans="1:14" ht="15" customHeight="1" x14ac:dyDescent="0.3">
      <c r="A35" s="42"/>
      <c r="B35" s="43"/>
      <c r="C35" s="56"/>
      <c r="D35" s="53"/>
      <c r="E35" s="44"/>
      <c r="F35" s="43"/>
      <c r="G35" s="43"/>
      <c r="H35" s="43"/>
      <c r="I35" s="43"/>
      <c r="J35" s="43"/>
      <c r="K35" s="43"/>
      <c r="L35" s="43"/>
      <c r="M35" s="43"/>
      <c r="N35" s="45"/>
    </row>
  </sheetData>
  <mergeCells count="6">
    <mergeCell ref="B2:E3"/>
    <mergeCell ref="B22:E22"/>
    <mergeCell ref="D33:D35"/>
    <mergeCell ref="B8:C8"/>
    <mergeCell ref="B4:C4"/>
    <mergeCell ref="C33:C35"/>
  </mergeCells>
  <hyperlinks>
    <hyperlink ref="E11" r:id="rId1" xr:uid="{00000000-0004-0000-0000-000000000000}"/>
  </hyperlinks>
  <pageMargins left="0.51181100000000002" right="0.51181100000000002" top="0.78740200000000005" bottom="0.78740200000000005" header="0.31496099999999999" footer="0.31496099999999999"/>
  <pageSetup orientation="portrait"/>
  <headerFooter>
    <oddFooter>&amp;C&amp;"Helvetica,Regular"&amp;12&amp;K000000&amp;P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Erison Barros</cp:lastModifiedBy>
  <dcterms:modified xsi:type="dcterms:W3CDTF">2021-09-23T03:54:50Z</dcterms:modified>
</cp:coreProperties>
</file>