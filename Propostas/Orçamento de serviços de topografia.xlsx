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49" documentId="8_{2AE6BE9F-9336-4184-AC99-320545C2A313}" xr6:coauthVersionLast="47" xr6:coauthVersionMax="47" xr10:uidLastSave="{A22EEB1D-1477-4CB0-8EF5-7A4971F093E0}"/>
  <bookViews>
    <workbookView minimized="1" xWindow="3060" yWindow="2436" windowWidth="17280" windowHeight="8880" xr2:uid="{C1F71DC8-D2D4-4742-B772-08976C47396C}"/>
  </bookViews>
  <sheets>
    <sheet name="Composição Preços" sheetId="1" r:id="rId1"/>
    <sheet name="Profissionais" sheetId="2" r:id="rId2"/>
    <sheet name="Equipamentos" sheetId="3" r:id="rId3"/>
    <sheet name="Deslocament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E15" i="1"/>
  <c r="E8" i="1"/>
  <c r="E7" i="1"/>
</calcChain>
</file>

<file path=xl/sharedStrings.xml><?xml version="1.0" encoding="utf-8"?>
<sst xmlns="http://schemas.openxmlformats.org/spreadsheetml/2006/main" count="56" uniqueCount="38">
  <si>
    <t>CUSTOS</t>
  </si>
  <si>
    <t>DETALHAMENTO</t>
  </si>
  <si>
    <t>VALORES</t>
  </si>
  <si>
    <t>CUTOS</t>
  </si>
  <si>
    <t>Administrativo</t>
  </si>
  <si>
    <t>Equipe de Topográfia</t>
  </si>
  <si>
    <t>Deslocamento</t>
  </si>
  <si>
    <t>Outros Custos</t>
  </si>
  <si>
    <t>Custos Administrativos</t>
  </si>
  <si>
    <t>Impostos</t>
  </si>
  <si>
    <t>Topografo</t>
  </si>
  <si>
    <t>Desenhista</t>
  </si>
  <si>
    <t>Ajudante</t>
  </si>
  <si>
    <t>Equipamento</t>
  </si>
  <si>
    <t>Quantidade de viagens</t>
  </si>
  <si>
    <t>Diária de Estção Total</t>
  </si>
  <si>
    <t>Diária de GPS RTK</t>
  </si>
  <si>
    <t>Diária de VANT</t>
  </si>
  <si>
    <t>Segurança</t>
  </si>
  <si>
    <t>Abertura de Picada</t>
  </si>
  <si>
    <t>Outros</t>
  </si>
  <si>
    <t>Valor Fixo</t>
  </si>
  <si>
    <t>hora</t>
  </si>
  <si>
    <t>Diaria</t>
  </si>
  <si>
    <t>Total de Custos (sem Impostos)</t>
  </si>
  <si>
    <t>Total de Custos (com Impostos)</t>
  </si>
  <si>
    <t>Preço para o Orçamento</t>
  </si>
  <si>
    <t>Profissional</t>
  </si>
  <si>
    <t>Valor</t>
  </si>
  <si>
    <t xml:space="preserve">Variavel </t>
  </si>
  <si>
    <t>Topográfo</t>
  </si>
  <si>
    <t>valor por dia</t>
  </si>
  <si>
    <t>valor por hora</t>
  </si>
  <si>
    <t>Valor por dia</t>
  </si>
  <si>
    <t>Preço do Combustível</t>
  </si>
  <si>
    <t>Preço do Pedágio</t>
  </si>
  <si>
    <t>Total</t>
  </si>
  <si>
    <t>Engenheiro 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</si>
</sst>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44" fontId="0" fillId="2" borderId="1" xfId="1" applyFont="1" applyFill="1" applyBorder="1"/>
    <xf numFmtId="0" fontId="0" fillId="3" borderId="1" xfId="0" applyFill="1" applyBorder="1"/>
    <xf numFmtId="44" fontId="0" fillId="3" borderId="1" xfId="1" applyFont="1" applyFill="1" applyBorder="1"/>
    <xf numFmtId="0" fontId="0" fillId="4" borderId="1" xfId="0" applyFill="1" applyBorder="1"/>
    <xf numFmtId="44" fontId="0" fillId="4" borderId="1" xfId="1" applyFont="1" applyFill="1" applyBorder="1"/>
    <xf numFmtId="0" fontId="0" fillId="5" borderId="1" xfId="0" applyFill="1" applyBorder="1"/>
    <xf numFmtId="44" fontId="0" fillId="5" borderId="1" xfId="1" applyFont="1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44" fontId="0" fillId="6" borderId="1" xfId="1" applyFont="1" applyFill="1" applyBorder="1"/>
    <xf numFmtId="0" fontId="0" fillId="6" borderId="0" xfId="0" applyFill="1"/>
    <xf numFmtId="0" fontId="0" fillId="7" borderId="0" xfId="0" applyFill="1"/>
    <xf numFmtId="44" fontId="0" fillId="7" borderId="1" xfId="1" applyFont="1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0" borderId="1" xfId="0" applyFont="1" applyBorder="1"/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9590-0C4E-4F18-9BCE-45D424E1F0FA}">
  <dimension ref="A1:E17"/>
  <sheetViews>
    <sheetView showGridLines="0" tabSelected="1" workbookViewId="0">
      <selection activeCell="E13" sqref="E13"/>
    </sheetView>
  </sheetViews>
  <sheetFormatPr defaultRowHeight="14.4" x14ac:dyDescent="0.3"/>
  <cols>
    <col min="1" max="1" width="18.44140625" bestFit="1" customWidth="1"/>
    <col min="2" max="2" width="25.6640625" customWidth="1"/>
    <col min="3" max="4" width="13.77734375" customWidth="1"/>
    <col min="5" max="5" width="12.77734375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/>
      <c r="E1" s="4" t="s">
        <v>3</v>
      </c>
    </row>
    <row r="2" spans="1:5" x14ac:dyDescent="0.3">
      <c r="A2" s="13" t="s">
        <v>4</v>
      </c>
      <c r="B2" s="13" t="s">
        <v>8</v>
      </c>
      <c r="C2" s="29" t="s">
        <v>21</v>
      </c>
      <c r="D2" s="29" t="s">
        <v>21</v>
      </c>
      <c r="E2" s="14">
        <v>300</v>
      </c>
    </row>
    <row r="3" spans="1:5" x14ac:dyDescent="0.3">
      <c r="A3" s="13"/>
      <c r="B3" s="13" t="s">
        <v>9</v>
      </c>
      <c r="C3" s="29"/>
      <c r="D3" s="29"/>
      <c r="E3" s="13"/>
    </row>
    <row r="4" spans="1:5" x14ac:dyDescent="0.3">
      <c r="A4" s="32" t="s">
        <v>5</v>
      </c>
      <c r="B4" s="11" t="s">
        <v>10</v>
      </c>
      <c r="C4" s="21"/>
      <c r="D4" s="30" t="s">
        <v>22</v>
      </c>
      <c r="E4" s="12">
        <v>40</v>
      </c>
    </row>
    <row r="5" spans="1:5" x14ac:dyDescent="0.3">
      <c r="A5" s="33"/>
      <c r="B5" s="11" t="s">
        <v>11</v>
      </c>
      <c r="C5" s="21"/>
      <c r="D5" s="30"/>
      <c r="E5" s="12">
        <v>20</v>
      </c>
    </row>
    <row r="6" spans="1:5" x14ac:dyDescent="0.3">
      <c r="A6" s="34"/>
      <c r="B6" s="11" t="s">
        <v>12</v>
      </c>
      <c r="C6" s="21"/>
      <c r="D6" s="30"/>
      <c r="E6" s="12">
        <v>10</v>
      </c>
    </row>
    <row r="7" spans="1:5" x14ac:dyDescent="0.3">
      <c r="A7" s="35" t="s">
        <v>13</v>
      </c>
      <c r="B7" s="9" t="s">
        <v>15</v>
      </c>
      <c r="C7" s="22">
        <v>1</v>
      </c>
      <c r="D7" s="31" t="s">
        <v>23</v>
      </c>
      <c r="E7" s="10">
        <f>C7*100</f>
        <v>100</v>
      </c>
    </row>
    <row r="8" spans="1:5" x14ac:dyDescent="0.3">
      <c r="A8" s="36"/>
      <c r="B8" s="9" t="s">
        <v>16</v>
      </c>
      <c r="C8" s="22">
        <v>1</v>
      </c>
      <c r="D8" s="31"/>
      <c r="E8" s="10">
        <f>C8*350</f>
        <v>350</v>
      </c>
    </row>
    <row r="9" spans="1:5" x14ac:dyDescent="0.3">
      <c r="A9" s="37"/>
      <c r="B9" s="9" t="s">
        <v>17</v>
      </c>
      <c r="C9" s="22"/>
      <c r="D9" s="31"/>
      <c r="E9" s="10">
        <v>10</v>
      </c>
    </row>
    <row r="10" spans="1:5" x14ac:dyDescent="0.3">
      <c r="A10" s="6" t="s">
        <v>6</v>
      </c>
      <c r="B10" s="6" t="s">
        <v>14</v>
      </c>
      <c r="C10" s="23"/>
      <c r="D10" s="7" t="s">
        <v>23</v>
      </c>
      <c r="E10" s="8"/>
    </row>
    <row r="11" spans="1:5" x14ac:dyDescent="0.3">
      <c r="A11" s="26" t="s">
        <v>7</v>
      </c>
      <c r="B11" s="15" t="s">
        <v>18</v>
      </c>
      <c r="C11" s="24"/>
      <c r="D11" s="16" t="s">
        <v>23</v>
      </c>
      <c r="E11" s="17">
        <v>100</v>
      </c>
    </row>
    <row r="12" spans="1:5" x14ac:dyDescent="0.3">
      <c r="A12" s="27"/>
      <c r="B12" s="15" t="s">
        <v>19</v>
      </c>
      <c r="C12" s="24"/>
      <c r="D12" s="16" t="s">
        <v>23</v>
      </c>
      <c r="E12" s="17">
        <v>50</v>
      </c>
    </row>
    <row r="13" spans="1:5" x14ac:dyDescent="0.3">
      <c r="A13" s="28"/>
      <c r="B13" s="15" t="s">
        <v>20</v>
      </c>
      <c r="C13" s="24"/>
      <c r="D13" s="15"/>
      <c r="E13" s="17"/>
    </row>
    <row r="14" spans="1:5" x14ac:dyDescent="0.3">
      <c r="E14" s="1"/>
    </row>
    <row r="15" spans="1:5" x14ac:dyDescent="0.3">
      <c r="B15" s="18" t="s">
        <v>24</v>
      </c>
      <c r="E15" s="3">
        <f>SUM(E2:E13)</f>
        <v>980</v>
      </c>
    </row>
    <row r="16" spans="1:5" x14ac:dyDescent="0.3">
      <c r="B16" s="18" t="s">
        <v>25</v>
      </c>
      <c r="E16" s="3"/>
    </row>
    <row r="17" spans="2:5" x14ac:dyDescent="0.3">
      <c r="B17" s="19" t="s">
        <v>26</v>
      </c>
      <c r="E17" s="20"/>
    </row>
  </sheetData>
  <mergeCells count="7">
    <mergeCell ref="A11:A13"/>
    <mergeCell ref="C2:C3"/>
    <mergeCell ref="D2:D3"/>
    <mergeCell ref="D4:D6"/>
    <mergeCell ref="D7:D9"/>
    <mergeCell ref="A4:A6"/>
    <mergeCell ref="A7:A9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B070-68F6-43D0-AD4F-4CD26C698349}">
  <dimension ref="A1:C7"/>
  <sheetViews>
    <sheetView showGridLines="0" workbookViewId="0">
      <selection activeCell="D13" sqref="D13"/>
    </sheetView>
  </sheetViews>
  <sheetFormatPr defaultRowHeight="14.4" x14ac:dyDescent="0.3"/>
  <cols>
    <col min="1" max="1" width="20.88671875" bestFit="1" customWidth="1"/>
    <col min="2" max="2" width="10.33203125" bestFit="1" customWidth="1"/>
    <col min="3" max="3" width="17.88671875" customWidth="1"/>
  </cols>
  <sheetData>
    <row r="1" spans="1:3" x14ac:dyDescent="0.3">
      <c r="A1" s="2" t="s">
        <v>27</v>
      </c>
      <c r="B1" s="2" t="s">
        <v>28</v>
      </c>
      <c r="C1" s="2" t="s">
        <v>29</v>
      </c>
    </row>
    <row r="2" spans="1:3" x14ac:dyDescent="0.3">
      <c r="A2" s="2" t="s">
        <v>37</v>
      </c>
      <c r="B2" s="3">
        <f>(8*1100/30)/8</f>
        <v>36.666666666666664</v>
      </c>
      <c r="C2" s="2" t="s">
        <v>32</v>
      </c>
    </row>
    <row r="3" spans="1:3" x14ac:dyDescent="0.3">
      <c r="A3" s="2" t="s">
        <v>30</v>
      </c>
      <c r="B3" s="3">
        <v>40</v>
      </c>
      <c r="C3" s="2"/>
    </row>
    <row r="4" spans="1:3" x14ac:dyDescent="0.3">
      <c r="A4" s="2" t="s">
        <v>11</v>
      </c>
      <c r="B4" s="3">
        <v>20</v>
      </c>
      <c r="C4" s="2" t="s">
        <v>32</v>
      </c>
    </row>
    <row r="5" spans="1:3" x14ac:dyDescent="0.3">
      <c r="A5" s="2" t="s">
        <v>12</v>
      </c>
      <c r="B5" s="3">
        <v>10</v>
      </c>
      <c r="C5" s="2"/>
    </row>
    <row r="6" spans="1:3" x14ac:dyDescent="0.3">
      <c r="A6" s="2" t="s">
        <v>18</v>
      </c>
      <c r="B6" s="3">
        <v>100</v>
      </c>
      <c r="C6" s="2" t="s">
        <v>31</v>
      </c>
    </row>
    <row r="7" spans="1:3" x14ac:dyDescent="0.3">
      <c r="A7" s="2" t="s">
        <v>19</v>
      </c>
      <c r="B7" s="3">
        <v>50</v>
      </c>
      <c r="C7" s="2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CB62-2AB7-4845-B934-D5E6C9518709}">
  <dimension ref="A1:C4"/>
  <sheetViews>
    <sheetView showGridLines="0" workbookViewId="0">
      <selection activeCell="A7" sqref="A7"/>
    </sheetView>
  </sheetViews>
  <sheetFormatPr defaultRowHeight="14.4" x14ac:dyDescent="0.3"/>
  <cols>
    <col min="1" max="1" width="19" bestFit="1" customWidth="1"/>
    <col min="2" max="2" width="11.109375" customWidth="1"/>
    <col min="3" max="3" width="26.44140625" customWidth="1"/>
  </cols>
  <sheetData>
    <row r="1" spans="1:3" x14ac:dyDescent="0.3">
      <c r="A1" s="25" t="s">
        <v>27</v>
      </c>
      <c r="B1" s="25" t="s">
        <v>28</v>
      </c>
      <c r="C1" s="25" t="s">
        <v>29</v>
      </c>
    </row>
    <row r="2" spans="1:3" x14ac:dyDescent="0.3">
      <c r="A2" s="9" t="s">
        <v>15</v>
      </c>
      <c r="B2" s="3">
        <v>250</v>
      </c>
      <c r="C2" s="38" t="s">
        <v>33</v>
      </c>
    </row>
    <row r="3" spans="1:3" x14ac:dyDescent="0.3">
      <c r="A3" s="9" t="s">
        <v>16</v>
      </c>
      <c r="B3" s="3">
        <v>350</v>
      </c>
      <c r="C3" s="39"/>
    </row>
    <row r="4" spans="1:3" x14ac:dyDescent="0.3">
      <c r="A4" s="9" t="s">
        <v>17</v>
      </c>
      <c r="B4" s="3">
        <v>700</v>
      </c>
      <c r="C4" s="40"/>
    </row>
  </sheetData>
  <mergeCells count="1">
    <mergeCell ref="C2:C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8E52-ADD9-47BB-ABA9-D698C98F214D}">
  <dimension ref="A1:B4"/>
  <sheetViews>
    <sheetView showGridLines="0" workbookViewId="0">
      <selection activeCell="B12" sqref="B12"/>
    </sheetView>
  </sheetViews>
  <sheetFormatPr defaultRowHeight="14.4" x14ac:dyDescent="0.3"/>
  <cols>
    <col min="1" max="1" width="19.88671875" bestFit="1" customWidth="1"/>
    <col min="2" max="2" width="17.21875" customWidth="1"/>
  </cols>
  <sheetData>
    <row r="1" spans="1:2" x14ac:dyDescent="0.3">
      <c r="A1" s="2" t="s">
        <v>6</v>
      </c>
      <c r="B1" s="5" t="s">
        <v>28</v>
      </c>
    </row>
    <row r="2" spans="1:2" x14ac:dyDescent="0.3">
      <c r="A2" s="2" t="s">
        <v>34</v>
      </c>
      <c r="B2" s="2"/>
    </row>
    <row r="3" spans="1:2" x14ac:dyDescent="0.3">
      <c r="A3" s="2" t="s">
        <v>35</v>
      </c>
      <c r="B3" s="2"/>
    </row>
    <row r="4" spans="1:2" x14ac:dyDescent="0.3">
      <c r="A4" s="2" t="s">
        <v>36</v>
      </c>
      <c r="B4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Composição Preços</vt:lpstr>
      <vt:lpstr>Profissionais</vt:lpstr>
      <vt:lpstr>Equipamentos</vt:lpstr>
      <vt:lpstr>Deslocamento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 Barros</dc:creator>
  <cp:lastModifiedBy>Erison Barros</cp:lastModifiedBy>
  <dcterms:created xsi:type="dcterms:W3CDTF">2022-02-05T01:51:42Z</dcterms:created>
  <dcterms:modified xsi:type="dcterms:W3CDTF">2024-07-25T12:06:14Z</dcterms:modified>
</cp:coreProperties>
</file>