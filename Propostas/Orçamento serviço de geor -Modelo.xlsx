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ronal\Desktop\Nova pasta\"/>
    </mc:Choice>
  </mc:AlternateContent>
  <xr:revisionPtr revIDLastSave="0" documentId="13_ncr:1_{6BD8694D-D66B-400A-A463-C8BEDF7A841D}" xr6:coauthVersionLast="41" xr6:coauthVersionMax="45" xr10:uidLastSave="{00000000-0000-0000-0000-000000000000}"/>
  <bookViews>
    <workbookView xWindow="-120" yWindow="-120" windowWidth="20730" windowHeight="11160" tabRatio="896" xr2:uid="{00000000-000D-0000-FFFF-FFFF00000000}"/>
  </bookViews>
  <sheets>
    <sheet name="Planilha Orçamentária" sheetId="29" r:id="rId1"/>
    <sheet name="CPU" sheetId="21" r:id="rId2"/>
    <sheet name="Poligonal" sheetId="35" state="hidden" r:id="rId3"/>
    <sheet name="Molumentação" sheetId="18" state="hidden" r:id="rId4"/>
    <sheet name="BDI" sheetId="30" r:id="rId5"/>
    <sheet name="Enc.Sociais" sheetId="31" r:id="rId6"/>
    <sheet name="Referencias" sheetId="25" state="hidden" r:id="rId7"/>
    <sheet name="Gol 1_0 flex" sheetId="33" state="hidden" r:id="rId8"/>
    <sheet name="Hilux CS 2_5 diesel 4x4 102cv" sheetId="34" state="hidden" r:id="rId9"/>
    <sheet name="Plan1" sheetId="36" r:id="rId10"/>
  </sheets>
  <externalReferences>
    <externalReference r:id="rId11"/>
  </externalReferences>
  <definedNames>
    <definedName name="_xlnm.Print_Area" localSheetId="4">BDI!$B$2:$K$18</definedName>
    <definedName name="_xlnm.Print_Area" localSheetId="1">CPU!$A$1:$G$42</definedName>
    <definedName name="_xlnm.Print_Area" localSheetId="5">Enc.Sociais!$A$1:$D$36</definedName>
    <definedName name="_xlnm.Print_Area" localSheetId="7">'Gol 1_0 flex'!$A$1:$E$51</definedName>
    <definedName name="_xlnm.Print_Area" localSheetId="3">Molumentação!$A$1:$H$198</definedName>
    <definedName name="_xlnm.Print_Area" localSheetId="0">'Planilha Orçamentária'!$A$1:$F$20</definedName>
    <definedName name="_xlnm.Print_Area" localSheetId="2">Poligonal!#REF!</definedName>
    <definedName name="_xlnm.Print_Area" localSheetId="6">Referencias!$A$1:$L$70</definedName>
    <definedName name="Excel_BuiltIn_Print_Area_4">'Gol 1_0 flex'!$C$1:$E$61</definedName>
    <definedName name="_xlnm.Print_Titles" localSheetId="0">'Planilha Orçamentária'!$1:$11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4" i="21" l="1"/>
  <c r="D19" i="21"/>
  <c r="D10" i="21"/>
  <c r="D9" i="21"/>
  <c r="F16" i="29" l="1"/>
  <c r="F17" i="29"/>
  <c r="F25" i="21"/>
  <c r="F30" i="21"/>
  <c r="F29" i="21"/>
  <c r="F24" i="21"/>
  <c r="F9" i="21"/>
  <c r="D12" i="21"/>
  <c r="F12" i="21" s="1"/>
  <c r="F10" i="21"/>
  <c r="E30" i="35"/>
  <c r="F30" i="35"/>
  <c r="C8" i="34"/>
  <c r="C11" i="34"/>
  <c r="C23" i="34"/>
  <c r="C25" i="34"/>
  <c r="G29" i="18"/>
  <c r="H29" i="18"/>
  <c r="H34" i="18"/>
  <c r="G95" i="18"/>
  <c r="H95" i="18"/>
  <c r="H100" i="18"/>
  <c r="G161" i="18"/>
  <c r="H161" i="18"/>
  <c r="H166" i="18"/>
  <c r="E31" i="35"/>
  <c r="F31" i="35"/>
  <c r="E9" i="35"/>
  <c r="F9" i="35"/>
  <c r="E10" i="35"/>
  <c r="F10" i="35"/>
  <c r="E11" i="35"/>
  <c r="F11" i="35"/>
  <c r="E12" i="35"/>
  <c r="F12" i="35"/>
  <c r="E15" i="35"/>
  <c r="F15" i="35"/>
  <c r="E22" i="35"/>
  <c r="F22" i="35"/>
  <c r="E23" i="35"/>
  <c r="F23" i="35"/>
  <c r="E25" i="35"/>
  <c r="F25" i="35"/>
  <c r="E26" i="35"/>
  <c r="F26" i="35"/>
  <c r="F20" i="21"/>
  <c r="E8" i="33"/>
  <c r="E11" i="33"/>
  <c r="E23" i="33"/>
  <c r="E25" i="33"/>
  <c r="E47" i="33"/>
  <c r="C28" i="34"/>
  <c r="C33" i="34"/>
  <c r="C36" i="34"/>
  <c r="C41" i="34"/>
  <c r="C48" i="34"/>
  <c r="E28" i="33"/>
  <c r="E33" i="33"/>
  <c r="E36" i="33"/>
  <c r="E41" i="33"/>
  <c r="C15" i="31"/>
  <c r="C32" i="31"/>
  <c r="D15" i="31"/>
  <c r="D32" i="31"/>
  <c r="C23" i="31"/>
  <c r="D23" i="31"/>
  <c r="C25" i="31"/>
  <c r="C29" i="31"/>
  <c r="D25" i="31"/>
  <c r="D29" i="31"/>
  <c r="C31" i="31"/>
  <c r="C34" i="31" s="1"/>
  <c r="C36" i="31" s="1"/>
  <c r="G9" i="30"/>
  <c r="D11" i="30"/>
  <c r="C22" i="30"/>
  <c r="E12" i="30"/>
  <c r="E13" i="30"/>
  <c r="F13" i="30"/>
  <c r="E14" i="30"/>
  <c r="F14" i="30"/>
  <c r="F16" i="30"/>
  <c r="G16" i="30"/>
  <c r="E17" i="25"/>
  <c r="E14" i="35"/>
  <c r="F14" i="35"/>
  <c r="H38" i="18"/>
  <c r="H39" i="18"/>
  <c r="H49" i="18"/>
  <c r="H62" i="18"/>
  <c r="G104" i="18"/>
  <c r="H104" i="18"/>
  <c r="H115" i="18"/>
  <c r="H128" i="18"/>
  <c r="H157" i="18"/>
  <c r="G170" i="18"/>
  <c r="H170" i="18"/>
  <c r="H181" i="18"/>
  <c r="H194" i="18"/>
  <c r="E20" i="25"/>
  <c r="E19" i="25"/>
  <c r="G77" i="21"/>
  <c r="G80" i="21" s="1"/>
  <c r="G78" i="21"/>
  <c r="G89" i="21"/>
  <c r="G92" i="21"/>
  <c r="G90" i="21"/>
  <c r="G91" i="21"/>
  <c r="G94" i="21"/>
  <c r="G95" i="21"/>
  <c r="G98" i="21"/>
  <c r="G99" i="21"/>
  <c r="G113" i="21"/>
  <c r="G115" i="21"/>
  <c r="G114" i="21"/>
  <c r="G121" i="21"/>
  <c r="G4" i="25"/>
  <c r="I17" i="25"/>
  <c r="H183" i="18"/>
  <c r="H187" i="18"/>
  <c r="H196" i="18"/>
  <c r="F27" i="35"/>
  <c r="C15" i="34"/>
  <c r="C19" i="34"/>
  <c r="C51" i="34" s="1"/>
  <c r="C52" i="34"/>
  <c r="E19" i="33"/>
  <c r="E15" i="33"/>
  <c r="E51" i="33" s="1"/>
  <c r="E50" i="33"/>
  <c r="F32" i="35"/>
  <c r="C59" i="34"/>
  <c r="C55" i="34"/>
  <c r="F16" i="18"/>
  <c r="F82" i="18"/>
  <c r="E58" i="33"/>
  <c r="E54" i="33"/>
  <c r="C56" i="34"/>
  <c r="C60" i="34"/>
  <c r="H197" i="18"/>
  <c r="H198" i="18"/>
  <c r="E55" i="33"/>
  <c r="E59" i="33"/>
  <c r="G16" i="18"/>
  <c r="H16" i="18"/>
  <c r="H25" i="18"/>
  <c r="H51" i="18"/>
  <c r="H55" i="18"/>
  <c r="H64" i="18"/>
  <c r="G82" i="18"/>
  <c r="H82" i="18"/>
  <c r="H91" i="18"/>
  <c r="H117" i="18"/>
  <c r="H121" i="18"/>
  <c r="H130" i="18"/>
  <c r="H131" i="18"/>
  <c r="H132" i="18"/>
  <c r="H65" i="18"/>
  <c r="H66" i="18"/>
  <c r="E11" i="30"/>
  <c r="E18" i="30"/>
  <c r="F12" i="30"/>
  <c r="G11" i="30"/>
  <c r="G18" i="30"/>
  <c r="G20" i="30"/>
  <c r="G96" i="21"/>
  <c r="F19" i="21"/>
  <c r="G101" i="21"/>
  <c r="G102" i="21" s="1"/>
  <c r="F4" i="25"/>
  <c r="F5" i="25"/>
  <c r="H5" i="25" s="1"/>
  <c r="H4" i="25"/>
  <c r="F31" i="21" l="1"/>
  <c r="F21" i="21"/>
  <c r="G103" i="21"/>
  <c r="G109" i="21" s="1"/>
  <c r="G117" i="21" s="1"/>
  <c r="G120" i="21" s="1"/>
  <c r="G122" i="21" s="1"/>
  <c r="F13" i="21"/>
  <c r="F14" i="21" s="1"/>
  <c r="F15" i="21" s="1"/>
  <c r="D31" i="31"/>
  <c r="D34" i="31" s="1"/>
  <c r="D36" i="31" s="1"/>
  <c r="F16" i="35"/>
  <c r="F26" i="21"/>
  <c r="F34" i="21" l="1"/>
  <c r="F36" i="21" s="1"/>
  <c r="F37" i="21" s="1"/>
  <c r="F17" i="35"/>
  <c r="F18" i="35"/>
  <c r="F34" i="35" l="1"/>
  <c r="F36" i="35" s="1"/>
  <c r="F37" i="35"/>
  <c r="F38" i="21"/>
  <c r="F39" i="21" s="1"/>
  <c r="F41" i="21" s="1"/>
  <c r="E13" i="29" s="1"/>
  <c r="F13" i="29" s="1"/>
  <c r="F14" i="29" l="1"/>
  <c r="F38" i="35"/>
  <c r="F39" i="35" s="1"/>
  <c r="F40" i="35" s="1"/>
  <c r="F45" i="35" s="1"/>
  <c r="I12" i="29" l="1"/>
  <c r="F20" i="29"/>
  <c r="G13" i="29" s="1"/>
  <c r="G14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Jaqueline Mendonça Torres</author>
  </authors>
  <commentList>
    <comment ref="G5" authorId="0" shapeId="0" xr:uid="{00000000-0006-0000-0600-000001000000}">
      <text>
        <r>
          <rPr>
            <b/>
            <sz val="8"/>
            <color indexed="81"/>
            <rFont val="Tahoma"/>
          </rPr>
          <t>Produtividade alterada p/ o Pontal.</t>
        </r>
      </text>
    </comment>
  </commentList>
</comments>
</file>

<file path=xl/sharedStrings.xml><?xml version="1.0" encoding="utf-8"?>
<sst xmlns="http://schemas.openxmlformats.org/spreadsheetml/2006/main" count="771" uniqueCount="354">
  <si>
    <t>RAFAEL &amp; CIA.</t>
  </si>
  <si>
    <t>OBJETO: CERTIFICAÇÃO E ATUALIZAÇÃO CADASTRAL POR GEORREFERENCIAMENTO</t>
  </si>
  <si>
    <t>LOCALIZAÇÃO: URUÇUBA, LIMOEIRO - PE</t>
  </si>
  <si>
    <t>DATA: JUNHO/2019</t>
  </si>
  <si>
    <t>PLANILHA ORÇAMENTÁRIA</t>
  </si>
  <si>
    <t>ITEM</t>
  </si>
  <si>
    <t>DESCRIÇÃO</t>
  </si>
  <si>
    <t>UNID.</t>
  </si>
  <si>
    <t>QUANT.</t>
  </si>
  <si>
    <t>PREÇO UNITÁRIO</t>
  </si>
  <si>
    <t>PREÇO TOTAL</t>
  </si>
  <si>
    <t>1.0</t>
  </si>
  <si>
    <t>LEVANTAMENTOS GEODÉSICOS</t>
  </si>
  <si>
    <t>1.1</t>
  </si>
  <si>
    <t>Ponto GPS com receptores de dupla freqüência (L1+L2)</t>
  </si>
  <si>
    <t>unid.</t>
  </si>
  <si>
    <t>Total do item 1.0</t>
  </si>
  <si>
    <t>2.0</t>
  </si>
  <si>
    <t>DESPESAS CARTORIAIS</t>
  </si>
  <si>
    <t>2.1</t>
  </si>
  <si>
    <t>Despachante de cartório</t>
  </si>
  <si>
    <t>Total do item 2.0</t>
  </si>
  <si>
    <t>TOTAL GERAL</t>
  </si>
  <si>
    <t>Serviço: EXECUÇÃO DE GEORREFERENCIAMENTO DE IMÓVEL RURAL - Certificação</t>
  </si>
  <si>
    <t>Unidade: Equipe/dia</t>
  </si>
  <si>
    <t>MÃO DE OBRA</t>
  </si>
  <si>
    <t>COEF.</t>
  </si>
  <si>
    <t>SALÁRIO BASE</t>
  </si>
  <si>
    <t>VALOR R$</t>
  </si>
  <si>
    <t>Campo</t>
  </si>
  <si>
    <t>Topógrafo</t>
  </si>
  <si>
    <t>mês</t>
  </si>
  <si>
    <t>Aux. de topografia</t>
  </si>
  <si>
    <t>1.2</t>
  </si>
  <si>
    <t>Gabinete</t>
  </si>
  <si>
    <t>Cadista/Calculista</t>
  </si>
  <si>
    <t>SUBTOTAL</t>
  </si>
  <si>
    <t>ENCARGOS SOCIAIS 77,25%</t>
  </si>
  <si>
    <t>Total do item 1</t>
  </si>
  <si>
    <t>LOCOMOÇÃO</t>
  </si>
  <si>
    <t>COEF</t>
  </si>
  <si>
    <t>CUSTOS (R$)</t>
  </si>
  <si>
    <t>VALOR (R$)</t>
  </si>
  <si>
    <t>2.2</t>
  </si>
  <si>
    <t>Equipe de campo</t>
  </si>
  <si>
    <t>Veículo (Pick Up)</t>
  </si>
  <si>
    <t>Combustível (Gasolina)</t>
  </si>
  <si>
    <t>L</t>
  </si>
  <si>
    <t>Total do item 2</t>
  </si>
  <si>
    <t>EQUIPAMENTOS E MATERIAIS</t>
  </si>
  <si>
    <t>Marcos de concreto</t>
  </si>
  <si>
    <t>um</t>
  </si>
  <si>
    <t>Total do item 3</t>
  </si>
  <si>
    <t>ESTADIA</t>
  </si>
  <si>
    <t>DIÁRIA</t>
  </si>
  <si>
    <t>UND</t>
  </si>
  <si>
    <t>ALIMENTAÇÃO</t>
  </si>
  <si>
    <t>Total do item 4</t>
  </si>
  <si>
    <t>Total dos item 1,2,3,4</t>
  </si>
  <si>
    <t>DESPESAS GERAIS E MATERIAL DE CONSUMO 5%</t>
  </si>
  <si>
    <t>Total dos item 1,2,3,4,5</t>
  </si>
  <si>
    <t>BDI 30%</t>
  </si>
  <si>
    <t>PREÇO MENSAL DA EQUIPE = 1+2+3+4+5</t>
  </si>
  <si>
    <t>Produtividade diária / ponto</t>
  </si>
  <si>
    <t>EQUIPE A</t>
  </si>
  <si>
    <t>Serviço: POLIGONAL IIP</t>
  </si>
  <si>
    <t>Coordenador/campo</t>
  </si>
  <si>
    <t>Servente</t>
  </si>
  <si>
    <t>Coordenador/Esc</t>
  </si>
  <si>
    <t>Coordenador de campo</t>
  </si>
  <si>
    <t>Veículo (Gol)</t>
  </si>
  <si>
    <t>Combustível (Km/L x Km/dia)</t>
  </si>
  <si>
    <t>EQUIPAMENTOS</t>
  </si>
  <si>
    <t>Estação total classe 3</t>
  </si>
  <si>
    <t>Micro/Soft/Rádio</t>
  </si>
  <si>
    <t>Total dos item 1,2,3</t>
  </si>
  <si>
    <t>DESPESAS GERAIS E MATERIAL DE CONSUMO 10%</t>
  </si>
  <si>
    <t>BDI 20%</t>
  </si>
  <si>
    <t>PREÇO UNITÁRIO POR DIA (20 DIAS/MÊS)</t>
  </si>
  <si>
    <t>Locação de divisas Poligonal classe IIP</t>
  </si>
  <si>
    <t>PRODUTIVIDADE</t>
  </si>
  <si>
    <t>Km/dia</t>
  </si>
  <si>
    <t>COMPOSIÇÃO DE PREÇOS UNITÁRIOS</t>
  </si>
  <si>
    <t>CÓDIGO:</t>
  </si>
  <si>
    <t>SERVIÇO:</t>
  </si>
  <si>
    <t>MARCOS DE CONCRETO p/ Levant. GPS (8 x 12 x 60 cm)</t>
  </si>
  <si>
    <t xml:space="preserve">UN </t>
  </si>
  <si>
    <t>EQUIPAMENTO</t>
  </si>
  <si>
    <t>MOD.</t>
  </si>
  <si>
    <t>UTILIZAÇÃO</t>
  </si>
  <si>
    <t>CUSTO HORÁRIO</t>
  </si>
  <si>
    <t>PARCIAL</t>
  </si>
  <si>
    <t>PROD.</t>
  </si>
  <si>
    <t>IMPROD.</t>
  </si>
  <si>
    <t>Veículo</t>
  </si>
  <si>
    <t>Pick-up</t>
  </si>
  <si>
    <t xml:space="preserve"> </t>
  </si>
  <si>
    <t>(A)</t>
  </si>
  <si>
    <t>MÃO DE OBRA SUPLEMENTAR</t>
  </si>
  <si>
    <t>SALÁRIO</t>
  </si>
  <si>
    <t>HORA</t>
  </si>
  <si>
    <t>(B)</t>
  </si>
  <si>
    <t>MATERIAIS</t>
  </si>
  <si>
    <t>CUSTO</t>
  </si>
  <si>
    <t>UNITÁRIO</t>
  </si>
  <si>
    <t>Marco de Concreto</t>
  </si>
  <si>
    <t>Chapa identificadora</t>
  </si>
  <si>
    <t>(C)</t>
  </si>
  <si>
    <t xml:space="preserve">            (A)+(B)+(C) = (D)</t>
  </si>
  <si>
    <t>PRODUÇÃO DA EQUIPE</t>
  </si>
  <si>
    <t>(E)</t>
  </si>
  <si>
    <t xml:space="preserve">          CUSTO UNITÁRIO</t>
  </si>
  <si>
    <t xml:space="preserve">          SEM TRANSPORTE (D)/(E) = (F)</t>
  </si>
  <si>
    <t>TRANSPORTE</t>
  </si>
  <si>
    <t>DMT</t>
  </si>
  <si>
    <t>(G)</t>
  </si>
  <si>
    <t>CUSTO DIRETO</t>
  </si>
  <si>
    <t>(F)+(G)</t>
  </si>
  <si>
    <t>BDI</t>
  </si>
  <si>
    <t>BARROTES DE MADEIRA (5 x 5 x 50 cm)</t>
  </si>
  <si>
    <t>Barrote de madeira (8 x 12 x 60 cm)</t>
  </si>
  <si>
    <t>Sinapi BA/09 (3997) x 0,00125</t>
  </si>
  <si>
    <t>PIQUETES (2 x 2 x 40 cm)</t>
  </si>
  <si>
    <t>Piquete (2 x 2 x 40 cm)</t>
  </si>
  <si>
    <t xml:space="preserve">DETALHAMENTO DO BDI - ESTUDOS BÁSICOS </t>
  </si>
  <si>
    <t>(TOPOGRAFIA, GEOTECNIA, PEDOLOGIA,  AEROFOTOGRAMETRIA)</t>
  </si>
  <si>
    <t>CD:</t>
  </si>
  <si>
    <t>Item</t>
  </si>
  <si>
    <t>Descrição dos Serviços</t>
  </si>
  <si>
    <t>%</t>
  </si>
  <si>
    <t>Valor</t>
  </si>
  <si>
    <t>PV</t>
  </si>
  <si>
    <t>CD</t>
  </si>
  <si>
    <t>(R$)</t>
  </si>
  <si>
    <t>ADMINISTRAÇÃO CENTRAL</t>
  </si>
  <si>
    <t>a =</t>
  </si>
  <si>
    <t>IMPOSTOS E TAXAS</t>
  </si>
  <si>
    <t>i =</t>
  </si>
  <si>
    <t>3.1</t>
  </si>
  <si>
    <t>ISS</t>
  </si>
  <si>
    <t>3.2</t>
  </si>
  <si>
    <t>PIS</t>
  </si>
  <si>
    <t>3.3</t>
  </si>
  <si>
    <t>Cofins</t>
  </si>
  <si>
    <t>LUCRO</t>
  </si>
  <si>
    <t>l =</t>
  </si>
  <si>
    <t>BDI (%)</t>
  </si>
  <si>
    <t>BDI = ((1+a)/(1-(i+l))-1)*100</t>
  </si>
  <si>
    <t xml:space="preserve">PV = </t>
  </si>
  <si>
    <t>BDI =</t>
  </si>
  <si>
    <t>calculado</t>
  </si>
  <si>
    <t>adotado</t>
  </si>
  <si>
    <t xml:space="preserve">   </t>
  </si>
  <si>
    <t>ENCARGOS SOCIAIS (%)</t>
  </si>
  <si>
    <t>Taxas de leis sociais e riscos do trabalho (%)</t>
  </si>
  <si>
    <t>HORISTA</t>
  </si>
  <si>
    <t>MENSALISTA</t>
  </si>
  <si>
    <t>A1</t>
  </si>
  <si>
    <t>Previdência Social</t>
  </si>
  <si>
    <t>A2</t>
  </si>
  <si>
    <t>Fundo de Garantia por Tempo de Serviço</t>
  </si>
  <si>
    <t>A3</t>
  </si>
  <si>
    <t>Salário Educação</t>
  </si>
  <si>
    <t>A4</t>
  </si>
  <si>
    <t>Serviço Social da Indústira (Sesi)</t>
  </si>
  <si>
    <t>A5</t>
  </si>
  <si>
    <t>Serviço Nacional de Aprendizagem Industrial (Senai)</t>
  </si>
  <si>
    <t>A6</t>
  </si>
  <si>
    <t>Serviço de Apoio a Pequena e Média Empresa (Sebrae)</t>
  </si>
  <si>
    <t>A7</t>
  </si>
  <si>
    <t>Instituto Nacional de Colonização e Reforma Agrária (Incra)</t>
  </si>
  <si>
    <t>A8</t>
  </si>
  <si>
    <t>Seguro contra os acidentes de trabalho (INSS)</t>
  </si>
  <si>
    <t>A9</t>
  </si>
  <si>
    <t>Seconci (Serviço Social da Indústria da Construção e do Mobiliário)</t>
  </si>
  <si>
    <t>A</t>
  </si>
  <si>
    <t>Total dos Encargos Sociais</t>
  </si>
  <si>
    <t>B1</t>
  </si>
  <si>
    <t>Repouso Semanal e feriados</t>
  </si>
  <si>
    <t>-</t>
  </si>
  <si>
    <t>B2</t>
  </si>
  <si>
    <t>Auxílio-enfermidade</t>
  </si>
  <si>
    <t>B3</t>
  </si>
  <si>
    <t>Licença-paternidade</t>
  </si>
  <si>
    <t>B4</t>
  </si>
  <si>
    <t>13° salário</t>
  </si>
  <si>
    <t>B5</t>
  </si>
  <si>
    <t>Dias de chuva / faltas justificadas na obra / outras dificuldades</t>
  </si>
  <si>
    <t>B</t>
  </si>
  <si>
    <t>Total dos Encargos Sociais que recebem as incidências de A</t>
  </si>
  <si>
    <t>C1</t>
  </si>
  <si>
    <t>Depósito por despedida injusta: 50% sobre (A2 + (A2 x B))</t>
  </si>
  <si>
    <t>C2</t>
  </si>
  <si>
    <t>Férias (indenizadas)</t>
  </si>
  <si>
    <t>C3</t>
  </si>
  <si>
    <t>Aviso-prévio (indenizado) – decreto 6.727/2009</t>
  </si>
  <si>
    <t>C</t>
  </si>
  <si>
    <t>Total dos Encargos Sociais que não recebem as incidências de A</t>
  </si>
  <si>
    <t>D1</t>
  </si>
  <si>
    <t>Reincidência de A sobre B</t>
  </si>
  <si>
    <t>D2</t>
  </si>
  <si>
    <t>Reincidência de A (exceto Seconci) sobre C3</t>
  </si>
  <si>
    <t>D</t>
  </si>
  <si>
    <t>Total da Reincidências</t>
  </si>
  <si>
    <t>T O T A L</t>
  </si>
  <si>
    <t>TABELA DE PREÇOS UNITÁRIOS DE REFERÊNCIA TOPOGRAFIA</t>
  </si>
  <si>
    <t>SERVIÇOS</t>
  </si>
  <si>
    <t>Unid.</t>
  </si>
  <si>
    <t>EQUIPE</t>
  </si>
  <si>
    <t>PREÇO
 EQUIPE / DIA (R$)</t>
  </si>
  <si>
    <t>PRODUTIVIDADE / 
DIA</t>
  </si>
  <si>
    <t>PREÇO 
UNIT. (R$)</t>
  </si>
  <si>
    <t>REVISTA</t>
  </si>
  <si>
    <t>Pontos GPS, com receptores de dupla frequencia (L1/L2)</t>
  </si>
  <si>
    <t>Pontos GPS, com receptores de uma frequencia (L1)</t>
  </si>
  <si>
    <t>DATA-BASE: MAR/2009</t>
  </si>
  <si>
    <t>TABELA DE INSUMOS</t>
  </si>
  <si>
    <t xml:space="preserve">Discriminação </t>
  </si>
  <si>
    <t xml:space="preserve">Un </t>
  </si>
  <si>
    <t xml:space="preserve">Custo </t>
  </si>
  <si>
    <t>Mão de Obra</t>
  </si>
  <si>
    <t>P3</t>
  </si>
  <si>
    <t>atualizado out/09</t>
  </si>
  <si>
    <t>IC</t>
  </si>
  <si>
    <t>COLUNA 39</t>
  </si>
  <si>
    <t>Aux. Topografia</t>
  </si>
  <si>
    <t>SERVENTE + 25%</t>
  </si>
  <si>
    <t>Io (junho/05)</t>
  </si>
  <si>
    <t>T4</t>
  </si>
  <si>
    <t>I1 (maio/07)</t>
  </si>
  <si>
    <t>TOPOGRÁFO + 10%</t>
  </si>
  <si>
    <t>I</t>
  </si>
  <si>
    <t>Cadista/calculista</t>
  </si>
  <si>
    <t>IC (encarreg. de forma)</t>
  </si>
  <si>
    <t>Encarregado</t>
  </si>
  <si>
    <t>TOPOGRÁFO + 40%</t>
  </si>
  <si>
    <t>Técnico Detectorista</t>
  </si>
  <si>
    <t>(*) = TOPOGRÁFO</t>
  </si>
  <si>
    <t>Ajudante</t>
  </si>
  <si>
    <t>Barqueiro</t>
  </si>
  <si>
    <t>T3</t>
  </si>
  <si>
    <t>Operador ecobatimetro</t>
  </si>
  <si>
    <t>T1</t>
  </si>
  <si>
    <t xml:space="preserve">Equipamentos/Insumos </t>
  </si>
  <si>
    <t>s/ combust</t>
  </si>
  <si>
    <t>Combustivel  Gasolina</t>
  </si>
  <si>
    <t>l</t>
  </si>
  <si>
    <t>Combustivel  Diesel</t>
  </si>
  <si>
    <t>Equipamentos - de topografia</t>
  </si>
  <si>
    <t>Precisão</t>
  </si>
  <si>
    <t>Estação Total - Classe 1</t>
  </si>
  <si>
    <t>7"</t>
  </si>
  <si>
    <t>atualizado nov/09</t>
  </si>
  <si>
    <t>Teo</t>
  </si>
  <si>
    <t>Estação Total - Classe 2</t>
  </si>
  <si>
    <t>5"</t>
  </si>
  <si>
    <t>Estação Total - Classe 3</t>
  </si>
  <si>
    <t>3"</t>
  </si>
  <si>
    <t>Estimado à partir do preço de venda em comparação com o valor da locação  da estação de 7"</t>
  </si>
  <si>
    <t>Teodolito Classe  1</t>
  </si>
  <si>
    <t>1"</t>
  </si>
  <si>
    <t>Teodolito Classe  2</t>
  </si>
  <si>
    <t>6"</t>
  </si>
  <si>
    <t>Teodolito Classe 3</t>
  </si>
  <si>
    <t>60"</t>
  </si>
  <si>
    <t>Miras Invar</t>
  </si>
  <si>
    <t xml:space="preserve">Nivel Classe 2 </t>
  </si>
  <si>
    <t>2,5mm/km</t>
  </si>
  <si>
    <t>Nivel Classe 3 NA2</t>
  </si>
  <si>
    <t>2mm/km</t>
  </si>
  <si>
    <t>Nivel Classe 4 N3</t>
  </si>
  <si>
    <t>0,2mm/km</t>
  </si>
  <si>
    <t>GPS (Geodesico L1+L2)</t>
  </si>
  <si>
    <t xml:space="preserve">Micro/Soft/Radio </t>
  </si>
  <si>
    <t>Micro/Soft</t>
  </si>
  <si>
    <t>Distanciômetro eletrônico classe 3</t>
  </si>
  <si>
    <t>2000m</t>
  </si>
  <si>
    <t>Detector de metais</t>
  </si>
  <si>
    <t>Detector eletromagnético</t>
  </si>
  <si>
    <t>Equipamento de ecobatimetria</t>
  </si>
  <si>
    <t>(Ecobatímetro/software/rádio base/receptor GPS/coletor de dados/acessórios)</t>
  </si>
  <si>
    <t xml:space="preserve">Barco </t>
  </si>
  <si>
    <t>Classe IP - adensamento da rede geodésica (transporte de coordenadas).</t>
  </si>
  <si>
    <t>Classe IIP - apoio topográfico para projeto básico,executivo, as built e obras de engenharia.</t>
  </si>
  <si>
    <t xml:space="preserve">Classe IIIP - adensamento de apoio topográfico para projeto básico, executivo, as built e obras de </t>
  </si>
  <si>
    <t>engenharia.</t>
  </si>
  <si>
    <t xml:space="preserve">Classe IVP - adensamento de apoio topográfico para poligonais IIIP. Levantamentos topográficos </t>
  </si>
  <si>
    <t>para estudos de viabilidade em projetos de engenharia.</t>
  </si>
  <si>
    <t xml:space="preserve">Classe VP - levantamentos topográficos para estudos expeditos. </t>
  </si>
  <si>
    <t>PA - planialtimétrico topográficos.</t>
  </si>
  <si>
    <t>PAC - planialtimétrico cadastral.</t>
  </si>
  <si>
    <t>P - planimétrico poligonais.</t>
  </si>
  <si>
    <t>IN - nivelamento.</t>
  </si>
  <si>
    <t>Novo Gol G5 1.0 flex (72 CV)</t>
  </si>
  <si>
    <t>Depreciação mensal do equipamento</t>
  </si>
  <si>
    <t xml:space="preserve">Preço de Aquisição </t>
  </si>
  <si>
    <t>Tempo previsto de vida útil (meses)</t>
  </si>
  <si>
    <t>Previsão de recup. Na venda do bem usado</t>
  </si>
  <si>
    <t>Custo mensal [A1-(A3xA1)]/A2</t>
  </si>
  <si>
    <t>Juros pelo Capital empregado</t>
  </si>
  <si>
    <t xml:space="preserve">Taxa mensal de Juros </t>
  </si>
  <si>
    <t>Juros s/depreciação/aluguel (B1xA4)</t>
  </si>
  <si>
    <t xml:space="preserve">Conservação e manutenção </t>
  </si>
  <si>
    <t>Taxa de gastos s/a deprec. Inc. seguros (%)</t>
  </si>
  <si>
    <t>Incidência mensal (C1xA4)</t>
  </si>
  <si>
    <t>Combustível</t>
  </si>
  <si>
    <t>Média mensal de quilômetro por veículo</t>
  </si>
  <si>
    <t>Preço do litro de combustível</t>
  </si>
  <si>
    <t>D3</t>
  </si>
  <si>
    <t>Quilômetros rodados com um litro combustivel</t>
  </si>
  <si>
    <t>D4</t>
  </si>
  <si>
    <t>Combustivel    (D1/D3)*D2</t>
  </si>
  <si>
    <t>E</t>
  </si>
  <si>
    <t>Lubrificantes</t>
  </si>
  <si>
    <t>E1</t>
  </si>
  <si>
    <t xml:space="preserve">Quilometragem do Contrato </t>
  </si>
  <si>
    <t>E2</t>
  </si>
  <si>
    <t>Franquia por troca de óleo (km)</t>
  </si>
  <si>
    <t>E3</t>
  </si>
  <si>
    <t>Preço do litro de óleo</t>
  </si>
  <si>
    <t>E4</t>
  </si>
  <si>
    <t>Quantidade de litros de óleo por troca</t>
  </si>
  <si>
    <t>E5</t>
  </si>
  <si>
    <t>Quantidade de dias do Contrato</t>
  </si>
  <si>
    <t>E6</t>
  </si>
  <si>
    <t>Lubrificantes  E = (E1*E3*E4*30)/E2*E5</t>
  </si>
  <si>
    <t>F</t>
  </si>
  <si>
    <t>Pneus</t>
  </si>
  <si>
    <t>F1</t>
  </si>
  <si>
    <t>F2</t>
  </si>
  <si>
    <t>Vida do Pneu em quilômetros</t>
  </si>
  <si>
    <t>F3</t>
  </si>
  <si>
    <t>Quantidade de pneus</t>
  </si>
  <si>
    <t>F4</t>
  </si>
  <si>
    <t>Preço do Pneu</t>
  </si>
  <si>
    <t>F5</t>
  </si>
  <si>
    <t xml:space="preserve">Quantidade de dias do contrato </t>
  </si>
  <si>
    <t>F6</t>
  </si>
  <si>
    <t>Pneus = (F1*F3*F4*30)/(F2*F5)</t>
  </si>
  <si>
    <t>G</t>
  </si>
  <si>
    <t>Motorista</t>
  </si>
  <si>
    <t>G1</t>
  </si>
  <si>
    <t>Salário com encargos sociais</t>
  </si>
  <si>
    <t>H</t>
  </si>
  <si>
    <t>Custo Mensal</t>
  </si>
  <si>
    <t>Sem Motorista</t>
  </si>
  <si>
    <t>Com Motorista</t>
  </si>
  <si>
    <t>Custo Direto p/ km Rodado</t>
  </si>
  <si>
    <t>J</t>
  </si>
  <si>
    <t xml:space="preserve">Preço cobrado pela empresa </t>
  </si>
  <si>
    <t>J1</t>
  </si>
  <si>
    <t>J2</t>
  </si>
  <si>
    <t>Hilux CS 2.5 diesel 4x4 102cv</t>
  </si>
  <si>
    <t>RTK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</si>
</sst>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(&quot;R$&quot;* #,##0.00_);_(&quot;R$&quot;* \(#,##0.00\);_(&quot;R$&quot;* &quot;-&quot;??_);_(@_)"/>
    <numFmt numFmtId="167" formatCode="#,##0.000"/>
    <numFmt numFmtId="168" formatCode="_(* #,##0.000_);_(* \(#,##0.000\);_(* &quot;-&quot;??_);_(@_)"/>
    <numFmt numFmtId="169" formatCode="0.0000"/>
    <numFmt numFmtId="170" formatCode="&quot;R$ &quot;#,##0.00"/>
    <numFmt numFmtId="171" formatCode="_(* #,##0.00_);_(* \(#,##0.00\);_(* \-??_);_(@_)"/>
    <numFmt numFmtId="172" formatCode="_(* #,##0.00000_);_(* \(#,##0.00000\);_(* \-?????_);_(@_)"/>
    <numFmt numFmtId="173" formatCode="_(* #,##0.00000_);_(* \(#,##0.00000\);_(* \-??_);_(@_)"/>
    <numFmt numFmtId="174" formatCode="_(* #,##0.0000_);_(* \(#,##0.0000\);_(* \-??_);_(@_)"/>
  </numFmts>
  <fonts count="20">
    <font>
      <sz val="10"/>
      <name val="Arial"/>
    </font>
    <font>
      <sz val="10"/>
      <name val="Arial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8"/>
      <color indexed="81"/>
      <name val="Tahoma"/>
    </font>
    <font>
      <sz val="9"/>
      <name val="Arial"/>
      <family val="2"/>
    </font>
    <font>
      <sz val="10"/>
      <color indexed="10"/>
      <name val="Arial"/>
    </font>
    <font>
      <sz val="8"/>
      <name val="Arial"/>
    </font>
    <font>
      <sz val="10"/>
      <name val="MS Sans Serif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1"/>
      <name val="Palatino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</fills>
  <borders count="7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3">
    <xf numFmtId="0" fontId="0" fillId="0" borderId="0"/>
    <xf numFmtId="166" fontId="1" fillId="0" borderId="0" applyFont="0" applyFill="0" applyBorder="0" applyAlignment="0" applyProtection="0"/>
    <xf numFmtId="0" fontId="3" fillId="0" borderId="0"/>
    <xf numFmtId="0" fontId="1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3" fillId="0" borderId="0" applyFill="0" applyBorder="0" applyAlignment="0" applyProtection="0"/>
    <xf numFmtId="0" fontId="14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71">
    <xf numFmtId="0" fontId="0" fillId="0" borderId="0" xfId="0"/>
    <xf numFmtId="0" fontId="0" fillId="0" borderId="2" xfId="0" applyBorder="1"/>
    <xf numFmtId="0" fontId="3" fillId="0" borderId="0" xfId="0" applyFont="1" applyBorder="1" applyAlignment="1">
      <alignment horizontal="centerContinuous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4" fillId="0" borderId="3" xfId="0" applyFont="1" applyBorder="1"/>
    <xf numFmtId="164" fontId="4" fillId="0" borderId="3" xfId="12" applyFont="1" applyBorder="1"/>
    <xf numFmtId="4" fontId="4" fillId="0" borderId="4" xfId="0" applyNumberFormat="1" applyFont="1" applyBorder="1"/>
    <xf numFmtId="0" fontId="4" fillId="0" borderId="0" xfId="0" applyFont="1" applyBorder="1"/>
    <xf numFmtId="0" fontId="4" fillId="0" borderId="0" xfId="0" applyFont="1"/>
    <xf numFmtId="0" fontId="4" fillId="0" borderId="0" xfId="0" applyFont="1" applyBorder="1" applyAlignment="1">
      <alignment horizontal="right"/>
    </xf>
    <xf numFmtId="168" fontId="0" fillId="0" borderId="0" xfId="12" applyNumberFormat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3" fillId="0" borderId="9" xfId="0" applyFont="1" applyBorder="1" applyAlignment="1">
      <alignment horizontal="centerContinuous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4" fillId="0" borderId="5" xfId="0" applyFont="1" applyBorder="1"/>
    <xf numFmtId="0" fontId="4" fillId="0" borderId="13" xfId="0" applyFont="1" applyBorder="1"/>
    <xf numFmtId="0" fontId="4" fillId="0" borderId="6" xfId="0" applyFont="1" applyBorder="1"/>
    <xf numFmtId="0" fontId="4" fillId="0" borderId="8" xfId="0" applyFont="1" applyBorder="1"/>
    <xf numFmtId="0" fontId="3" fillId="0" borderId="14" xfId="0" applyFont="1" applyBorder="1"/>
    <xf numFmtId="4" fontId="3" fillId="0" borderId="14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4" fillId="0" borderId="16" xfId="0" applyNumberFormat="1" applyFont="1" applyBorder="1"/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3" fillId="0" borderId="18" xfId="0" applyFont="1" applyBorder="1"/>
    <xf numFmtId="0" fontId="3" fillId="0" borderId="17" xfId="0" applyFont="1" applyBorder="1"/>
    <xf numFmtId="164" fontId="4" fillId="0" borderId="17" xfId="12" applyFont="1" applyBorder="1"/>
    <xf numFmtId="164" fontId="3" fillId="0" borderId="17" xfId="12" applyFont="1" applyBorder="1"/>
    <xf numFmtId="4" fontId="3" fillId="0" borderId="17" xfId="0" applyNumberFormat="1" applyFont="1" applyBorder="1"/>
    <xf numFmtId="4" fontId="3" fillId="0" borderId="18" xfId="0" applyNumberFormat="1" applyFont="1" applyBorder="1"/>
    <xf numFmtId="0" fontId="3" fillId="0" borderId="5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3" fillId="0" borderId="12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Continuous"/>
    </xf>
    <xf numFmtId="0" fontId="3" fillId="0" borderId="16" xfId="0" applyFont="1" applyBorder="1"/>
    <xf numFmtId="164" fontId="4" fillId="0" borderId="0" xfId="12" applyFont="1" applyBorder="1"/>
    <xf numFmtId="164" fontId="3" fillId="0" borderId="0" xfId="12" applyFont="1" applyBorder="1"/>
    <xf numFmtId="4" fontId="3" fillId="0" borderId="0" xfId="0" applyNumberFormat="1" applyFont="1" applyBorder="1"/>
    <xf numFmtId="4" fontId="3" fillId="0" borderId="11" xfId="0" applyNumberFormat="1" applyFont="1" applyBorder="1"/>
    <xf numFmtId="164" fontId="4" fillId="0" borderId="16" xfId="12" applyFont="1" applyBorder="1"/>
    <xf numFmtId="4" fontId="3" fillId="0" borderId="10" xfId="0" applyNumberFormat="1" applyFont="1" applyBorder="1"/>
    <xf numFmtId="164" fontId="4" fillId="0" borderId="5" xfId="12" applyFont="1" applyBorder="1"/>
    <xf numFmtId="164" fontId="4" fillId="0" borderId="8" xfId="12" applyFont="1" applyBorder="1"/>
    <xf numFmtId="164" fontId="3" fillId="0" borderId="8" xfId="12" applyFont="1" applyBorder="1"/>
    <xf numFmtId="4" fontId="3" fillId="0" borderId="8" xfId="0" applyNumberFormat="1" applyFont="1" applyBorder="1"/>
    <xf numFmtId="0" fontId="5" fillId="0" borderId="8" xfId="0" applyFont="1" applyBorder="1" applyAlignment="1">
      <alignment horizontal="centerContinuous"/>
    </xf>
    <xf numFmtId="0" fontId="6" fillId="0" borderId="0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9" xfId="0" applyFont="1" applyBorder="1"/>
    <xf numFmtId="4" fontId="4" fillId="0" borderId="14" xfId="0" applyNumberFormat="1" applyFont="1" applyBorder="1"/>
    <xf numFmtId="164" fontId="4" fillId="0" borderId="11" xfId="12" applyFont="1" applyBorder="1"/>
    <xf numFmtId="0" fontId="4" fillId="0" borderId="16" xfId="0" applyFont="1" applyBorder="1"/>
    <xf numFmtId="0" fontId="4" fillId="0" borderId="18" xfId="0" applyFont="1" applyBorder="1"/>
    <xf numFmtId="4" fontId="4" fillId="0" borderId="16" xfId="0" applyNumberFormat="1" applyFont="1" applyBorder="1"/>
    <xf numFmtId="4" fontId="4" fillId="0" borderId="17" xfId="0" applyNumberFormat="1" applyFont="1" applyBorder="1"/>
    <xf numFmtId="4" fontId="4" fillId="0" borderId="18" xfId="0" applyNumberFormat="1" applyFont="1" applyBorder="1"/>
    <xf numFmtId="167" fontId="4" fillId="0" borderId="20" xfId="0" applyNumberFormat="1" applyFont="1" applyBorder="1"/>
    <xf numFmtId="167" fontId="4" fillId="0" borderId="14" xfId="0" applyNumberFormat="1" applyFont="1" applyBorder="1"/>
    <xf numFmtId="0" fontId="4" fillId="0" borderId="7" xfId="0" applyFont="1" applyBorder="1"/>
    <xf numFmtId="0" fontId="4" fillId="0" borderId="12" xfId="0" applyFont="1" applyBorder="1"/>
    <xf numFmtId="4" fontId="4" fillId="0" borderId="9" xfId="0" applyNumberFormat="1" applyFont="1" applyBorder="1"/>
    <xf numFmtId="4" fontId="4" fillId="0" borderId="12" xfId="0" applyNumberFormat="1" applyFont="1" applyBorder="1"/>
    <xf numFmtId="4" fontId="4" fillId="0" borderId="17" xfId="0" applyNumberFormat="1" applyFont="1" applyBorder="1" applyAlignment="1">
      <alignment horizontal="center"/>
    </xf>
    <xf numFmtId="4" fontId="4" fillId="0" borderId="21" xfId="0" applyNumberFormat="1" applyFont="1" applyBorder="1"/>
    <xf numFmtId="4" fontId="4" fillId="0" borderId="22" xfId="0" applyNumberFormat="1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 applyAlignment="1">
      <alignment horizontal="right"/>
    </xf>
    <xf numFmtId="4" fontId="4" fillId="0" borderId="26" xfId="0" applyNumberFormat="1" applyFont="1" applyBorder="1"/>
    <xf numFmtId="9" fontId="4" fillId="0" borderId="2" xfId="0" applyNumberFormat="1" applyFont="1" applyBorder="1" applyAlignment="1">
      <alignment horizontal="right"/>
    </xf>
    <xf numFmtId="0" fontId="4" fillId="0" borderId="25" xfId="0" applyFont="1" applyBorder="1"/>
    <xf numFmtId="0" fontId="4" fillId="0" borderId="9" xfId="0" applyFont="1" applyBorder="1"/>
    <xf numFmtId="168" fontId="1" fillId="0" borderId="0" xfId="12" applyNumberFormat="1"/>
    <xf numFmtId="0" fontId="6" fillId="0" borderId="8" xfId="0" applyFont="1" applyBorder="1"/>
    <xf numFmtId="164" fontId="0" fillId="0" borderId="0" xfId="12" applyFont="1"/>
    <xf numFmtId="0" fontId="7" fillId="0" borderId="0" xfId="0" applyFont="1"/>
    <xf numFmtId="0" fontId="0" fillId="0" borderId="0" xfId="0" applyAlignment="1">
      <alignment horizontal="center"/>
    </xf>
    <xf numFmtId="164" fontId="1" fillId="0" borderId="0" xfId="12"/>
    <xf numFmtId="164" fontId="3" fillId="0" borderId="0" xfId="12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12" applyFont="1" applyBorder="1" applyAlignment="1">
      <alignment horizontal="right"/>
    </xf>
    <xf numFmtId="164" fontId="3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1" xfId="0" applyFont="1" applyBorder="1" applyAlignment="1">
      <alignment horizontal="center"/>
    </xf>
    <xf numFmtId="164" fontId="3" fillId="0" borderId="32" xfId="12" applyFont="1" applyBorder="1" applyAlignment="1">
      <alignment horizontal="right"/>
    </xf>
    <xf numFmtId="0" fontId="0" fillId="0" borderId="32" xfId="0" applyBorder="1" applyAlignment="1"/>
    <xf numFmtId="164" fontId="3" fillId="0" borderId="32" xfId="0" applyNumberFormat="1" applyFont="1" applyBorder="1" applyAlignment="1">
      <alignment horizontal="left"/>
    </xf>
    <xf numFmtId="164" fontId="3" fillId="0" borderId="30" xfId="12" applyFont="1" applyBorder="1" applyAlignment="1">
      <alignment horizontal="left"/>
    </xf>
    <xf numFmtId="164" fontId="3" fillId="0" borderId="32" xfId="12" applyFont="1" applyBorder="1" applyAlignment="1">
      <alignment horizontal="left"/>
    </xf>
    <xf numFmtId="4" fontId="3" fillId="0" borderId="32" xfId="0" applyNumberFormat="1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164" fontId="3" fillId="0" borderId="4" xfId="12" applyFont="1" applyBorder="1" applyAlignment="1">
      <alignment horizontal="center"/>
    </xf>
    <xf numFmtId="164" fontId="3" fillId="0" borderId="4" xfId="12" applyNumberFormat="1" applyFont="1" applyBorder="1" applyAlignment="1">
      <alignment horizontal="left"/>
    </xf>
    <xf numFmtId="164" fontId="3" fillId="0" borderId="4" xfId="12" applyFont="1" applyBorder="1" applyAlignment="1">
      <alignment horizontal="left"/>
    </xf>
    <xf numFmtId="4" fontId="7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right"/>
    </xf>
    <xf numFmtId="164" fontId="7" fillId="0" borderId="4" xfId="12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4" fontId="6" fillId="0" borderId="0" xfId="12" applyFont="1" applyBorder="1" applyAlignment="1">
      <alignment horizontal="right"/>
    </xf>
    <xf numFmtId="164" fontId="4" fillId="0" borderId="0" xfId="12" applyFont="1" applyBorder="1" applyAlignment="1">
      <alignment horizontal="right"/>
    </xf>
    <xf numFmtId="164" fontId="4" fillId="0" borderId="0" xfId="12" applyFont="1" applyBorder="1" applyAlignment="1">
      <alignment horizontal="justify" wrapText="1"/>
    </xf>
    <xf numFmtId="0" fontId="0" fillId="0" borderId="0" xfId="0" applyAlignment="1">
      <alignment horizontal="justify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164" fontId="1" fillId="0" borderId="4" xfId="12" applyBorder="1"/>
    <xf numFmtId="169" fontId="0" fillId="0" borderId="0" xfId="0" applyNumberFormat="1" applyAlignment="1">
      <alignment horizontal="center"/>
    </xf>
    <xf numFmtId="164" fontId="7" fillId="0" borderId="0" xfId="12" applyFont="1"/>
    <xf numFmtId="164" fontId="7" fillId="0" borderId="0" xfId="0" applyNumberFormat="1" applyFont="1"/>
    <xf numFmtId="164" fontId="1" fillId="0" borderId="0" xfId="12" applyBorder="1"/>
    <xf numFmtId="0" fontId="2" fillId="0" borderId="0" xfId="0" applyFont="1" applyAlignment="1">
      <alignment horizontal="center"/>
    </xf>
    <xf numFmtId="0" fontId="3" fillId="0" borderId="27" xfId="0" applyFont="1" applyBorder="1" applyAlignment="1">
      <alignment horizontal="center" vertical="center" wrapText="1"/>
    </xf>
    <xf numFmtId="164" fontId="0" fillId="0" borderId="27" xfId="0" applyNumberFormat="1" applyBorder="1"/>
    <xf numFmtId="0" fontId="7" fillId="0" borderId="0" xfId="0" applyFont="1" applyAlignment="1">
      <alignment horizontal="left"/>
    </xf>
    <xf numFmtId="164" fontId="7" fillId="0" borderId="32" xfId="12" applyFont="1" applyFill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vertical="center" wrapText="1"/>
    </xf>
    <xf numFmtId="164" fontId="3" fillId="0" borderId="27" xfId="12" applyFont="1" applyBorder="1" applyAlignment="1">
      <alignment horizontal="center" vertical="center" wrapText="1"/>
    </xf>
    <xf numFmtId="164" fontId="3" fillId="0" borderId="27" xfId="12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wrapText="1"/>
    </xf>
    <xf numFmtId="164" fontId="3" fillId="0" borderId="0" xfId="0" applyNumberFormat="1" applyFont="1" applyBorder="1" applyAlignment="1">
      <alignment horizontal="justify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1" fillId="0" borderId="0" xfId="12" applyFill="1" applyBorder="1"/>
    <xf numFmtId="164" fontId="1" fillId="0" borderId="4" xfId="12" applyFont="1" applyBorder="1"/>
    <xf numFmtId="0" fontId="11" fillId="0" borderId="0" xfId="0" applyFont="1"/>
    <xf numFmtId="0" fontId="6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vertical="center" wrapText="1"/>
    </xf>
    <xf numFmtId="4" fontId="15" fillId="0" borderId="0" xfId="2" applyNumberFormat="1" applyFont="1" applyFill="1" applyBorder="1" applyAlignment="1">
      <alignment horizontal="center" vertical="center"/>
    </xf>
    <xf numFmtId="0" fontId="16" fillId="0" borderId="34" xfId="2" applyFont="1" applyFill="1" applyBorder="1" applyAlignment="1">
      <alignment horizontal="center" vertical="center" wrapText="1"/>
    </xf>
    <xf numFmtId="0" fontId="16" fillId="0" borderId="35" xfId="3" applyFont="1" applyFill="1" applyBorder="1" applyAlignment="1" applyProtection="1">
      <alignment horizontal="center" vertical="center" wrapText="1"/>
    </xf>
    <xf numFmtId="4" fontId="16" fillId="0" borderId="35" xfId="3" applyNumberFormat="1" applyFont="1" applyFill="1" applyBorder="1" applyAlignment="1" applyProtection="1">
      <alignment horizontal="center" vertical="center" wrapText="1"/>
    </xf>
    <xf numFmtId="4" fontId="16" fillId="0" borderId="26" xfId="3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36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" fontId="7" fillId="0" borderId="21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10" fontId="1" fillId="0" borderId="0" xfId="6" applyNumberFormat="1" applyAlignment="1">
      <alignment vertical="center"/>
    </xf>
    <xf numFmtId="10" fontId="7" fillId="0" borderId="0" xfId="6" applyNumberFormat="1" applyFont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4" fontId="7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15" fillId="0" borderId="0" xfId="8" applyNumberFormat="1" applyFont="1" applyFill="1" applyBorder="1" applyAlignment="1">
      <alignment horizontal="center" vertical="center"/>
    </xf>
    <xf numFmtId="3" fontId="16" fillId="0" borderId="35" xfId="8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7" fillId="0" borderId="24" xfId="0" applyNumberFormat="1" applyFont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170" fontId="7" fillId="0" borderId="0" xfId="0" applyNumberFormat="1" applyFont="1" applyAlignment="1">
      <alignment horizontal="left"/>
    </xf>
    <xf numFmtId="0" fontId="0" fillId="2" borderId="3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7" fillId="2" borderId="3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4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4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3" xfId="0" applyFont="1" applyBorder="1"/>
    <xf numFmtId="2" fontId="7" fillId="0" borderId="43" xfId="0" applyNumberFormat="1" applyFont="1" applyBorder="1" applyAlignment="1">
      <alignment horizontal="right"/>
    </xf>
    <xf numFmtId="2" fontId="7" fillId="0" borderId="14" xfId="0" applyNumberFormat="1" applyFont="1" applyBorder="1" applyAlignment="1">
      <alignment horizontal="right"/>
    </xf>
    <xf numFmtId="4" fontId="7" fillId="0" borderId="14" xfId="0" applyNumberFormat="1" applyFont="1" applyBorder="1"/>
    <xf numFmtId="10" fontId="16" fillId="0" borderId="0" xfId="0" applyNumberFormat="1" applyFont="1" applyAlignment="1"/>
    <xf numFmtId="0" fontId="0" fillId="0" borderId="42" xfId="0" applyBorder="1" applyAlignment="1">
      <alignment horizontal="right"/>
    </xf>
    <xf numFmtId="0" fontId="0" fillId="0" borderId="43" xfId="0" applyBorder="1"/>
    <xf numFmtId="2" fontId="0" fillId="0" borderId="43" xfId="0" applyNumberFormat="1" applyBorder="1"/>
    <xf numFmtId="2" fontId="0" fillId="0" borderId="14" xfId="0" applyNumberFormat="1" applyBorder="1"/>
    <xf numFmtId="4" fontId="0" fillId="0" borderId="2" xfId="0" applyNumberFormat="1" applyBorder="1"/>
    <xf numFmtId="2" fontId="7" fillId="0" borderId="43" xfId="0" applyNumberFormat="1" applyFont="1" applyBorder="1"/>
    <xf numFmtId="2" fontId="7" fillId="0" borderId="14" xfId="0" applyNumberFormat="1" applyFont="1" applyBorder="1"/>
    <xf numFmtId="4" fontId="7" fillId="0" borderId="9" xfId="0" applyNumberFormat="1" applyFont="1" applyBorder="1"/>
    <xf numFmtId="0" fontId="0" fillId="0" borderId="43" xfId="0" applyBorder="1" applyAlignment="1">
      <alignment horizontal="left"/>
    </xf>
    <xf numFmtId="0" fontId="15" fillId="0" borderId="0" xfId="0" applyFont="1"/>
    <xf numFmtId="2" fontId="0" fillId="0" borderId="43" xfId="0" applyNumberFormat="1" applyBorder="1" applyAlignment="1">
      <alignment horizontal="right"/>
    </xf>
    <xf numFmtId="4" fontId="0" fillId="0" borderId="9" xfId="0" applyNumberFormat="1" applyBorder="1"/>
    <xf numFmtId="2" fontId="3" fillId="0" borderId="43" xfId="0" applyNumberFormat="1" applyFont="1" applyBorder="1"/>
    <xf numFmtId="2" fontId="7" fillId="0" borderId="0" xfId="0" applyNumberFormat="1" applyFont="1" applyBorder="1"/>
    <xf numFmtId="2" fontId="7" fillId="0" borderId="26" xfId="0" applyNumberFormat="1" applyFont="1" applyBorder="1"/>
    <xf numFmtId="4" fontId="0" fillId="0" borderId="25" xfId="0" applyNumberFormat="1" applyBorder="1"/>
    <xf numFmtId="4" fontId="7" fillId="0" borderId="37" xfId="0" applyNumberFormat="1" applyFont="1" applyBorder="1"/>
    <xf numFmtId="170" fontId="0" fillId="0" borderId="0" xfId="0" applyNumberFormat="1"/>
    <xf numFmtId="165" fontId="7" fillId="0" borderId="0" xfId="0" applyNumberFormat="1" applyFont="1"/>
    <xf numFmtId="169" fontId="0" fillId="0" borderId="0" xfId="0" applyNumberFormat="1"/>
    <xf numFmtId="2" fontId="7" fillId="0" borderId="0" xfId="0" applyNumberFormat="1" applyFont="1"/>
    <xf numFmtId="0" fontId="17" fillId="0" borderId="0" xfId="0" applyFont="1"/>
    <xf numFmtId="0" fontId="3" fillId="0" borderId="0" xfId="4"/>
    <xf numFmtId="0" fontId="3" fillId="0" borderId="44" xfId="4" applyBorder="1"/>
    <xf numFmtId="164" fontId="3" fillId="0" borderId="0" xfId="4" applyNumberFormat="1"/>
    <xf numFmtId="164" fontId="3" fillId="0" borderId="45" xfId="4" applyNumberFormat="1" applyBorder="1"/>
    <xf numFmtId="0" fontId="7" fillId="0" borderId="44" xfId="4" applyFont="1" applyBorder="1"/>
    <xf numFmtId="164" fontId="3" fillId="0" borderId="0" xfId="4" applyNumberFormat="1" applyFont="1" applyAlignment="1">
      <alignment horizontal="center"/>
    </xf>
    <xf numFmtId="164" fontId="3" fillId="0" borderId="45" xfId="4" applyNumberFormat="1" applyFont="1" applyBorder="1" applyAlignment="1">
      <alignment horizontal="center"/>
    </xf>
    <xf numFmtId="0" fontId="3" fillId="0" borderId="44" xfId="4" applyFont="1" applyBorder="1" applyAlignment="1">
      <alignment horizontal="center"/>
    </xf>
    <xf numFmtId="164" fontId="3" fillId="0" borderId="0" xfId="4" applyNumberFormat="1" applyFont="1" applyAlignment="1">
      <alignment horizontal="right"/>
    </xf>
    <xf numFmtId="164" fontId="3" fillId="0" borderId="46" xfId="4" applyNumberFormat="1" applyBorder="1" applyAlignment="1">
      <alignment horizontal="center"/>
    </xf>
    <xf numFmtId="164" fontId="3" fillId="0" borderId="47" xfId="4" applyNumberFormat="1" applyBorder="1"/>
    <xf numFmtId="0" fontId="7" fillId="0" borderId="44" xfId="4" applyFont="1" applyBorder="1" applyAlignment="1">
      <alignment horizontal="center"/>
    </xf>
    <xf numFmtId="0" fontId="7" fillId="0" borderId="0" xfId="4" applyFont="1"/>
    <xf numFmtId="164" fontId="7" fillId="0" borderId="0" xfId="4" applyNumberFormat="1" applyFont="1"/>
    <xf numFmtId="164" fontId="7" fillId="0" borderId="45" xfId="4" applyNumberFormat="1" applyFont="1" applyBorder="1"/>
    <xf numFmtId="164" fontId="3" fillId="0" borderId="46" xfId="4" applyNumberFormat="1" applyBorder="1"/>
    <xf numFmtId="164" fontId="3" fillId="0" borderId="45" xfId="4" applyNumberFormat="1" applyBorder="1" applyAlignment="1">
      <alignment horizontal="right"/>
    </xf>
    <xf numFmtId="0" fontId="3" fillId="0" borderId="48" xfId="4" applyBorder="1"/>
    <xf numFmtId="0" fontId="7" fillId="0" borderId="46" xfId="4" applyFont="1" applyBorder="1" applyAlignment="1">
      <alignment horizontal="center"/>
    </xf>
    <xf numFmtId="164" fontId="7" fillId="0" borderId="46" xfId="4" applyNumberFormat="1" applyFont="1" applyBorder="1"/>
    <xf numFmtId="164" fontId="7" fillId="0" borderId="47" xfId="4" applyNumberFormat="1" applyFont="1" applyBorder="1"/>
    <xf numFmtId="0" fontId="3" fillId="0" borderId="0" xfId="5"/>
    <xf numFmtId="0" fontId="3" fillId="3" borderId="49" xfId="5" applyFill="1" applyBorder="1"/>
    <xf numFmtId="0" fontId="3" fillId="3" borderId="50" xfId="5" applyFont="1" applyFill="1" applyBorder="1"/>
    <xf numFmtId="0" fontId="3" fillId="3" borderId="51" xfId="5" applyFill="1" applyBorder="1"/>
    <xf numFmtId="0" fontId="3" fillId="0" borderId="52" xfId="5" applyBorder="1" applyAlignment="1">
      <alignment horizontal="center"/>
    </xf>
    <xf numFmtId="0" fontId="3" fillId="0" borderId="53" xfId="5" applyFont="1" applyBorder="1" applyAlignment="1">
      <alignment horizontal="center"/>
    </xf>
    <xf numFmtId="171" fontId="3" fillId="0" borderId="54" xfId="10" applyFont="1" applyFill="1" applyBorder="1" applyAlignment="1" applyProtection="1"/>
    <xf numFmtId="0" fontId="3" fillId="0" borderId="55" xfId="5" applyBorder="1" applyAlignment="1">
      <alignment horizontal="center"/>
    </xf>
    <xf numFmtId="0" fontId="7" fillId="0" borderId="53" xfId="5" applyFont="1" applyBorder="1" applyAlignment="1">
      <alignment horizontal="center"/>
    </xf>
    <xf numFmtId="171" fontId="3" fillId="0" borderId="56" xfId="10" applyFont="1" applyFill="1" applyBorder="1" applyAlignment="1" applyProtection="1"/>
    <xf numFmtId="172" fontId="3" fillId="0" borderId="0" xfId="5" applyNumberFormat="1"/>
    <xf numFmtId="0" fontId="7" fillId="0" borderId="57" xfId="5" applyFont="1" applyBorder="1"/>
    <xf numFmtId="173" fontId="3" fillId="0" borderId="0" xfId="5" applyNumberFormat="1"/>
    <xf numFmtId="0" fontId="3" fillId="0" borderId="57" xfId="5" applyFont="1" applyBorder="1"/>
    <xf numFmtId="9" fontId="3" fillId="0" borderId="56" xfId="10" applyNumberFormat="1" applyFont="1" applyFill="1" applyBorder="1" applyAlignment="1" applyProtection="1"/>
    <xf numFmtId="169" fontId="3" fillId="0" borderId="0" xfId="5" applyNumberFormat="1"/>
    <xf numFmtId="171" fontId="3" fillId="0" borderId="56" xfId="5" applyNumberFormat="1" applyBorder="1"/>
    <xf numFmtId="0" fontId="3" fillId="0" borderId="56" xfId="5" applyBorder="1"/>
    <xf numFmtId="174" fontId="3" fillId="0" borderId="0" xfId="10" applyNumberFormat="1" applyFont="1" applyFill="1" applyBorder="1" applyAlignment="1" applyProtection="1"/>
    <xf numFmtId="171" fontId="19" fillId="0" borderId="56" xfId="5" applyNumberFormat="1" applyFont="1" applyBorder="1"/>
    <xf numFmtId="171" fontId="3" fillId="0" borderId="0" xfId="5" applyNumberFormat="1"/>
    <xf numFmtId="0" fontId="3" fillId="0" borderId="57" xfId="5" applyFont="1" applyBorder="1" applyAlignment="1">
      <alignment horizontal="center"/>
    </xf>
    <xf numFmtId="0" fontId="7" fillId="0" borderId="0" xfId="5" applyFont="1" applyBorder="1"/>
    <xf numFmtId="171" fontId="3" fillId="0" borderId="57" xfId="5" applyNumberFormat="1" applyFont="1" applyBorder="1"/>
    <xf numFmtId="0" fontId="3" fillId="0" borderId="0" xfId="5" applyFont="1" applyBorder="1"/>
    <xf numFmtId="171" fontId="7" fillId="0" borderId="57" xfId="5" applyNumberFormat="1" applyFont="1" applyBorder="1"/>
    <xf numFmtId="0" fontId="3" fillId="0" borderId="58" xfId="5" applyBorder="1" applyAlignment="1">
      <alignment horizontal="center"/>
    </xf>
    <xf numFmtId="0" fontId="3" fillId="0" borderId="50" xfId="5" applyBorder="1"/>
    <xf numFmtId="171" fontId="3" fillId="0" borderId="58" xfId="5" applyNumberFormat="1" applyBorder="1"/>
    <xf numFmtId="171" fontId="3" fillId="0" borderId="0" xfId="5" applyNumberFormat="1" applyBorder="1"/>
    <xf numFmtId="171" fontId="7" fillId="0" borderId="0" xfId="5" applyNumberFormat="1" applyFont="1" applyBorder="1"/>
    <xf numFmtId="0" fontId="3" fillId="0" borderId="55" xfId="5" applyBorder="1"/>
    <xf numFmtId="0" fontId="7" fillId="0" borderId="0" xfId="5" applyFont="1" applyBorder="1" applyAlignment="1">
      <alignment horizontal="center"/>
    </xf>
    <xf numFmtId="0" fontId="7" fillId="0" borderId="55" xfId="5" applyFont="1" applyBorder="1" applyAlignment="1">
      <alignment horizontal="right"/>
    </xf>
    <xf numFmtId="171" fontId="3" fillId="0" borderId="0" xfId="10" applyFont="1" applyFill="1" applyBorder="1" applyAlignment="1" applyProtection="1"/>
    <xf numFmtId="171" fontId="7" fillId="0" borderId="0" xfId="10" applyFont="1" applyFill="1" applyBorder="1" applyAlignment="1" applyProtection="1"/>
    <xf numFmtId="164" fontId="5" fillId="0" borderId="4" xfId="12" applyFont="1" applyBorder="1" applyAlignment="1">
      <alignment horizontal="right"/>
    </xf>
    <xf numFmtId="0" fontId="7" fillId="0" borderId="29" xfId="0" applyFont="1" applyBorder="1" applyAlignment="1">
      <alignment horizontal="left"/>
    </xf>
    <xf numFmtId="164" fontId="4" fillId="0" borderId="4" xfId="12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0" fillId="0" borderId="0" xfId="0" applyNumberFormat="1"/>
    <xf numFmtId="0" fontId="3" fillId="0" borderId="4" xfId="0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/>
    </xf>
    <xf numFmtId="166" fontId="6" fillId="0" borderId="37" xfId="1" applyFont="1" applyBorder="1" applyAlignment="1">
      <alignment horizontal="right"/>
    </xf>
    <xf numFmtId="0" fontId="3" fillId="0" borderId="0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164" fontId="6" fillId="0" borderId="4" xfId="12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6" fillId="0" borderId="0" xfId="0" applyFont="1" applyAlignment="1"/>
    <xf numFmtId="0" fontId="15" fillId="0" borderId="0" xfId="0" applyFont="1" applyAlignment="1"/>
    <xf numFmtId="0" fontId="7" fillId="0" borderId="0" xfId="0" applyFont="1" applyAlignment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27" xfId="0" applyFont="1" applyBorder="1" applyAlignment="1">
      <alignment horizontal="center" vertical="center"/>
    </xf>
    <xf numFmtId="0" fontId="0" fillId="0" borderId="59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0" fontId="7" fillId="0" borderId="60" xfId="0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6" fillId="0" borderId="63" xfId="2" applyFont="1" applyFill="1" applyBorder="1" applyAlignment="1">
      <alignment horizontal="center" vertical="center" wrapText="1"/>
    </xf>
    <xf numFmtId="0" fontId="16" fillId="0" borderId="64" xfId="2" applyFont="1" applyFill="1" applyBorder="1" applyAlignment="1">
      <alignment horizontal="center" vertical="center" wrapText="1"/>
    </xf>
    <xf numFmtId="0" fontId="16" fillId="0" borderId="65" xfId="2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64" fontId="7" fillId="0" borderId="4" xfId="12" applyFont="1" applyBorder="1" applyAlignment="1">
      <alignment horizontal="left"/>
    </xf>
    <xf numFmtId="0" fontId="7" fillId="0" borderId="4" xfId="0" applyFont="1" applyBorder="1" applyAlignment="1">
      <alignment horizontal="left"/>
    </xf>
    <xf numFmtId="164" fontId="6" fillId="0" borderId="4" xfId="12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justify" wrapText="1"/>
    </xf>
    <xf numFmtId="0" fontId="3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6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15" fillId="0" borderId="0" xfId="0" applyFont="1" applyAlignment="1"/>
    <xf numFmtId="0" fontId="7" fillId="0" borderId="0" xfId="0" applyFont="1" applyAlignment="1"/>
    <xf numFmtId="0" fontId="16" fillId="0" borderId="0" xfId="0" applyFont="1" applyAlignment="1">
      <alignment horizontal="center"/>
    </xf>
    <xf numFmtId="0" fontId="7" fillId="2" borderId="66" xfId="0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7" fillId="0" borderId="68" xfId="4" applyFont="1" applyBorder="1" applyAlignment="1">
      <alignment horizontal="center"/>
    </xf>
    <xf numFmtId="0" fontId="0" fillId="0" borderId="0" xfId="0" applyAlignment="1">
      <alignment horizontal="left"/>
    </xf>
    <xf numFmtId="0" fontId="7" fillId="0" borderId="27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/>
    </xf>
    <xf numFmtId="0" fontId="3" fillId="0" borderId="28" xfId="0" applyFont="1" applyBorder="1" applyAlignment="1">
      <alignment horizontal="left" vertical="center" wrapText="1"/>
    </xf>
    <xf numFmtId="0" fontId="3" fillId="0" borderId="70" xfId="0" applyFont="1" applyBorder="1" applyAlignment="1">
      <alignment horizontal="left" vertical="center" wrapText="1"/>
    </xf>
    <xf numFmtId="0" fontId="3" fillId="3" borderId="53" xfId="5" applyFont="1" applyFill="1" applyBorder="1" applyAlignment="1">
      <alignment horizontal="center"/>
    </xf>
    <xf numFmtId="0" fontId="7" fillId="3" borderId="57" xfId="5" applyFont="1" applyFill="1" applyBorder="1" applyAlignment="1">
      <alignment horizontal="center"/>
    </xf>
  </cellXfs>
  <cellStyles count="13">
    <cellStyle name="Moeda" xfId="1" builtinId="4"/>
    <cellStyle name="Normal" xfId="0" builtinId="0"/>
    <cellStyle name="Normal 2" xfId="2" xr:uid="{00000000-0005-0000-0000-000003000000}"/>
    <cellStyle name="Normal_ORÇAMENTO-HAB" xfId="3" xr:uid="{00000000-0005-0000-0000-000004000000}"/>
    <cellStyle name="Normal_Tabela de Encargos Sociais" xfId="4" xr:uid="{00000000-0005-0000-0000-000005000000}"/>
    <cellStyle name="Normal_Tabela Veiculos - SET 2009" xfId="5" xr:uid="{00000000-0005-0000-0000-000006000000}"/>
    <cellStyle name="Porcentagem" xfId="6" builtinId="5"/>
    <cellStyle name="Porcentagem 2" xfId="7" xr:uid="{00000000-0005-0000-0000-000008000000}"/>
    <cellStyle name="Separador de milhares 2" xfId="8" xr:uid="{00000000-0005-0000-0000-000009000000}"/>
    <cellStyle name="Separador de milhares 3" xfId="9" xr:uid="{00000000-0005-0000-0000-00000A000000}"/>
    <cellStyle name="Separador de milhares_Tabela Veiculos - SET 2009" xfId="10" xr:uid="{00000000-0005-0000-0000-00000B000000}"/>
    <cellStyle name="Total" xfId="11" builtinId="25" customBuiltin="1"/>
    <cellStyle name="Vírgula" xfId="12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queline.mendonca\Meus%20documentos\Jaqueline\MODELOS\Tabelas%20referencia\Tabela%20Veiculos%20-%20SET%20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 Veículos"/>
      <sheetName val="Valores de Aquisição"/>
      <sheetName val="Susuki EN125"/>
      <sheetName val="Gol 1_0 flex"/>
      <sheetName val="Palio 1_4 flex"/>
      <sheetName val="Siena 1_8 flex "/>
      <sheetName val="Kombi 1_4 Standard"/>
      <sheetName val="Nova Saveiro CS 1_6 flex "/>
      <sheetName val="Hilux CS 2_5 diesel 4x4 102cv"/>
      <sheetName val="Hilux CD SR 3_0 diesel 4x4"/>
    </sheetNames>
    <sheetDataSet>
      <sheetData sheetId="0"/>
      <sheetData sheetId="1">
        <row r="2">
          <cell r="C2">
            <v>2.78</v>
          </cell>
        </row>
        <row r="4">
          <cell r="C4">
            <v>2.0099999999999998</v>
          </cell>
        </row>
        <row r="14">
          <cell r="C14">
            <v>31350</v>
          </cell>
        </row>
        <row r="23">
          <cell r="C23">
            <v>78000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  <pageSetUpPr fitToPage="1"/>
  </sheetPr>
  <dimension ref="A1:I20"/>
  <sheetViews>
    <sheetView tabSelected="1" view="pageBreakPreview" topLeftCell="A10" zoomScale="115" zoomScaleNormal="100" zoomScaleSheetLayoutView="115" workbookViewId="0">
      <selection activeCell="F14" sqref="F14"/>
    </sheetView>
  </sheetViews>
  <sheetFormatPr defaultRowHeight="12.75"/>
  <cols>
    <col min="1" max="1" width="6.28515625" style="188" bestFit="1" customWidth="1"/>
    <col min="2" max="2" width="48.7109375" style="189" customWidth="1"/>
    <col min="3" max="3" width="8.5703125" style="188" bestFit="1" customWidth="1"/>
    <col min="4" max="4" width="10.140625" style="197" bestFit="1" customWidth="1"/>
    <col min="5" max="5" width="11.28515625" style="190" bestFit="1" customWidth="1"/>
    <col min="6" max="6" width="11.7109375" style="190" bestFit="1" customWidth="1"/>
    <col min="7" max="7" width="0.5703125" style="161" customWidth="1"/>
  </cols>
  <sheetData>
    <row r="1" spans="1:9">
      <c r="A1" s="329" t="s">
        <v>0</v>
      </c>
      <c r="B1" s="329"/>
      <c r="C1" s="329"/>
      <c r="D1" s="329"/>
      <c r="E1" s="329"/>
      <c r="F1" s="329"/>
    </row>
    <row r="2" spans="1:9">
      <c r="A2" s="329"/>
      <c r="B2" s="329"/>
      <c r="C2" s="329"/>
      <c r="D2" s="329"/>
      <c r="E2" s="329"/>
      <c r="F2" s="329"/>
    </row>
    <row r="3" spans="1:9">
      <c r="A3" s="324"/>
      <c r="B3" s="324"/>
      <c r="C3" s="324"/>
      <c r="D3" s="324"/>
      <c r="E3" s="324"/>
      <c r="F3" s="324"/>
    </row>
    <row r="4" spans="1:9">
      <c r="A4" s="331" t="s">
        <v>1</v>
      </c>
      <c r="B4" s="331"/>
      <c r="C4" s="331"/>
      <c r="D4" s="331"/>
      <c r="E4" s="331"/>
      <c r="F4" s="331"/>
    </row>
    <row r="5" spans="1:9">
      <c r="A5" s="331" t="s">
        <v>2</v>
      </c>
      <c r="B5" s="331"/>
      <c r="C5" s="331"/>
      <c r="D5" s="331"/>
      <c r="E5" s="331"/>
      <c r="F5" s="331"/>
    </row>
    <row r="6" spans="1:9">
      <c r="A6" s="330" t="s">
        <v>3</v>
      </c>
      <c r="B6" s="330"/>
      <c r="C6" s="330"/>
      <c r="D6" s="330"/>
      <c r="E6" s="330"/>
      <c r="F6" s="330"/>
    </row>
    <row r="7" spans="1:9">
      <c r="A7" s="162"/>
      <c r="B7" s="163"/>
      <c r="C7" s="162"/>
      <c r="D7" s="191"/>
      <c r="E7" s="164"/>
      <c r="F7" s="164"/>
    </row>
    <row r="8" spans="1:9">
      <c r="A8" s="325" t="s">
        <v>4</v>
      </c>
      <c r="B8" s="325"/>
      <c r="C8" s="325"/>
      <c r="D8" s="325"/>
      <c r="E8" s="325"/>
      <c r="F8" s="325"/>
    </row>
    <row r="9" spans="1:9" ht="15.75" thickBot="1">
      <c r="A9" s="165"/>
      <c r="B9" s="166"/>
      <c r="C9" s="165"/>
      <c r="D9" s="192"/>
      <c r="E9" s="167"/>
      <c r="F9" s="167"/>
    </row>
    <row r="10" spans="1:9" s="89" customFormat="1" ht="30.75" thickBot="1">
      <c r="A10" s="168" t="s">
        <v>5</v>
      </c>
      <c r="B10" s="169" t="s">
        <v>6</v>
      </c>
      <c r="C10" s="169" t="s">
        <v>7</v>
      </c>
      <c r="D10" s="193" t="s">
        <v>8</v>
      </c>
      <c r="E10" s="170" t="s">
        <v>9</v>
      </c>
      <c r="F10" s="171" t="s">
        <v>10</v>
      </c>
      <c r="G10" s="172"/>
    </row>
    <row r="11" spans="1:9" s="89" customFormat="1" ht="12.75" customHeight="1">
      <c r="A11" s="326"/>
      <c r="B11" s="327"/>
      <c r="C11" s="327"/>
      <c r="D11" s="327"/>
      <c r="E11" s="327"/>
      <c r="F11" s="328"/>
      <c r="G11" s="172"/>
    </row>
    <row r="12" spans="1:9" s="89" customFormat="1">
      <c r="A12" s="173" t="s">
        <v>11</v>
      </c>
      <c r="B12" s="174" t="s">
        <v>12</v>
      </c>
      <c r="C12" s="175"/>
      <c r="D12" s="194"/>
      <c r="E12" s="176"/>
      <c r="F12" s="177"/>
      <c r="G12" s="172"/>
      <c r="I12" s="89">
        <f>F14/28.0411</f>
        <v>181.42619226777839</v>
      </c>
    </row>
    <row r="13" spans="1:9">
      <c r="A13" s="178" t="s">
        <v>13</v>
      </c>
      <c r="B13" s="179" t="s">
        <v>14</v>
      </c>
      <c r="C13" s="180" t="s">
        <v>15</v>
      </c>
      <c r="D13" s="195">
        <v>13</v>
      </c>
      <c r="E13" s="181">
        <f>CPU!F41</f>
        <v>391.33745000000005</v>
      </c>
      <c r="F13" s="182">
        <f>ROUND(D13*E13,2)</f>
        <v>5087.3900000000003</v>
      </c>
      <c r="G13" s="183">
        <f>F13/$F$20</f>
        <v>0.80914179015457921</v>
      </c>
    </row>
    <row r="14" spans="1:9" s="89" customFormat="1">
      <c r="A14" s="321" t="s">
        <v>16</v>
      </c>
      <c r="B14" s="322"/>
      <c r="C14" s="322"/>
      <c r="D14" s="322"/>
      <c r="E14" s="323"/>
      <c r="F14" s="177">
        <f>SUM(F13:F13)</f>
        <v>5087.3900000000003</v>
      </c>
      <c r="G14" s="184">
        <f>F14/$F$20</f>
        <v>0.80914179015457921</v>
      </c>
    </row>
    <row r="15" spans="1:9" s="89" customFormat="1">
      <c r="A15" s="173" t="s">
        <v>17</v>
      </c>
      <c r="B15" s="174" t="s">
        <v>18</v>
      </c>
      <c r="C15" s="175"/>
      <c r="D15" s="194"/>
      <c r="E15" s="176"/>
      <c r="F15" s="177"/>
      <c r="G15" s="184"/>
    </row>
    <row r="16" spans="1:9" s="89" customFormat="1">
      <c r="A16" s="304" t="s">
        <v>19</v>
      </c>
      <c r="B16" s="303" t="s">
        <v>20</v>
      </c>
      <c r="C16" s="180" t="s">
        <v>15</v>
      </c>
      <c r="D16" s="195">
        <v>1</v>
      </c>
      <c r="E16" s="181">
        <v>1200</v>
      </c>
      <c r="F16" s="182">
        <f>ROUND(D16*E16,2)</f>
        <v>1200</v>
      </c>
      <c r="G16" s="184"/>
    </row>
    <row r="17" spans="1:7" s="89" customFormat="1">
      <c r="A17" s="321" t="s">
        <v>21</v>
      </c>
      <c r="B17" s="322"/>
      <c r="C17" s="322"/>
      <c r="D17" s="322"/>
      <c r="E17" s="323"/>
      <c r="F17" s="177">
        <f>SUM(F16:F16)</f>
        <v>1200</v>
      </c>
      <c r="G17" s="184"/>
    </row>
    <row r="18" spans="1:7">
      <c r="A18" s="318"/>
      <c r="B18" s="319"/>
      <c r="C18" s="319"/>
      <c r="D18" s="319"/>
      <c r="E18" s="319"/>
      <c r="F18" s="320"/>
      <c r="G18" s="183"/>
    </row>
    <row r="19" spans="1:7" ht="13.5" thickBot="1">
      <c r="A19" s="318"/>
      <c r="B19" s="319"/>
      <c r="C19" s="319"/>
      <c r="D19" s="319"/>
      <c r="E19" s="319"/>
      <c r="F19" s="320"/>
      <c r="G19" s="183"/>
    </row>
    <row r="20" spans="1:7" s="89" customFormat="1" ht="13.5" thickBot="1">
      <c r="A20" s="185"/>
      <c r="B20" s="186" t="s">
        <v>22</v>
      </c>
      <c r="C20" s="186"/>
      <c r="D20" s="196"/>
      <c r="E20" s="186"/>
      <c r="F20" s="187">
        <f>SUM(F14,F17)</f>
        <v>6287.39</v>
      </c>
      <c r="G20" s="172"/>
    </row>
  </sheetData>
  <mergeCells count="11">
    <mergeCell ref="A1:F2"/>
    <mergeCell ref="A6:F6"/>
    <mergeCell ref="A4:F4"/>
    <mergeCell ref="A5:F5"/>
    <mergeCell ref="A19:F19"/>
    <mergeCell ref="A14:E14"/>
    <mergeCell ref="A3:F3"/>
    <mergeCell ref="A8:F8"/>
    <mergeCell ref="A18:F18"/>
    <mergeCell ref="A11:F11"/>
    <mergeCell ref="A17:E17"/>
  </mergeCells>
  <phoneticPr fontId="12" type="noConversion"/>
  <printOptions horizontalCentered="1"/>
  <pageMargins left="0.98425196850393704" right="0.78740157480314965" top="0.98425196850393704" bottom="0.98425196850393704" header="0.39370078740157483" footer="0.39370078740157483"/>
  <pageSetup paperSize="9" scale="8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1"/>
  <sheetViews>
    <sheetView topLeftCell="A31" zoomScale="110" zoomScaleNormal="110" zoomScaleSheetLayoutView="75" workbookViewId="0">
      <pane xSplit="6" topLeftCell="G1" activePane="topRight" state="frozen"/>
      <selection activeCell="A504" sqref="A504"/>
      <selection pane="topRight" activeCell="D25" sqref="D25"/>
    </sheetView>
  </sheetViews>
  <sheetFormatPr defaultColWidth="11.42578125" defaultRowHeight="12.75"/>
  <cols>
    <col min="1" max="1" width="4.42578125" customWidth="1"/>
    <col min="2" max="2" width="29.28515625" customWidth="1"/>
    <col min="3" max="3" width="9.28515625" customWidth="1"/>
    <col min="4" max="4" width="9.7109375" customWidth="1"/>
    <col min="5" max="5" width="21.28515625" customWidth="1"/>
    <col min="6" max="6" width="18" customWidth="1"/>
    <col min="7" max="7" width="13.140625" bestFit="1" customWidth="1"/>
    <col min="10" max="10" width="14.5703125" bestFit="1" customWidth="1"/>
  </cols>
  <sheetData>
    <row r="1" spans="1:12">
      <c r="A1" s="93"/>
      <c r="B1" s="311"/>
      <c r="C1" s="94"/>
      <c r="D1" s="311"/>
      <c r="E1" s="92"/>
      <c r="F1" s="92"/>
    </row>
    <row r="2" spans="1:12">
      <c r="A2" s="93"/>
      <c r="B2" s="311"/>
      <c r="C2" s="94"/>
      <c r="D2" s="311"/>
      <c r="E2" s="92"/>
      <c r="F2" s="92"/>
    </row>
    <row r="3" spans="1:12" ht="20.25">
      <c r="A3" s="125" t="s">
        <v>0</v>
      </c>
      <c r="B3" s="93"/>
      <c r="C3" s="311"/>
      <c r="D3" s="311"/>
      <c r="E3" s="311"/>
      <c r="F3" s="311"/>
    </row>
    <row r="4" spans="1:12">
      <c r="A4" s="93" t="s">
        <v>23</v>
      </c>
      <c r="B4" s="93"/>
      <c r="C4" s="311"/>
      <c r="D4" s="311"/>
      <c r="E4" s="311"/>
      <c r="F4" s="311"/>
    </row>
    <row r="5" spans="1:12">
      <c r="A5" s="93" t="s">
        <v>24</v>
      </c>
      <c r="B5" s="93"/>
      <c r="C5" s="311"/>
      <c r="D5" s="311"/>
      <c r="E5" s="311"/>
      <c r="F5" s="311"/>
    </row>
    <row r="6" spans="1:12">
      <c r="A6" s="311"/>
      <c r="B6" s="311"/>
      <c r="C6" s="311"/>
      <c r="D6" s="311"/>
      <c r="E6" s="311"/>
      <c r="F6" s="311"/>
    </row>
    <row r="7" spans="1:12">
      <c r="A7" s="99">
        <v>1</v>
      </c>
      <c r="B7" s="307" t="s">
        <v>25</v>
      </c>
      <c r="C7" s="99" t="s">
        <v>7</v>
      </c>
      <c r="D7" s="99" t="s">
        <v>26</v>
      </c>
      <c r="E7" s="99" t="s">
        <v>27</v>
      </c>
      <c r="F7" s="99" t="s">
        <v>28</v>
      </c>
    </row>
    <row r="8" spans="1:12">
      <c r="A8" s="99" t="s">
        <v>13</v>
      </c>
      <c r="B8" s="307" t="s">
        <v>29</v>
      </c>
      <c r="C8" s="99"/>
      <c r="D8" s="99"/>
      <c r="E8" s="99"/>
      <c r="F8" s="99"/>
    </row>
    <row r="9" spans="1:12">
      <c r="A9" s="100"/>
      <c r="B9" s="100" t="s">
        <v>30</v>
      </c>
      <c r="C9" s="101" t="s">
        <v>31</v>
      </c>
      <c r="D9" s="102">
        <f>4/30</f>
        <v>0.13333333333333333</v>
      </c>
      <c r="E9" s="103">
        <v>4000</v>
      </c>
      <c r="F9" s="103">
        <f>D9*E9</f>
        <v>533.33333333333337</v>
      </c>
      <c r="L9" s="188"/>
    </row>
    <row r="10" spans="1:12">
      <c r="A10" s="100"/>
      <c r="B10" s="100" t="s">
        <v>32</v>
      </c>
      <c r="C10" s="101" t="s">
        <v>31</v>
      </c>
      <c r="D10" s="102">
        <f>2/30</f>
        <v>6.6666666666666666E-2</v>
      </c>
      <c r="E10" s="103">
        <v>1100</v>
      </c>
      <c r="F10" s="103">
        <f>D10*E10</f>
        <v>73.333333333333329</v>
      </c>
    </row>
    <row r="11" spans="1:12">
      <c r="A11" s="307" t="s">
        <v>33</v>
      </c>
      <c r="B11" s="307" t="s">
        <v>34</v>
      </c>
      <c r="C11" s="101"/>
      <c r="D11" s="102"/>
      <c r="E11" s="100"/>
      <c r="F11" s="103"/>
    </row>
    <row r="12" spans="1:12">
      <c r="A12" s="100"/>
      <c r="B12" s="100" t="s">
        <v>35</v>
      </c>
      <c r="C12" s="101" t="s">
        <v>31</v>
      </c>
      <c r="D12" s="102">
        <f>4/30</f>
        <v>0.13333333333333333</v>
      </c>
      <c r="E12" s="103">
        <v>2000</v>
      </c>
      <c r="F12" s="103">
        <f>D12*E12</f>
        <v>266.66666666666669</v>
      </c>
    </row>
    <row r="13" spans="1:12">
      <c r="A13" s="97"/>
      <c r="B13" s="97"/>
      <c r="C13" s="98"/>
      <c r="D13" s="332" t="s">
        <v>36</v>
      </c>
      <c r="E13" s="333"/>
      <c r="F13" s="104">
        <f>SUM(F9:F12)</f>
        <v>873.33333333333348</v>
      </c>
    </row>
    <row r="14" spans="1:12">
      <c r="A14" s="95"/>
      <c r="B14" s="95"/>
      <c r="C14" s="96"/>
      <c r="D14" s="332" t="s">
        <v>37</v>
      </c>
      <c r="E14" s="333"/>
      <c r="F14" s="104">
        <f>F13*77.25%</f>
        <v>674.65000000000009</v>
      </c>
    </row>
    <row r="15" spans="1:12" ht="15.75">
      <c r="A15" s="95"/>
      <c r="B15" s="95"/>
      <c r="C15" s="96"/>
      <c r="D15" s="334" t="s">
        <v>38</v>
      </c>
      <c r="E15" s="335"/>
      <c r="F15" s="104">
        <f>SUM(F13:F14)</f>
        <v>1547.9833333333336</v>
      </c>
    </row>
    <row r="16" spans="1:12">
      <c r="A16" s="106"/>
      <c r="B16" s="106"/>
      <c r="C16" s="107"/>
      <c r="D16" s="108"/>
      <c r="E16" s="109"/>
      <c r="F16" s="110"/>
    </row>
    <row r="17" spans="1:8">
      <c r="A17" s="307">
        <v>2</v>
      </c>
      <c r="B17" s="307" t="s">
        <v>39</v>
      </c>
      <c r="C17" s="99" t="s">
        <v>7</v>
      </c>
      <c r="D17" s="99" t="s">
        <v>40</v>
      </c>
      <c r="E17" s="99" t="s">
        <v>41</v>
      </c>
      <c r="F17" s="99" t="s">
        <v>42</v>
      </c>
    </row>
    <row r="18" spans="1:8">
      <c r="A18" s="307" t="s">
        <v>43</v>
      </c>
      <c r="B18" s="307" t="s">
        <v>44</v>
      </c>
      <c r="C18" s="119"/>
      <c r="D18" s="119"/>
      <c r="E18" s="119"/>
      <c r="F18" s="119"/>
    </row>
    <row r="19" spans="1:8">
      <c r="A19" s="100"/>
      <c r="B19" s="100" t="s">
        <v>45</v>
      </c>
      <c r="C19" s="117" t="s">
        <v>31</v>
      </c>
      <c r="D19" s="119">
        <f>4/30</f>
        <v>0.13333333333333333</v>
      </c>
      <c r="E19" s="119">
        <v>1500</v>
      </c>
      <c r="F19" s="119">
        <f>D19*E19</f>
        <v>200</v>
      </c>
    </row>
    <row r="20" spans="1:8">
      <c r="A20" s="100"/>
      <c r="B20" s="100" t="s">
        <v>46</v>
      </c>
      <c r="C20" s="117" t="s">
        <v>47</v>
      </c>
      <c r="D20" s="119">
        <v>91.4</v>
      </c>
      <c r="E20" s="119">
        <v>3.6</v>
      </c>
      <c r="F20" s="119">
        <f>D20*E20</f>
        <v>329.04</v>
      </c>
    </row>
    <row r="21" spans="1:8" ht="15.75">
      <c r="A21" s="97"/>
      <c r="B21" s="97"/>
      <c r="C21" s="111"/>
      <c r="D21" s="334" t="s">
        <v>48</v>
      </c>
      <c r="E21" s="335"/>
      <c r="F21" s="120">
        <f>SUM(F18:F20)</f>
        <v>529.04</v>
      </c>
    </row>
    <row r="22" spans="1:8">
      <c r="A22" s="106"/>
      <c r="B22" s="106"/>
      <c r="C22" s="106"/>
      <c r="D22" s="112"/>
      <c r="E22" s="112"/>
      <c r="F22" s="113"/>
    </row>
    <row r="23" spans="1:8">
      <c r="A23" s="307">
        <v>3</v>
      </c>
      <c r="B23" s="307" t="s">
        <v>49</v>
      </c>
      <c r="C23" s="99" t="s">
        <v>7</v>
      </c>
      <c r="D23" s="99" t="s">
        <v>40</v>
      </c>
      <c r="E23" s="99" t="s">
        <v>41</v>
      </c>
      <c r="F23" s="99" t="s">
        <v>42</v>
      </c>
    </row>
    <row r="24" spans="1:8">
      <c r="A24" s="100"/>
      <c r="B24" s="100" t="s">
        <v>353</v>
      </c>
      <c r="C24" s="101" t="s">
        <v>31</v>
      </c>
      <c r="D24" s="119">
        <f>4/30</f>
        <v>0.13333333333333333</v>
      </c>
      <c r="E24" s="103">
        <v>4500</v>
      </c>
      <c r="F24" s="121">
        <f>D24*E24</f>
        <v>600</v>
      </c>
    </row>
    <row r="25" spans="1:8">
      <c r="A25" s="311"/>
      <c r="B25" s="311" t="s">
        <v>50</v>
      </c>
      <c r="C25" s="94" t="s">
        <v>51</v>
      </c>
      <c r="D25" s="119">
        <v>6</v>
      </c>
      <c r="E25" s="103">
        <v>15</v>
      </c>
      <c r="F25" s="121">
        <f>D25*E25</f>
        <v>90</v>
      </c>
    </row>
    <row r="26" spans="1:8" ht="15.75">
      <c r="A26" s="97"/>
      <c r="B26" s="97"/>
      <c r="C26" s="114"/>
      <c r="D26" s="334" t="s">
        <v>52</v>
      </c>
      <c r="E26" s="335"/>
      <c r="F26" s="120">
        <f>SUM(F24:F25)</f>
        <v>690</v>
      </c>
      <c r="H26" s="302"/>
    </row>
    <row r="27" spans="1:8" ht="15.75">
      <c r="A27" s="97"/>
      <c r="B27" s="97"/>
      <c r="C27" s="114"/>
      <c r="D27" s="308"/>
      <c r="E27" s="309"/>
      <c r="F27" s="120"/>
    </row>
    <row r="28" spans="1:8" ht="15.75">
      <c r="A28" s="299">
        <v>4</v>
      </c>
      <c r="B28" s="299" t="s">
        <v>53</v>
      </c>
      <c r="C28" s="114"/>
      <c r="D28" s="308"/>
      <c r="E28" s="309"/>
      <c r="F28" s="120"/>
    </row>
    <row r="29" spans="1:8" ht="15">
      <c r="A29" s="97"/>
      <c r="B29" s="97" t="s">
        <v>54</v>
      </c>
      <c r="C29" s="114" t="s">
        <v>55</v>
      </c>
      <c r="D29" s="300">
        <v>6</v>
      </c>
      <c r="E29" s="301">
        <v>120</v>
      </c>
      <c r="F29" s="121">
        <f>PRODUCT(D29:E29)</f>
        <v>720</v>
      </c>
    </row>
    <row r="30" spans="1:8" ht="15">
      <c r="A30" s="97"/>
      <c r="B30" s="97" t="s">
        <v>56</v>
      </c>
      <c r="C30" s="114" t="s">
        <v>55</v>
      </c>
      <c r="D30" s="300">
        <v>12</v>
      </c>
      <c r="E30" s="301">
        <v>20</v>
      </c>
      <c r="F30" s="121">
        <f>PRODUCT(D30:E30)</f>
        <v>240</v>
      </c>
    </row>
    <row r="31" spans="1:8" ht="15.75">
      <c r="A31" s="97"/>
      <c r="B31" s="97"/>
      <c r="C31" s="114"/>
      <c r="D31" s="334" t="s">
        <v>57</v>
      </c>
      <c r="E31" s="335"/>
      <c r="F31" s="120">
        <f>SUM(F29:F30)</f>
        <v>960</v>
      </c>
    </row>
    <row r="32" spans="1:8" ht="15">
      <c r="A32" s="97"/>
      <c r="B32" s="97"/>
      <c r="C32" s="114"/>
      <c r="D32" s="300"/>
      <c r="E32" s="301"/>
      <c r="F32" s="121"/>
    </row>
    <row r="33" spans="1:6">
      <c r="A33" s="95"/>
      <c r="B33" s="95"/>
      <c r="C33" s="105"/>
      <c r="D33" s="100"/>
      <c r="E33" s="100"/>
      <c r="F33" s="122"/>
    </row>
    <row r="34" spans="1:6" ht="15.75">
      <c r="A34" s="95"/>
      <c r="B34" s="95"/>
      <c r="C34" s="105"/>
      <c r="D34" s="334" t="s">
        <v>58</v>
      </c>
      <c r="E34" s="335"/>
      <c r="F34" s="123">
        <f>SUM(F15,F21,F26,F31)</f>
        <v>3727.0233333333335</v>
      </c>
    </row>
    <row r="35" spans="1:6">
      <c r="A35" s="106"/>
      <c r="B35" s="106"/>
      <c r="C35" s="106"/>
      <c r="D35" s="115"/>
      <c r="E35" s="115"/>
      <c r="F35" s="115"/>
    </row>
    <row r="36" spans="1:6">
      <c r="A36" s="307">
        <v>5</v>
      </c>
      <c r="B36" s="307" t="s">
        <v>59</v>
      </c>
      <c r="C36" s="100"/>
      <c r="D36" s="100"/>
      <c r="E36" s="100"/>
      <c r="F36" s="104">
        <f>5%*F34</f>
        <v>186.3511666666667</v>
      </c>
    </row>
    <row r="37" spans="1:6" ht="15.75">
      <c r="A37" s="115"/>
      <c r="B37" s="115"/>
      <c r="C37" s="116"/>
      <c r="D37" s="334" t="s">
        <v>60</v>
      </c>
      <c r="E37" s="335"/>
      <c r="F37" s="123">
        <f>SUM(F15,F21,F26,F36,F31)</f>
        <v>3913.3745000000004</v>
      </c>
    </row>
    <row r="38" spans="1:6">
      <c r="A38" s="307">
        <v>5</v>
      </c>
      <c r="B38" s="307" t="s">
        <v>61</v>
      </c>
      <c r="C38" s="307"/>
      <c r="D38" s="307"/>
      <c r="E38" s="307"/>
      <c r="F38" s="124">
        <f>30%*F37</f>
        <v>1174.01235</v>
      </c>
    </row>
    <row r="39" spans="1:6">
      <c r="A39" s="307">
        <v>6</v>
      </c>
      <c r="B39" s="307" t="s">
        <v>62</v>
      </c>
      <c r="C39" s="307"/>
      <c r="D39" s="307"/>
      <c r="E39" s="307"/>
      <c r="F39" s="124">
        <f>SUM(F37+F38)</f>
        <v>5087.3868500000008</v>
      </c>
    </row>
    <row r="40" spans="1:6" ht="16.5" thickBot="1">
      <c r="A40" s="93"/>
      <c r="B40" s="93"/>
      <c r="C40" s="93"/>
      <c r="D40" s="93"/>
      <c r="E40" s="93"/>
      <c r="F40" s="126"/>
    </row>
    <row r="41" spans="1:6" ht="16.5" thickBot="1">
      <c r="A41" s="93"/>
      <c r="B41" s="341" t="s">
        <v>63</v>
      </c>
      <c r="C41" s="342"/>
      <c r="D41" s="342"/>
      <c r="E41" s="343"/>
      <c r="F41" s="305">
        <f>F39/13</f>
        <v>391.33745000000005</v>
      </c>
    </row>
    <row r="42" spans="1:6" ht="15.75">
      <c r="A42" s="93"/>
      <c r="B42" s="93"/>
      <c r="C42" s="93"/>
      <c r="D42" s="93"/>
      <c r="E42" s="93"/>
      <c r="F42" s="126"/>
    </row>
    <row r="43" spans="1:6" ht="18">
      <c r="A43" s="340"/>
      <c r="B43" s="340"/>
      <c r="C43" s="340"/>
      <c r="D43" s="340"/>
      <c r="E43" s="340"/>
      <c r="F43" s="340"/>
    </row>
    <row r="44" spans="1:6" ht="15.75">
      <c r="A44" s="339"/>
      <c r="B44" s="339"/>
      <c r="C44" s="339"/>
      <c r="D44" s="310"/>
      <c r="E44" s="310"/>
      <c r="F44" s="126"/>
    </row>
    <row r="45" spans="1:6" ht="15">
      <c r="A45" s="149"/>
      <c r="B45" s="336"/>
      <c r="C45" s="336"/>
      <c r="D45" s="94"/>
      <c r="E45" s="150"/>
      <c r="F45" s="127"/>
    </row>
    <row r="46" spans="1:6" ht="15">
      <c r="A46" s="149"/>
      <c r="B46" s="336"/>
      <c r="C46" s="336"/>
      <c r="D46" s="94"/>
      <c r="E46" s="150"/>
      <c r="F46" s="127"/>
    </row>
    <row r="47" spans="1:6" ht="15">
      <c r="A47" s="149"/>
      <c r="B47" s="336"/>
      <c r="C47" s="336"/>
      <c r="D47" s="94"/>
      <c r="E47" s="150"/>
      <c r="F47" s="127"/>
    </row>
    <row r="48" spans="1:6" ht="15">
      <c r="A48" s="149"/>
      <c r="B48" s="336"/>
      <c r="C48" s="336"/>
      <c r="D48" s="94"/>
      <c r="E48" s="150"/>
      <c r="F48" s="127"/>
    </row>
    <row r="49" spans="1:6" ht="15">
      <c r="A49" s="149"/>
      <c r="B49" s="336"/>
      <c r="C49" s="336"/>
      <c r="D49" s="94"/>
      <c r="E49" s="150"/>
      <c r="F49" s="127"/>
    </row>
    <row r="50" spans="1:6" ht="15">
      <c r="A50" s="149"/>
      <c r="B50" s="336"/>
      <c r="C50" s="336"/>
      <c r="D50" s="94"/>
      <c r="E50" s="150"/>
      <c r="F50" s="127"/>
    </row>
    <row r="51" spans="1:6" ht="15">
      <c r="A51" s="149"/>
      <c r="B51" s="336"/>
      <c r="C51" s="336"/>
      <c r="D51" s="94"/>
      <c r="E51" s="150"/>
      <c r="F51" s="127"/>
    </row>
    <row r="52" spans="1:6" ht="15">
      <c r="A52" s="149"/>
      <c r="B52" s="336"/>
      <c r="C52" s="336"/>
      <c r="D52" s="94"/>
      <c r="E52" s="150"/>
      <c r="F52" s="127"/>
    </row>
    <row r="53" spans="1:6" s="129" customFormat="1" ht="24" customHeight="1">
      <c r="A53" s="151"/>
      <c r="B53" s="337"/>
      <c r="C53" s="337"/>
      <c r="D53" s="152"/>
      <c r="E53" s="153"/>
      <c r="F53" s="128"/>
    </row>
    <row r="54" spans="1:6" ht="24" customHeight="1">
      <c r="A54" s="149"/>
      <c r="B54" s="337"/>
      <c r="C54" s="337"/>
      <c r="D54" s="152"/>
      <c r="E54" s="150"/>
      <c r="F54" s="127"/>
    </row>
    <row r="55" spans="1:6" ht="24" customHeight="1">
      <c r="A55" s="149"/>
      <c r="B55" s="337"/>
      <c r="C55" s="337"/>
      <c r="D55" s="152"/>
      <c r="E55" s="150"/>
      <c r="F55" s="127"/>
    </row>
    <row r="56" spans="1:6" ht="24" customHeight="1">
      <c r="A56" s="149"/>
      <c r="B56" s="337"/>
      <c r="C56" s="337"/>
      <c r="D56" s="152"/>
      <c r="E56" s="92"/>
      <c r="F56" s="92"/>
    </row>
    <row r="57" spans="1:6" ht="24" customHeight="1">
      <c r="A57" s="149"/>
      <c r="B57" s="338"/>
      <c r="C57" s="338"/>
      <c r="D57" s="152"/>
      <c r="E57" s="92"/>
      <c r="F57" s="92"/>
    </row>
    <row r="58" spans="1:6" ht="24" customHeight="1">
      <c r="A58" s="149"/>
      <c r="B58" s="338"/>
      <c r="C58" s="338"/>
      <c r="D58" s="152"/>
      <c r="E58" s="92"/>
      <c r="F58" s="92"/>
    </row>
    <row r="59" spans="1:6" ht="24" customHeight="1">
      <c r="A59" s="149"/>
      <c r="B59" s="338"/>
      <c r="C59" s="338"/>
      <c r="D59" s="94"/>
      <c r="E59" s="92"/>
      <c r="F59" s="92"/>
    </row>
    <row r="60" spans="1:6">
      <c r="A60" s="311"/>
      <c r="B60" s="336"/>
      <c r="C60" s="336"/>
      <c r="D60" s="94"/>
      <c r="E60" s="92"/>
      <c r="F60" s="92"/>
    </row>
    <row r="61" spans="1:6">
      <c r="A61" s="311"/>
      <c r="B61" s="336"/>
      <c r="C61" s="336"/>
      <c r="D61" s="94"/>
      <c r="E61" s="92"/>
      <c r="F61" s="92"/>
    </row>
    <row r="62" spans="1:6">
      <c r="A62" s="311"/>
      <c r="B62" s="336"/>
      <c r="C62" s="336"/>
      <c r="D62" s="94"/>
      <c r="E62" s="92"/>
      <c r="F62" s="92"/>
    </row>
    <row r="63" spans="1:6">
      <c r="A63" s="311"/>
      <c r="B63" s="336"/>
      <c r="C63" s="336"/>
      <c r="D63" s="94"/>
      <c r="E63" s="92"/>
      <c r="F63" s="92"/>
    </row>
    <row r="64" spans="1:6">
      <c r="A64" s="93"/>
      <c r="B64" s="311"/>
      <c r="C64" s="94"/>
      <c r="D64" s="311"/>
      <c r="E64" s="92"/>
      <c r="F64" s="92"/>
    </row>
    <row r="65" spans="1:7">
      <c r="A65" s="93"/>
      <c r="B65" s="311"/>
      <c r="C65" s="94"/>
      <c r="D65" s="311"/>
      <c r="E65" s="92"/>
      <c r="F65" s="92"/>
    </row>
    <row r="66" spans="1:7">
      <c r="A66" s="93"/>
      <c r="B66" s="311"/>
      <c r="C66" s="94"/>
      <c r="D66" s="311"/>
      <c r="E66" s="92"/>
      <c r="F66" s="92"/>
    </row>
    <row r="67" spans="1:7">
      <c r="A67" s="93"/>
      <c r="B67" s="311"/>
      <c r="C67" s="94"/>
      <c r="D67" s="311"/>
      <c r="E67" s="92"/>
      <c r="F67" s="92"/>
    </row>
    <row r="68" spans="1:7">
      <c r="A68" s="93"/>
      <c r="B68" s="311"/>
      <c r="C68" s="94"/>
      <c r="D68" s="311"/>
      <c r="E68" s="92"/>
      <c r="F68" s="92"/>
    </row>
    <row r="69" spans="1:7">
      <c r="A69" s="311"/>
      <c r="B69" s="311"/>
      <c r="C69" s="311"/>
      <c r="D69" s="311"/>
      <c r="E69" s="311"/>
      <c r="F69" s="311"/>
    </row>
    <row r="70" spans="1:7">
      <c r="A70" s="311"/>
      <c r="B70" s="311"/>
      <c r="C70" s="311"/>
      <c r="D70" s="311"/>
      <c r="E70" s="311"/>
      <c r="F70" s="311"/>
    </row>
    <row r="71" spans="1:7">
      <c r="A71" s="311"/>
      <c r="B71" s="311"/>
      <c r="C71" s="311"/>
      <c r="D71" s="311"/>
      <c r="E71" s="311"/>
      <c r="F71" s="311"/>
    </row>
    <row r="72" spans="1:7">
      <c r="A72" s="311"/>
      <c r="B72" s="311"/>
      <c r="C72" s="311"/>
      <c r="D72" s="311"/>
      <c r="E72" s="311"/>
      <c r="F72" s="311"/>
    </row>
    <row r="73" spans="1:7">
      <c r="A73" s="311"/>
      <c r="B73" s="311"/>
      <c r="C73" s="311"/>
      <c r="D73" s="311"/>
      <c r="E73" s="311"/>
      <c r="F73" s="311"/>
    </row>
    <row r="76" spans="1:7">
      <c r="F76" s="91"/>
      <c r="G76" s="88"/>
    </row>
    <row r="77" spans="1:7">
      <c r="F77" s="91"/>
      <c r="G77" s="88" t="e">
        <f>#REF!*#REF!</f>
        <v>#REF!</v>
      </c>
    </row>
    <row r="78" spans="1:7">
      <c r="F78" s="91"/>
      <c r="G78" s="88" t="e">
        <f>#REF!*#REF!</f>
        <v>#REF!</v>
      </c>
    </row>
    <row r="79" spans="1:7">
      <c r="F79" s="91"/>
      <c r="G79" s="88"/>
    </row>
    <row r="80" spans="1:7">
      <c r="F80" s="91"/>
      <c r="G80" s="135" t="e">
        <f>SUM(G77:G79)</f>
        <v>#REF!</v>
      </c>
    </row>
    <row r="81" spans="6:7">
      <c r="F81" s="91"/>
      <c r="G81" s="88"/>
    </row>
    <row r="82" spans="6:7">
      <c r="F82" s="91"/>
      <c r="G82" s="88"/>
    </row>
    <row r="83" spans="6:7">
      <c r="F83" s="91"/>
      <c r="G83" s="88"/>
    </row>
    <row r="84" spans="6:7">
      <c r="F84" s="91"/>
      <c r="G84" s="88"/>
    </row>
    <row r="85" spans="6:7">
      <c r="F85" s="91"/>
      <c r="G85" s="88"/>
    </row>
    <row r="86" spans="6:7">
      <c r="F86" s="91"/>
      <c r="G86" s="88"/>
    </row>
    <row r="87" spans="6:7">
      <c r="F87" s="91"/>
      <c r="G87" s="88"/>
    </row>
    <row r="88" spans="6:7">
      <c r="F88" s="91"/>
      <c r="G88" s="88"/>
    </row>
    <row r="89" spans="6:7">
      <c r="F89" s="91"/>
      <c r="G89" s="88" t="e">
        <f>#REF!*#REF!</f>
        <v>#REF!</v>
      </c>
    </row>
    <row r="90" spans="6:7">
      <c r="F90" s="91"/>
      <c r="G90" s="88" t="e">
        <f>#REF!*#REF!</f>
        <v>#REF!</v>
      </c>
    </row>
    <row r="91" spans="6:7">
      <c r="F91" s="91"/>
      <c r="G91" s="88" t="e">
        <f>#REF!*#REF!</f>
        <v>#REF!</v>
      </c>
    </row>
    <row r="92" spans="6:7">
      <c r="F92" s="91"/>
      <c r="G92" s="135" t="e">
        <f>SUM(G89:G91)</f>
        <v>#REF!</v>
      </c>
    </row>
    <row r="93" spans="6:7">
      <c r="F93" s="91"/>
      <c r="G93" s="88"/>
    </row>
    <row r="94" spans="6:7">
      <c r="F94" s="91"/>
      <c r="G94" s="88" t="e">
        <f>#REF!*#REF!</f>
        <v>#REF!</v>
      </c>
    </row>
    <row r="95" spans="6:7">
      <c r="F95" s="91"/>
      <c r="G95" s="88" t="e">
        <f>0.8*G94</f>
        <v>#REF!</v>
      </c>
    </row>
    <row r="96" spans="6:7">
      <c r="F96" s="91"/>
      <c r="G96" s="136" t="e">
        <f>SUM(G94:G95)</f>
        <v>#REF!</v>
      </c>
    </row>
    <row r="97" spans="6:7">
      <c r="F97" s="91"/>
    </row>
    <row r="98" spans="6:7">
      <c r="F98" s="91"/>
      <c r="G98" s="88" t="e">
        <f>#REF!*#REF!</f>
        <v>#REF!</v>
      </c>
    </row>
    <row r="99" spans="6:7">
      <c r="F99" s="91"/>
      <c r="G99" s="136" t="e">
        <f>SUM(G98)</f>
        <v>#REF!</v>
      </c>
    </row>
    <row r="100" spans="6:7">
      <c r="F100" s="91"/>
    </row>
    <row r="101" spans="6:7">
      <c r="F101" s="91"/>
      <c r="G101" s="136" t="e">
        <f>SUM(G92+G96+G99)</f>
        <v>#REF!</v>
      </c>
    </row>
    <row r="102" spans="6:7">
      <c r="F102" s="91"/>
      <c r="G102" s="136" t="e">
        <f>G101*0.35</f>
        <v>#REF!</v>
      </c>
    </row>
    <row r="103" spans="6:7">
      <c r="F103" s="91"/>
      <c r="G103" s="136" t="e">
        <f>SUM(G101:G102)</f>
        <v>#REF!</v>
      </c>
    </row>
    <row r="104" spans="6:7">
      <c r="F104" s="91"/>
    </row>
    <row r="105" spans="6:7">
      <c r="F105" s="91"/>
    </row>
    <row r="106" spans="6:7">
      <c r="F106" s="91"/>
    </row>
    <row r="107" spans="6:7">
      <c r="F107" s="91"/>
    </row>
    <row r="108" spans="6:7">
      <c r="F108" s="91"/>
    </row>
    <row r="109" spans="6:7">
      <c r="F109" s="91"/>
      <c r="G109" s="136" t="e">
        <f>G103*5</f>
        <v>#REF!</v>
      </c>
    </row>
    <row r="110" spans="6:7">
      <c r="F110" s="91"/>
    </row>
    <row r="111" spans="6:7">
      <c r="F111" s="91"/>
    </row>
    <row r="112" spans="6:7">
      <c r="F112" s="91"/>
    </row>
    <row r="113" spans="1:7">
      <c r="F113" s="91"/>
      <c r="G113" s="135" t="e">
        <f>#REF!*#REF!</f>
        <v>#REF!</v>
      </c>
    </row>
    <row r="114" spans="1:7">
      <c r="F114" s="91"/>
      <c r="G114" s="135" t="e">
        <f>#REF!*#REF!</f>
        <v>#REF!</v>
      </c>
    </row>
    <row r="115" spans="1:7">
      <c r="F115" s="91"/>
      <c r="G115" s="135" t="e">
        <f>SUM(G113:G114)</f>
        <v>#REF!</v>
      </c>
    </row>
    <row r="116" spans="1:7">
      <c r="F116" s="91"/>
      <c r="G116" s="88"/>
    </row>
    <row r="117" spans="1:7">
      <c r="F117" s="91"/>
      <c r="G117" s="135" t="e">
        <f>SUM(G109+G115)</f>
        <v>#REF!</v>
      </c>
    </row>
    <row r="118" spans="1:7">
      <c r="F118" s="91"/>
      <c r="G118" s="88"/>
    </row>
    <row r="119" spans="1:7">
      <c r="A119" s="316"/>
      <c r="B119" s="316"/>
      <c r="D119" s="90"/>
      <c r="E119" s="91"/>
      <c r="F119" s="91"/>
      <c r="G119" s="88"/>
    </row>
    <row r="120" spans="1:7">
      <c r="A120" s="316"/>
      <c r="B120" s="316"/>
      <c r="D120" s="90"/>
      <c r="E120" s="91"/>
      <c r="F120" s="91"/>
      <c r="G120" s="135" t="e">
        <f>SUM(#REF!+G117)</f>
        <v>#REF!</v>
      </c>
    </row>
    <row r="121" spans="1:7">
      <c r="A121" s="316"/>
      <c r="B121" s="316"/>
      <c r="D121" s="90"/>
      <c r="E121" s="91"/>
      <c r="F121" s="91"/>
      <c r="G121" s="135" t="e">
        <f>#REF!*#REF!</f>
        <v>#REF!</v>
      </c>
    </row>
    <row r="122" spans="1:7">
      <c r="A122" s="316"/>
      <c r="B122" s="316"/>
      <c r="D122" s="90"/>
      <c r="E122" s="91"/>
      <c r="F122" s="91"/>
      <c r="G122" s="136" t="e">
        <f>SUM(G120:G121)</f>
        <v>#REF!</v>
      </c>
    </row>
    <row r="123" spans="1:7">
      <c r="A123" s="316"/>
      <c r="B123" s="316"/>
      <c r="D123" s="90"/>
      <c r="E123" s="91"/>
      <c r="F123" s="91"/>
    </row>
    <row r="124" spans="1:7">
      <c r="A124" s="316"/>
      <c r="B124" s="316"/>
      <c r="D124" s="90"/>
      <c r="E124" s="91"/>
      <c r="F124" s="91"/>
    </row>
    <row r="125" spans="1:7">
      <c r="A125" s="316"/>
      <c r="B125" s="316"/>
      <c r="D125" s="90"/>
      <c r="E125" s="91"/>
      <c r="F125" s="91"/>
    </row>
    <row r="126" spans="1:7">
      <c r="A126" s="316"/>
      <c r="B126" s="316"/>
      <c r="C126" s="11"/>
      <c r="D126" s="90"/>
      <c r="E126" s="91"/>
      <c r="F126" s="91"/>
    </row>
    <row r="127" spans="1:7">
      <c r="A127" s="316"/>
      <c r="B127" s="316"/>
      <c r="C127" s="11"/>
      <c r="D127" s="134"/>
      <c r="E127" s="91"/>
      <c r="F127" s="91"/>
    </row>
    <row r="128" spans="1:7">
      <c r="A128" s="316"/>
      <c r="B128" s="316"/>
      <c r="C128" s="88"/>
      <c r="D128" s="90"/>
      <c r="E128" s="91"/>
      <c r="F128" s="91"/>
    </row>
    <row r="129" spans="1:6">
      <c r="A129" s="316"/>
      <c r="B129" s="316"/>
      <c r="C129" s="88"/>
      <c r="D129" s="90"/>
      <c r="E129" s="91"/>
      <c r="F129" s="91"/>
    </row>
    <row r="130" spans="1:6">
      <c r="A130" s="316"/>
      <c r="B130" s="316"/>
      <c r="C130" s="88"/>
      <c r="D130" s="90"/>
      <c r="E130" s="91"/>
      <c r="F130" s="91"/>
    </row>
    <row r="131" spans="1:6">
      <c r="A131" s="316"/>
      <c r="B131" s="316"/>
      <c r="D131" s="90"/>
      <c r="E131" s="91"/>
      <c r="F131" s="91"/>
    </row>
    <row r="132" spans="1:6">
      <c r="A132" s="316"/>
      <c r="B132" s="316"/>
      <c r="D132" s="90"/>
      <c r="E132" s="91"/>
      <c r="F132" s="91"/>
    </row>
    <row r="133" spans="1:6">
      <c r="A133" s="316"/>
      <c r="B133" s="316"/>
      <c r="D133" s="90"/>
      <c r="E133" s="91"/>
      <c r="F133" s="91"/>
    </row>
    <row r="134" spans="1:6">
      <c r="A134" s="316"/>
      <c r="B134" s="316"/>
      <c r="D134" s="90"/>
      <c r="E134" s="91"/>
      <c r="F134" s="91"/>
    </row>
    <row r="135" spans="1:6">
      <c r="A135" s="316"/>
      <c r="B135" s="316"/>
      <c r="D135" s="90"/>
      <c r="E135" s="91"/>
      <c r="F135" s="91"/>
    </row>
    <row r="136" spans="1:6">
      <c r="A136" s="316"/>
      <c r="B136" s="316"/>
      <c r="D136" s="90"/>
      <c r="E136" s="91"/>
      <c r="F136" s="91"/>
    </row>
    <row r="137" spans="1:6">
      <c r="A137" s="316"/>
      <c r="B137" s="316"/>
      <c r="D137" s="90"/>
      <c r="E137" s="91"/>
      <c r="F137" s="91"/>
    </row>
    <row r="138" spans="1:6">
      <c r="A138" s="316"/>
      <c r="B138" s="316"/>
      <c r="D138" s="90"/>
      <c r="E138" s="91"/>
      <c r="F138" s="91"/>
    </row>
    <row r="139" spans="1:6">
      <c r="A139" s="316"/>
      <c r="B139" s="316"/>
      <c r="D139" s="90"/>
      <c r="E139" s="91"/>
      <c r="F139" s="91"/>
    </row>
    <row r="140" spans="1:6">
      <c r="A140" s="316"/>
      <c r="B140" s="316"/>
      <c r="D140" s="90"/>
      <c r="E140" s="91"/>
      <c r="F140" s="91"/>
    </row>
    <row r="141" spans="1:6">
      <c r="A141" s="316"/>
      <c r="B141" s="316"/>
      <c r="D141" s="90"/>
      <c r="E141" s="91"/>
      <c r="F141" s="91"/>
    </row>
    <row r="142" spans="1:6">
      <c r="A142" s="316"/>
      <c r="B142" s="316"/>
      <c r="D142" s="90"/>
      <c r="E142" s="91"/>
      <c r="F142" s="91"/>
    </row>
    <row r="143" spans="1:6">
      <c r="A143" s="316"/>
      <c r="B143" s="316"/>
      <c r="D143" s="90"/>
      <c r="E143" s="91"/>
      <c r="F143" s="91"/>
    </row>
    <row r="144" spans="1:6">
      <c r="A144" s="316"/>
      <c r="B144" s="316"/>
      <c r="D144" s="90"/>
      <c r="E144" s="91"/>
      <c r="F144" s="91"/>
    </row>
    <row r="145" spans="1:6">
      <c r="A145" s="316"/>
      <c r="B145" s="316"/>
      <c r="D145" s="90"/>
      <c r="E145" s="91"/>
      <c r="F145" s="91"/>
    </row>
    <row r="146" spans="1:6">
      <c r="A146" s="316"/>
      <c r="B146" s="316"/>
      <c r="D146" s="90"/>
      <c r="E146" s="91"/>
      <c r="F146" s="91"/>
    </row>
    <row r="147" spans="1:6">
      <c r="A147" s="316"/>
      <c r="B147" s="316"/>
      <c r="D147" s="90"/>
      <c r="E147" s="91"/>
      <c r="F147" s="91"/>
    </row>
    <row r="148" spans="1:6">
      <c r="A148" s="316"/>
      <c r="B148" s="316"/>
      <c r="D148" s="90"/>
      <c r="E148" s="91"/>
      <c r="F148" s="91"/>
    </row>
    <row r="149" spans="1:6">
      <c r="A149" s="316"/>
      <c r="B149" s="316"/>
      <c r="D149" s="90"/>
      <c r="E149" s="91"/>
      <c r="F149" s="91"/>
    </row>
    <row r="150" spans="1:6">
      <c r="A150" s="316"/>
      <c r="B150" s="316"/>
      <c r="D150" s="90"/>
      <c r="E150" s="91"/>
      <c r="F150" s="91"/>
    </row>
    <row r="151" spans="1:6">
      <c r="A151" s="316"/>
      <c r="B151" s="316"/>
      <c r="D151" s="90"/>
      <c r="E151" s="91"/>
      <c r="F151" s="91"/>
    </row>
    <row r="152" spans="1:6">
      <c r="A152" s="316"/>
      <c r="B152" s="316"/>
      <c r="D152" s="90"/>
      <c r="E152" s="91"/>
      <c r="F152" s="91"/>
    </row>
    <row r="153" spans="1:6">
      <c r="A153" s="316"/>
      <c r="B153" s="316"/>
      <c r="D153" s="90"/>
      <c r="E153" s="91"/>
      <c r="F153" s="91"/>
    </row>
    <row r="154" spans="1:6">
      <c r="A154" s="316"/>
      <c r="B154" s="316"/>
      <c r="D154" s="90"/>
      <c r="E154" s="91"/>
      <c r="F154" s="91"/>
    </row>
    <row r="155" spans="1:6">
      <c r="A155" s="316"/>
      <c r="B155" s="316"/>
      <c r="D155" s="90"/>
      <c r="E155" s="91"/>
      <c r="F155" s="91"/>
    </row>
    <row r="156" spans="1:6">
      <c r="A156" s="316"/>
      <c r="B156" s="316"/>
      <c r="D156" s="90"/>
      <c r="E156" s="91"/>
      <c r="F156" s="91"/>
    </row>
    <row r="157" spans="1:6">
      <c r="A157" s="316"/>
      <c r="B157" s="316"/>
      <c r="D157" s="90"/>
      <c r="E157" s="91"/>
      <c r="F157" s="91"/>
    </row>
    <row r="158" spans="1:6">
      <c r="A158" s="316"/>
      <c r="B158" s="316"/>
      <c r="D158" s="90"/>
      <c r="E158" s="91"/>
      <c r="F158" s="91"/>
    </row>
    <row r="159" spans="1:6">
      <c r="A159" s="316"/>
      <c r="B159" s="316"/>
      <c r="D159" s="90"/>
      <c r="E159" s="91"/>
      <c r="F159" s="91"/>
    </row>
    <row r="160" spans="1:6">
      <c r="A160" s="316"/>
      <c r="B160" s="316"/>
      <c r="D160" s="90"/>
      <c r="E160" s="91"/>
      <c r="F160" s="91"/>
    </row>
    <row r="161" spans="1:6">
      <c r="A161" s="316"/>
      <c r="B161" s="316"/>
      <c r="D161" s="90"/>
      <c r="E161" s="91"/>
      <c r="F161" s="91"/>
    </row>
    <row r="162" spans="1:6">
      <c r="A162" s="316"/>
      <c r="B162" s="316"/>
      <c r="D162" s="90"/>
      <c r="E162" s="91"/>
      <c r="F162" s="91"/>
    </row>
    <row r="163" spans="1:6">
      <c r="A163" s="316"/>
      <c r="B163" s="316"/>
      <c r="D163" s="90"/>
      <c r="E163" s="91"/>
      <c r="F163" s="91"/>
    </row>
    <row r="164" spans="1:6">
      <c r="A164" s="316"/>
      <c r="B164" s="316"/>
      <c r="D164" s="90"/>
      <c r="E164" s="91"/>
      <c r="F164" s="91"/>
    </row>
    <row r="165" spans="1:6">
      <c r="A165" s="316"/>
      <c r="B165" s="316"/>
      <c r="D165" s="90"/>
      <c r="E165" s="91"/>
      <c r="F165" s="91"/>
    </row>
    <row r="166" spans="1:6">
      <c r="A166" s="316"/>
      <c r="B166" s="316"/>
      <c r="D166" s="90"/>
      <c r="E166" s="91"/>
      <c r="F166" s="91"/>
    </row>
    <row r="167" spans="1:6">
      <c r="A167" s="316"/>
      <c r="B167" s="316"/>
      <c r="D167" s="90"/>
      <c r="E167" s="91"/>
      <c r="F167" s="91"/>
    </row>
    <row r="168" spans="1:6">
      <c r="A168" s="316"/>
      <c r="B168" s="316"/>
      <c r="D168" s="90"/>
      <c r="E168" s="91"/>
      <c r="F168" s="91"/>
    </row>
    <row r="169" spans="1:6">
      <c r="A169" s="316"/>
      <c r="B169" s="316"/>
      <c r="D169" s="90"/>
      <c r="E169" s="91"/>
      <c r="F169" s="91"/>
    </row>
    <row r="170" spans="1:6">
      <c r="A170" s="316"/>
      <c r="B170" s="316"/>
      <c r="D170" s="90"/>
      <c r="E170" s="91"/>
      <c r="F170" s="91"/>
    </row>
    <row r="171" spans="1:6">
      <c r="A171" s="316"/>
      <c r="B171" s="316"/>
      <c r="D171" s="90"/>
      <c r="E171" s="91"/>
      <c r="F171" s="91"/>
    </row>
    <row r="172" spans="1:6">
      <c r="A172" s="316"/>
      <c r="B172" s="316"/>
      <c r="D172" s="90"/>
      <c r="E172" s="91"/>
      <c r="F172" s="91"/>
    </row>
    <row r="173" spans="1:6">
      <c r="A173" s="316"/>
      <c r="B173" s="316"/>
      <c r="D173" s="90"/>
      <c r="E173" s="91"/>
      <c r="F173" s="91"/>
    </row>
    <row r="174" spans="1:6">
      <c r="A174" s="316"/>
      <c r="B174" s="316"/>
      <c r="D174" s="90"/>
      <c r="E174" s="91"/>
      <c r="F174" s="91"/>
    </row>
    <row r="175" spans="1:6">
      <c r="A175" s="316"/>
      <c r="B175" s="316"/>
      <c r="D175" s="90"/>
      <c r="E175" s="91"/>
      <c r="F175" s="91"/>
    </row>
    <row r="176" spans="1:6">
      <c r="A176" s="316"/>
      <c r="B176" s="316"/>
      <c r="D176" s="90"/>
      <c r="E176" s="91"/>
      <c r="F176" s="91"/>
    </row>
    <row r="177" spans="1:6">
      <c r="A177" s="316"/>
      <c r="B177" s="316"/>
      <c r="D177" s="90"/>
      <c r="E177" s="91"/>
      <c r="F177" s="91"/>
    </row>
    <row r="178" spans="1:6">
      <c r="A178" s="316"/>
      <c r="B178" s="316"/>
      <c r="D178" s="90"/>
      <c r="E178" s="91"/>
      <c r="F178" s="91"/>
    </row>
    <row r="179" spans="1:6">
      <c r="A179" s="316"/>
      <c r="B179" s="316"/>
      <c r="D179" s="90"/>
      <c r="E179" s="91"/>
      <c r="F179" s="91"/>
    </row>
    <row r="180" spans="1:6">
      <c r="A180" s="316"/>
      <c r="B180" s="316"/>
      <c r="D180" s="90"/>
      <c r="E180" s="91"/>
      <c r="F180" s="91"/>
    </row>
    <row r="181" spans="1:6">
      <c r="A181" s="316"/>
      <c r="B181" s="316"/>
      <c r="D181" s="90"/>
      <c r="E181" s="91"/>
      <c r="F181" s="91"/>
    </row>
    <row r="182" spans="1:6">
      <c r="A182" s="316"/>
      <c r="B182" s="316"/>
      <c r="D182" s="90"/>
      <c r="E182" s="91"/>
      <c r="F182" s="91"/>
    </row>
    <row r="183" spans="1:6">
      <c r="A183" s="316"/>
      <c r="B183" s="316"/>
      <c r="D183" s="90"/>
      <c r="E183" s="91"/>
      <c r="F183" s="91"/>
    </row>
    <row r="184" spans="1:6">
      <c r="A184" s="316"/>
      <c r="B184" s="316"/>
      <c r="D184" s="90"/>
      <c r="E184" s="91"/>
      <c r="F184" s="91"/>
    </row>
    <row r="185" spans="1:6">
      <c r="A185" s="316"/>
      <c r="B185" s="316"/>
      <c r="D185" s="90"/>
      <c r="E185" s="91"/>
      <c r="F185" s="91"/>
    </row>
    <row r="186" spans="1:6">
      <c r="A186" s="316"/>
      <c r="B186" s="316"/>
      <c r="D186" s="90"/>
      <c r="E186" s="91"/>
      <c r="F186" s="91"/>
    </row>
    <row r="187" spans="1:6">
      <c r="A187" s="316"/>
      <c r="B187" s="316"/>
      <c r="D187" s="90"/>
      <c r="E187" s="91"/>
      <c r="F187" s="91"/>
    </row>
    <row r="188" spans="1:6">
      <c r="A188" s="316"/>
      <c r="B188" s="316"/>
      <c r="D188" s="90"/>
      <c r="E188" s="91"/>
      <c r="F188" s="91"/>
    </row>
    <row r="189" spans="1:6">
      <c r="A189" s="316"/>
      <c r="B189" s="316"/>
      <c r="D189" s="90"/>
      <c r="E189" s="91"/>
      <c r="F189" s="91"/>
    </row>
    <row r="190" spans="1:6">
      <c r="A190" s="316"/>
      <c r="B190" s="316"/>
      <c r="D190" s="90"/>
      <c r="E190" s="91"/>
      <c r="F190" s="91"/>
    </row>
    <row r="191" spans="1:6">
      <c r="A191" s="316"/>
      <c r="B191" s="316"/>
      <c r="D191" s="90"/>
      <c r="E191" s="91"/>
      <c r="F191" s="91"/>
    </row>
    <row r="192" spans="1:6">
      <c r="A192" s="316"/>
      <c r="B192" s="316"/>
      <c r="D192" s="90"/>
      <c r="E192" s="91"/>
      <c r="F192" s="91"/>
    </row>
    <row r="193" spans="1:6">
      <c r="A193" s="316"/>
      <c r="B193" s="316"/>
      <c r="D193" s="90"/>
      <c r="E193" s="91"/>
      <c r="F193" s="91"/>
    </row>
    <row r="194" spans="1:6">
      <c r="A194" s="316"/>
      <c r="B194" s="316"/>
      <c r="D194" s="90"/>
      <c r="E194" s="91"/>
      <c r="F194" s="91"/>
    </row>
    <row r="195" spans="1:6">
      <c r="A195" s="316"/>
      <c r="B195" s="316"/>
      <c r="D195" s="90"/>
      <c r="E195" s="91"/>
      <c r="F195" s="91"/>
    </row>
    <row r="196" spans="1:6">
      <c r="A196" s="316"/>
      <c r="B196" s="316"/>
      <c r="D196" s="90"/>
      <c r="E196" s="91"/>
      <c r="F196" s="91"/>
    </row>
    <row r="197" spans="1:6">
      <c r="A197" s="316"/>
      <c r="B197" s="316"/>
      <c r="D197" s="90"/>
      <c r="E197" s="91"/>
      <c r="F197" s="91"/>
    </row>
    <row r="198" spans="1:6">
      <c r="A198" s="316"/>
      <c r="B198" s="316"/>
      <c r="D198" s="90"/>
      <c r="E198" s="91"/>
      <c r="F198" s="91"/>
    </row>
    <row r="199" spans="1:6">
      <c r="A199" s="316"/>
      <c r="B199" s="316"/>
      <c r="D199" s="90"/>
      <c r="E199" s="91"/>
      <c r="F199" s="91"/>
    </row>
    <row r="200" spans="1:6">
      <c r="A200" s="316"/>
      <c r="B200" s="316"/>
      <c r="D200" s="90"/>
      <c r="E200" s="91"/>
      <c r="F200" s="91"/>
    </row>
    <row r="201" spans="1:6">
      <c r="A201" s="316"/>
      <c r="B201" s="316"/>
      <c r="D201" s="90"/>
      <c r="E201" s="91"/>
      <c r="F201" s="91"/>
    </row>
    <row r="202" spans="1:6">
      <c r="A202" s="316"/>
      <c r="B202" s="316"/>
      <c r="D202" s="90"/>
      <c r="E202" s="91"/>
      <c r="F202" s="91"/>
    </row>
    <row r="203" spans="1:6">
      <c r="A203" s="316"/>
      <c r="B203" s="316"/>
      <c r="D203" s="90"/>
      <c r="E203" s="91"/>
      <c r="F203" s="91"/>
    </row>
    <row r="204" spans="1:6">
      <c r="A204" s="316"/>
      <c r="B204" s="316"/>
      <c r="D204" s="90"/>
      <c r="E204" s="91"/>
      <c r="F204" s="91"/>
    </row>
    <row r="205" spans="1:6">
      <c r="A205" s="316"/>
      <c r="B205" s="316"/>
      <c r="D205" s="90"/>
      <c r="E205" s="91"/>
      <c r="F205" s="91"/>
    </row>
    <row r="206" spans="1:6">
      <c r="A206" s="316"/>
      <c r="B206" s="316"/>
      <c r="D206" s="90"/>
      <c r="E206" s="91"/>
      <c r="F206" s="91"/>
    </row>
    <row r="207" spans="1:6">
      <c r="A207" s="316"/>
      <c r="B207" s="316"/>
      <c r="D207" s="90"/>
      <c r="E207" s="91"/>
      <c r="F207" s="91"/>
    </row>
    <row r="208" spans="1:6">
      <c r="D208" s="90"/>
      <c r="E208" s="91"/>
      <c r="F208" s="91"/>
    </row>
    <row r="209" spans="4:6">
      <c r="D209" s="90"/>
      <c r="E209" s="91"/>
      <c r="F209" s="91"/>
    </row>
    <row r="210" spans="4:6">
      <c r="D210" s="90"/>
      <c r="E210" s="91"/>
      <c r="F210" s="91"/>
    </row>
    <row r="211" spans="4:6">
      <c r="D211" s="90"/>
      <c r="E211" s="91"/>
      <c r="F211" s="91"/>
    </row>
    <row r="212" spans="4:6">
      <c r="D212" s="90"/>
      <c r="E212" s="91"/>
      <c r="F212" s="91"/>
    </row>
    <row r="213" spans="4:6">
      <c r="D213" s="90"/>
      <c r="E213" s="91"/>
      <c r="F213" s="91"/>
    </row>
    <row r="214" spans="4:6">
      <c r="D214" s="90"/>
      <c r="E214" s="91"/>
      <c r="F214" s="91"/>
    </row>
    <row r="215" spans="4:6">
      <c r="D215" s="90"/>
      <c r="E215" s="91"/>
      <c r="F215" s="91"/>
    </row>
    <row r="216" spans="4:6">
      <c r="D216" s="90"/>
      <c r="E216" s="91"/>
      <c r="F216" s="91"/>
    </row>
    <row r="217" spans="4:6">
      <c r="D217" s="90"/>
      <c r="E217" s="91"/>
      <c r="F217" s="91"/>
    </row>
    <row r="218" spans="4:6">
      <c r="D218" s="90"/>
      <c r="E218" s="91"/>
      <c r="F218" s="91"/>
    </row>
    <row r="219" spans="4:6">
      <c r="D219" s="90"/>
      <c r="E219" s="91"/>
      <c r="F219" s="91"/>
    </row>
    <row r="220" spans="4:6">
      <c r="D220" s="90"/>
      <c r="E220" s="91"/>
      <c r="F220" s="91"/>
    </row>
    <row r="221" spans="4:6">
      <c r="D221" s="90"/>
      <c r="E221" s="91"/>
      <c r="F221" s="91"/>
    </row>
    <row r="222" spans="4:6">
      <c r="D222" s="90"/>
      <c r="E222" s="91"/>
      <c r="F222" s="91"/>
    </row>
    <row r="223" spans="4:6">
      <c r="D223" s="90"/>
      <c r="E223" s="91"/>
      <c r="F223" s="91"/>
    </row>
    <row r="224" spans="4:6">
      <c r="D224" s="90"/>
      <c r="E224" s="91"/>
      <c r="F224" s="91"/>
    </row>
    <row r="225" spans="4:6">
      <c r="D225" s="90"/>
      <c r="E225" s="91"/>
      <c r="F225" s="91"/>
    </row>
    <row r="226" spans="4:6">
      <c r="D226" s="90"/>
      <c r="E226" s="91"/>
      <c r="F226" s="91"/>
    </row>
    <row r="227" spans="4:6">
      <c r="D227" s="90"/>
      <c r="E227" s="91"/>
      <c r="F227" s="91"/>
    </row>
    <row r="228" spans="4:6">
      <c r="D228" s="90"/>
    </row>
    <row r="229" spans="4:6">
      <c r="D229" s="90"/>
    </row>
    <row r="230" spans="4:6">
      <c r="D230" s="90"/>
    </row>
    <row r="231" spans="4:6">
      <c r="D231" s="90"/>
    </row>
  </sheetData>
  <mergeCells count="30">
    <mergeCell ref="A44:C44"/>
    <mergeCell ref="B45:C45"/>
    <mergeCell ref="D26:E26"/>
    <mergeCell ref="D37:E37"/>
    <mergeCell ref="B62:C62"/>
    <mergeCell ref="A43:F43"/>
    <mergeCell ref="B41:E41"/>
    <mergeCell ref="B61:C61"/>
    <mergeCell ref="B46:C46"/>
    <mergeCell ref="B47:C47"/>
    <mergeCell ref="B48:C48"/>
    <mergeCell ref="B49:C49"/>
    <mergeCell ref="B51:C51"/>
    <mergeCell ref="B52:C52"/>
    <mergeCell ref="B53:C53"/>
    <mergeCell ref="B54:C54"/>
    <mergeCell ref="B63:C63"/>
    <mergeCell ref="B50:C50"/>
    <mergeCell ref="B55:C55"/>
    <mergeCell ref="B56:C56"/>
    <mergeCell ref="B57:C57"/>
    <mergeCell ref="B58:C58"/>
    <mergeCell ref="B59:C59"/>
    <mergeCell ref="B60:C60"/>
    <mergeCell ref="D13:E13"/>
    <mergeCell ref="D14:E14"/>
    <mergeCell ref="D15:E15"/>
    <mergeCell ref="D34:E34"/>
    <mergeCell ref="D21:E21"/>
    <mergeCell ref="D31:E31"/>
  </mergeCells>
  <phoneticPr fontId="0" type="noConversion"/>
  <printOptions horizontalCentered="1"/>
  <pageMargins left="0.98425196850393704" right="0.78740157480314965" top="0.59055118110236227" bottom="0.98425196850393704" header="0.51181102362204722" footer="0.51181102362204722"/>
  <pageSetup paperSize="9" scale="80" fitToHeight="2" orientation="portrait" horizontalDpi="300" verticalDpi="300" r:id="rId1"/>
  <headerFooter alignWithMargins="0"/>
  <colBreaks count="1" manualBreakCount="1">
    <brk id="7" max="4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86"/>
  <sheetViews>
    <sheetView view="pageBreakPreview" zoomScale="85" zoomScaleNormal="75" workbookViewId="0">
      <pane xSplit="6" topLeftCell="G1" activePane="topRight" state="frozen"/>
      <selection activeCell="A504" sqref="A504"/>
      <selection pane="topRight" activeCell="E31" sqref="E31"/>
    </sheetView>
  </sheetViews>
  <sheetFormatPr defaultColWidth="11.42578125" defaultRowHeight="12.75"/>
  <cols>
    <col min="1" max="1" width="4.42578125" customWidth="1"/>
    <col min="2" max="2" width="29.28515625" customWidth="1"/>
    <col min="3" max="3" width="9.28515625" customWidth="1"/>
    <col min="4" max="4" width="9.7109375" customWidth="1"/>
    <col min="5" max="5" width="21.28515625" customWidth="1"/>
    <col min="6" max="6" width="18" customWidth="1"/>
    <col min="7" max="7" width="13.140625" bestFit="1" customWidth="1"/>
  </cols>
  <sheetData>
    <row r="3" spans="1:6" ht="20.25">
      <c r="A3" s="125" t="s">
        <v>64</v>
      </c>
      <c r="B3" s="93"/>
      <c r="C3" s="311"/>
      <c r="D3" s="311"/>
      <c r="E3" s="311"/>
      <c r="F3" s="311"/>
    </row>
    <row r="4" spans="1:6">
      <c r="A4" s="93" t="s">
        <v>65</v>
      </c>
      <c r="B4" s="93"/>
      <c r="C4" s="311"/>
      <c r="D4" s="311"/>
      <c r="E4" s="311"/>
      <c r="F4" s="311"/>
    </row>
    <row r="5" spans="1:6">
      <c r="A5" s="93" t="s">
        <v>24</v>
      </c>
      <c r="B5" s="93"/>
      <c r="C5" s="311"/>
      <c r="D5" s="311"/>
      <c r="E5" s="311"/>
      <c r="F5" s="311"/>
    </row>
    <row r="6" spans="1:6">
      <c r="A6" s="311"/>
      <c r="B6" s="311"/>
      <c r="C6" s="311"/>
      <c r="D6" s="311"/>
      <c r="E6" s="311"/>
      <c r="F6" s="311"/>
    </row>
    <row r="7" spans="1:6">
      <c r="A7" s="99">
        <v>1</v>
      </c>
      <c r="B7" s="307" t="s">
        <v>25</v>
      </c>
      <c r="C7" s="99" t="s">
        <v>7</v>
      </c>
      <c r="D7" s="99" t="s">
        <v>26</v>
      </c>
      <c r="E7" s="99" t="s">
        <v>27</v>
      </c>
      <c r="F7" s="99" t="s">
        <v>28</v>
      </c>
    </row>
    <row r="8" spans="1:6">
      <c r="A8" s="99" t="s">
        <v>13</v>
      </c>
      <c r="B8" s="307" t="s">
        <v>29</v>
      </c>
      <c r="C8" s="99"/>
      <c r="D8" s="99"/>
      <c r="E8" s="99"/>
      <c r="F8" s="99"/>
    </row>
    <row r="9" spans="1:6">
      <c r="A9" s="100"/>
      <c r="B9" s="100" t="s">
        <v>66</v>
      </c>
      <c r="C9" s="101" t="s">
        <v>31</v>
      </c>
      <c r="D9" s="102">
        <v>0.15</v>
      </c>
      <c r="E9" s="103">
        <f>Referencias!$E$13</f>
        <v>4702.72</v>
      </c>
      <c r="F9" s="103">
        <f>D9*E9</f>
        <v>705.40800000000002</v>
      </c>
    </row>
    <row r="10" spans="1:6">
      <c r="A10" s="100"/>
      <c r="B10" s="100" t="s">
        <v>30</v>
      </c>
      <c r="C10" s="101" t="s">
        <v>31</v>
      </c>
      <c r="D10" s="102">
        <v>1</v>
      </c>
      <c r="E10" s="103">
        <f>Referencias!$E$14</f>
        <v>2207.04</v>
      </c>
      <c r="F10" s="103">
        <f t="shared" ref="F10:F15" si="0">D10*E10</f>
        <v>2207.04</v>
      </c>
    </row>
    <row r="11" spans="1:6">
      <c r="A11" s="100"/>
      <c r="B11" s="100" t="s">
        <v>32</v>
      </c>
      <c r="C11" s="101" t="s">
        <v>31</v>
      </c>
      <c r="D11" s="102">
        <v>2</v>
      </c>
      <c r="E11" s="103">
        <f>Referencias!$E$15</f>
        <v>591.79999999999995</v>
      </c>
      <c r="F11" s="103">
        <f t="shared" si="0"/>
        <v>1183.5999999999999</v>
      </c>
    </row>
    <row r="12" spans="1:6">
      <c r="A12" s="100"/>
      <c r="B12" s="100" t="s">
        <v>67</v>
      </c>
      <c r="C12" s="101" t="s">
        <v>31</v>
      </c>
      <c r="D12" s="102">
        <v>1</v>
      </c>
      <c r="E12" s="103">
        <f>Referencias!$E$16</f>
        <v>473.44</v>
      </c>
      <c r="F12" s="103">
        <f t="shared" si="0"/>
        <v>473.44</v>
      </c>
    </row>
    <row r="13" spans="1:6" s="129" customFormat="1">
      <c r="A13" s="307" t="s">
        <v>33</v>
      </c>
      <c r="B13" s="307" t="s">
        <v>34</v>
      </c>
      <c r="C13" s="101"/>
      <c r="D13" s="102"/>
      <c r="E13" s="100"/>
      <c r="F13" s="103"/>
    </row>
    <row r="14" spans="1:6">
      <c r="A14" s="100"/>
      <c r="B14" s="100" t="s">
        <v>68</v>
      </c>
      <c r="C14" s="101" t="s">
        <v>31</v>
      </c>
      <c r="D14" s="102">
        <v>0.2</v>
      </c>
      <c r="E14" s="103">
        <f>Referencias!$E$17</f>
        <v>2427.7399999999998</v>
      </c>
      <c r="F14" s="103">
        <f t="shared" si="0"/>
        <v>485.548</v>
      </c>
    </row>
    <row r="15" spans="1:6">
      <c r="A15" s="100"/>
      <c r="B15" s="100" t="s">
        <v>35</v>
      </c>
      <c r="C15" s="101" t="s">
        <v>31</v>
      </c>
      <c r="D15" s="102">
        <v>0.25</v>
      </c>
      <c r="E15" s="103">
        <f>Referencias!$E$18</f>
        <v>1260.1600000000001</v>
      </c>
      <c r="F15" s="103">
        <f t="shared" si="0"/>
        <v>315.04000000000002</v>
      </c>
    </row>
    <row r="16" spans="1:6">
      <c r="A16" s="97"/>
      <c r="B16" s="97"/>
      <c r="C16" s="98"/>
      <c r="D16" s="332" t="s">
        <v>36</v>
      </c>
      <c r="E16" s="333"/>
      <c r="F16" s="104">
        <f>SUM(F9:F15)</f>
        <v>5370.0759999999991</v>
      </c>
    </row>
    <row r="17" spans="1:6">
      <c r="A17" s="95"/>
      <c r="B17" s="95"/>
      <c r="C17" s="96"/>
      <c r="D17" s="332" t="s">
        <v>37</v>
      </c>
      <c r="E17" s="333"/>
      <c r="F17" s="104">
        <f>F16*77.25%</f>
        <v>4148.3837099999992</v>
      </c>
    </row>
    <row r="18" spans="1:6" ht="15.75">
      <c r="A18" s="95"/>
      <c r="B18" s="95"/>
      <c r="C18" s="96"/>
      <c r="D18" s="334" t="s">
        <v>38</v>
      </c>
      <c r="E18" s="335"/>
      <c r="F18" s="104">
        <f>SUM(F16:F17)</f>
        <v>9518.4597099999992</v>
      </c>
    </row>
    <row r="19" spans="1:6">
      <c r="A19" s="106"/>
      <c r="B19" s="106"/>
      <c r="C19" s="107"/>
      <c r="D19" s="108"/>
      <c r="E19" s="109"/>
      <c r="F19" s="110"/>
    </row>
    <row r="20" spans="1:6">
      <c r="A20" s="307">
        <v>2</v>
      </c>
      <c r="B20" s="307" t="s">
        <v>39</v>
      </c>
      <c r="C20" s="99" t="s">
        <v>7</v>
      </c>
      <c r="D20" s="99" t="s">
        <v>40</v>
      </c>
      <c r="E20" s="99" t="s">
        <v>41</v>
      </c>
      <c r="F20" s="99" t="s">
        <v>42</v>
      </c>
    </row>
    <row r="21" spans="1:6">
      <c r="A21" s="307" t="s">
        <v>19</v>
      </c>
      <c r="B21" s="307" t="s">
        <v>69</v>
      </c>
      <c r="C21" s="100"/>
      <c r="D21" s="100"/>
      <c r="E21" s="100"/>
      <c r="F21" s="100"/>
    </row>
    <row r="22" spans="1:6">
      <c r="A22" s="100"/>
      <c r="B22" s="100" t="s">
        <v>70</v>
      </c>
      <c r="C22" s="117" t="s">
        <v>31</v>
      </c>
      <c r="D22" s="118">
        <v>0.15</v>
      </c>
      <c r="E22" s="119">
        <f>Referencias!$E$26</f>
        <v>1147.73</v>
      </c>
      <c r="F22" s="119">
        <f>D22*E22</f>
        <v>172.15950000000001</v>
      </c>
    </row>
    <row r="23" spans="1:6">
      <c r="A23" s="100"/>
      <c r="B23" s="100" t="s">
        <v>71</v>
      </c>
      <c r="C23" s="117" t="s">
        <v>47</v>
      </c>
      <c r="D23" s="119">
        <v>31</v>
      </c>
      <c r="E23" s="119">
        <f>Referencias!$E$28</f>
        <v>2.78</v>
      </c>
      <c r="F23" s="119">
        <f>D23*E23</f>
        <v>86.179999999999993</v>
      </c>
    </row>
    <row r="24" spans="1:6">
      <c r="A24" s="307" t="s">
        <v>43</v>
      </c>
      <c r="B24" s="307" t="s">
        <v>44</v>
      </c>
      <c r="C24" s="119"/>
      <c r="D24" s="119"/>
      <c r="E24" s="119"/>
      <c r="F24" s="119"/>
    </row>
    <row r="25" spans="1:6">
      <c r="A25" s="100"/>
      <c r="B25" s="100" t="s">
        <v>45</v>
      </c>
      <c r="C25" s="117" t="s">
        <v>31</v>
      </c>
      <c r="D25" s="119">
        <v>1</v>
      </c>
      <c r="E25" s="119">
        <f>Referencias!$E$27</f>
        <v>2817.22</v>
      </c>
      <c r="F25" s="119">
        <f>D25*E25</f>
        <v>2817.22</v>
      </c>
    </row>
    <row r="26" spans="1:6">
      <c r="A26" s="100"/>
      <c r="B26" s="100" t="s">
        <v>71</v>
      </c>
      <c r="C26" s="117" t="s">
        <v>47</v>
      </c>
      <c r="D26" s="119">
        <v>385</v>
      </c>
      <c r="E26" s="119">
        <f>Referencias!$E$29</f>
        <v>2.0099999999999998</v>
      </c>
      <c r="F26" s="119">
        <f>D26*E26</f>
        <v>773.84999999999991</v>
      </c>
    </row>
    <row r="27" spans="1:6" ht="15.75">
      <c r="A27" s="97"/>
      <c r="B27" s="97"/>
      <c r="C27" s="111"/>
      <c r="D27" s="334" t="s">
        <v>48</v>
      </c>
      <c r="E27" s="335"/>
      <c r="F27" s="120">
        <f>SUM(F22:F26)</f>
        <v>3849.4094999999998</v>
      </c>
    </row>
    <row r="28" spans="1:6">
      <c r="A28" s="106"/>
      <c r="B28" s="106"/>
      <c r="C28" s="106"/>
      <c r="D28" s="112"/>
      <c r="E28" s="112"/>
      <c r="F28" s="113"/>
    </row>
    <row r="29" spans="1:6">
      <c r="A29" s="307">
        <v>3</v>
      </c>
      <c r="B29" s="307" t="s">
        <v>72</v>
      </c>
      <c r="C29" s="99" t="s">
        <v>7</v>
      </c>
      <c r="D29" s="99" t="s">
        <v>40</v>
      </c>
      <c r="E29" s="99" t="s">
        <v>41</v>
      </c>
      <c r="F29" s="99" t="s">
        <v>42</v>
      </c>
    </row>
    <row r="30" spans="1:6">
      <c r="A30" s="100"/>
      <c r="B30" s="100" t="s">
        <v>73</v>
      </c>
      <c r="C30" s="101" t="s">
        <v>31</v>
      </c>
      <c r="D30" s="119">
        <v>1</v>
      </c>
      <c r="E30" s="103">
        <f>Referencias!$E$35</f>
        <v>2400</v>
      </c>
      <c r="F30" s="121">
        <f>D30*E30</f>
        <v>2400</v>
      </c>
    </row>
    <row r="31" spans="1:6">
      <c r="A31" s="100"/>
      <c r="B31" s="100" t="s">
        <v>74</v>
      </c>
      <c r="C31" s="101" t="s">
        <v>31</v>
      </c>
      <c r="D31" s="119">
        <v>0.3</v>
      </c>
      <c r="E31" s="103">
        <f>Referencias!$E$47</f>
        <v>1200</v>
      </c>
      <c r="F31" s="121">
        <f>D31*E31</f>
        <v>360</v>
      </c>
    </row>
    <row r="32" spans="1:6" ht="15.75">
      <c r="A32" s="97"/>
      <c r="B32" s="97"/>
      <c r="C32" s="114"/>
      <c r="D32" s="334" t="s">
        <v>52</v>
      </c>
      <c r="E32" s="335"/>
      <c r="F32" s="120">
        <f>SUM(F30:F31)</f>
        <v>2760</v>
      </c>
    </row>
    <row r="33" spans="1:7">
      <c r="A33" s="95"/>
      <c r="B33" s="95"/>
      <c r="C33" s="105"/>
      <c r="D33" s="100"/>
      <c r="E33" s="100"/>
      <c r="F33" s="122"/>
    </row>
    <row r="34" spans="1:7" ht="15.75">
      <c r="A34" s="95"/>
      <c r="B34" s="95"/>
      <c r="C34" s="105"/>
      <c r="D34" s="334" t="s">
        <v>75</v>
      </c>
      <c r="E34" s="335"/>
      <c r="F34" s="123">
        <f>SUM(F18+F27+F32)</f>
        <v>16127.869209999999</v>
      </c>
    </row>
    <row r="35" spans="1:7">
      <c r="A35" s="106"/>
      <c r="B35" s="106"/>
      <c r="C35" s="106"/>
      <c r="D35" s="115"/>
      <c r="E35" s="115"/>
      <c r="F35" s="115"/>
    </row>
    <row r="36" spans="1:7">
      <c r="A36" s="307">
        <v>4</v>
      </c>
      <c r="B36" s="307" t="s">
        <v>76</v>
      </c>
      <c r="C36" s="100"/>
      <c r="D36" s="100"/>
      <c r="E36" s="100"/>
      <c r="F36" s="104">
        <f>10%*F34</f>
        <v>1612.7869209999999</v>
      </c>
      <c r="G36" s="91"/>
    </row>
    <row r="37" spans="1:7" ht="15.75">
      <c r="A37" s="115"/>
      <c r="B37" s="115"/>
      <c r="C37" s="116"/>
      <c r="D37" s="334" t="s">
        <v>58</v>
      </c>
      <c r="E37" s="335"/>
      <c r="F37" s="123">
        <f>SUM(F18+F27+F32+F36)</f>
        <v>17740.656131</v>
      </c>
      <c r="G37" s="91"/>
    </row>
    <row r="38" spans="1:7">
      <c r="A38" s="307">
        <v>5</v>
      </c>
      <c r="B38" s="307" t="s">
        <v>77</v>
      </c>
      <c r="C38" s="307"/>
      <c r="D38" s="307"/>
      <c r="E38" s="307"/>
      <c r="F38" s="124">
        <f>20%*F37</f>
        <v>3548.1312262000001</v>
      </c>
      <c r="G38" s="91"/>
    </row>
    <row r="39" spans="1:7">
      <c r="A39" s="307">
        <v>6</v>
      </c>
      <c r="B39" s="307" t="s">
        <v>62</v>
      </c>
      <c r="C39" s="307"/>
      <c r="D39" s="307"/>
      <c r="E39" s="307"/>
      <c r="F39" s="124">
        <f>SUM(F37+F38)</f>
        <v>21288.787357199999</v>
      </c>
      <c r="G39" s="91"/>
    </row>
    <row r="40" spans="1:7" ht="18">
      <c r="A40" s="307">
        <v>7</v>
      </c>
      <c r="B40" s="307" t="s">
        <v>78</v>
      </c>
      <c r="C40" s="307"/>
      <c r="D40" s="307"/>
      <c r="E40" s="307"/>
      <c r="F40" s="298">
        <f>F39/20</f>
        <v>1064.4393678599999</v>
      </c>
      <c r="G40" s="135"/>
    </row>
    <row r="41" spans="1:7">
      <c r="A41" s="311"/>
      <c r="B41" s="311"/>
      <c r="C41" s="311"/>
      <c r="D41" s="311"/>
      <c r="E41" s="311"/>
      <c r="F41" s="92"/>
      <c r="G41" s="91"/>
    </row>
    <row r="42" spans="1:7">
      <c r="A42" s="93" t="s">
        <v>79</v>
      </c>
      <c r="B42" s="311"/>
      <c r="C42" s="311"/>
      <c r="D42" s="311"/>
      <c r="E42" s="311"/>
      <c r="F42" s="311"/>
      <c r="G42" s="91"/>
    </row>
    <row r="43" spans="1:7">
      <c r="A43" s="93"/>
      <c r="B43" s="311"/>
      <c r="C43" s="311"/>
      <c r="D43" s="311"/>
      <c r="E43" s="311"/>
      <c r="F43" s="311"/>
      <c r="G43" s="91"/>
    </row>
    <row r="44" spans="1:7">
      <c r="A44" s="100"/>
      <c r="B44" s="100"/>
      <c r="C44" s="101" t="s">
        <v>7</v>
      </c>
      <c r="D44" s="100"/>
      <c r="E44" s="101" t="s">
        <v>80</v>
      </c>
      <c r="F44" s="119" t="s">
        <v>9</v>
      </c>
      <c r="G44" s="91"/>
    </row>
    <row r="45" spans="1:7">
      <c r="A45" s="307" t="s">
        <v>64</v>
      </c>
      <c r="B45" s="100"/>
      <c r="C45" s="101" t="s">
        <v>81</v>
      </c>
      <c r="D45" s="100"/>
      <c r="E45" s="119">
        <v>1.7</v>
      </c>
      <c r="F45" s="119">
        <f>F40/E45</f>
        <v>626.14080462352945</v>
      </c>
      <c r="G45" s="91"/>
    </row>
    <row r="46" spans="1:7">
      <c r="A46" s="93"/>
      <c r="B46" s="311"/>
      <c r="C46" s="94"/>
      <c r="D46" s="311"/>
      <c r="E46" s="92"/>
      <c r="F46" s="92"/>
      <c r="G46" s="91"/>
    </row>
    <row r="47" spans="1:7">
      <c r="A47" s="93"/>
      <c r="B47" s="311"/>
      <c r="C47" s="94"/>
      <c r="D47" s="311"/>
      <c r="E47" s="92"/>
      <c r="F47" s="92"/>
      <c r="G47" s="135"/>
    </row>
    <row r="48" spans="1:7">
      <c r="F48" s="91"/>
      <c r="G48" s="91"/>
    </row>
    <row r="49" spans="6:7">
      <c r="F49" s="91"/>
      <c r="G49" s="91"/>
    </row>
    <row r="50" spans="6:7">
      <c r="F50" s="91"/>
      <c r="G50" s="91"/>
    </row>
    <row r="51" spans="6:7">
      <c r="F51" s="91"/>
      <c r="G51" s="136"/>
    </row>
    <row r="52" spans="6:7">
      <c r="F52" s="91"/>
    </row>
    <row r="53" spans="6:7">
      <c r="F53" s="91"/>
      <c r="G53" s="91"/>
    </row>
    <row r="54" spans="6:7">
      <c r="F54" s="91"/>
      <c r="G54" s="136"/>
    </row>
    <row r="55" spans="6:7">
      <c r="F55" s="91"/>
    </row>
    <row r="56" spans="6:7">
      <c r="F56" s="91"/>
      <c r="G56" s="136"/>
    </row>
    <row r="57" spans="6:7">
      <c r="F57" s="91"/>
      <c r="G57" s="136"/>
    </row>
    <row r="58" spans="6:7">
      <c r="F58" s="91"/>
      <c r="G58" s="136"/>
    </row>
    <row r="59" spans="6:7">
      <c r="F59" s="91"/>
    </row>
    <row r="60" spans="6:7">
      <c r="F60" s="91"/>
    </row>
    <row r="61" spans="6:7">
      <c r="F61" s="91"/>
    </row>
    <row r="62" spans="6:7">
      <c r="F62" s="91"/>
    </row>
    <row r="63" spans="6:7">
      <c r="F63" s="91"/>
    </row>
    <row r="64" spans="6:7">
      <c r="F64" s="91"/>
      <c r="G64" s="136"/>
    </row>
    <row r="65" spans="1:7">
      <c r="F65" s="91"/>
    </row>
    <row r="66" spans="1:7">
      <c r="F66" s="91"/>
    </row>
    <row r="67" spans="1:7">
      <c r="F67" s="91"/>
    </row>
    <row r="68" spans="1:7">
      <c r="F68" s="91"/>
      <c r="G68" s="135"/>
    </row>
    <row r="69" spans="1:7">
      <c r="F69" s="91"/>
      <c r="G69" s="135"/>
    </row>
    <row r="70" spans="1:7">
      <c r="F70" s="91"/>
      <c r="G70" s="135"/>
    </row>
    <row r="71" spans="1:7">
      <c r="F71" s="91"/>
      <c r="G71" s="91"/>
    </row>
    <row r="72" spans="1:7">
      <c r="F72" s="91"/>
      <c r="G72" s="135"/>
    </row>
    <row r="73" spans="1:7">
      <c r="F73" s="91"/>
      <c r="G73" s="91"/>
    </row>
    <row r="74" spans="1:7">
      <c r="A74" s="316"/>
      <c r="B74" s="316"/>
      <c r="D74" s="90"/>
      <c r="E74" s="91"/>
      <c r="F74" s="91"/>
      <c r="G74" s="91"/>
    </row>
    <row r="75" spans="1:7">
      <c r="A75" s="316"/>
      <c r="B75" s="316"/>
      <c r="D75" s="90"/>
      <c r="E75" s="91"/>
      <c r="F75" s="91"/>
      <c r="G75" s="135"/>
    </row>
    <row r="76" spans="1:7">
      <c r="A76" s="316"/>
      <c r="B76" s="316"/>
      <c r="D76" s="90"/>
      <c r="E76" s="91"/>
      <c r="F76" s="91"/>
      <c r="G76" s="135"/>
    </row>
    <row r="77" spans="1:7">
      <c r="A77" s="316"/>
      <c r="B77" s="316"/>
      <c r="D77" s="90"/>
      <c r="E77" s="91"/>
      <c r="F77" s="91"/>
      <c r="G77" s="136"/>
    </row>
    <row r="78" spans="1:7">
      <c r="A78" s="316"/>
      <c r="B78" s="316"/>
      <c r="D78" s="90"/>
      <c r="E78" s="91"/>
      <c r="F78" s="91"/>
    </row>
    <row r="79" spans="1:7">
      <c r="A79" s="316"/>
      <c r="B79" s="316"/>
      <c r="D79" s="90"/>
      <c r="E79" s="91"/>
      <c r="F79" s="91"/>
    </row>
    <row r="80" spans="1:7">
      <c r="A80" s="316"/>
      <c r="B80" s="316"/>
      <c r="D80" s="90"/>
      <c r="E80" s="91"/>
      <c r="F80" s="91"/>
    </row>
    <row r="81" spans="1:6">
      <c r="A81" s="316"/>
      <c r="B81" s="316"/>
      <c r="C81" s="86"/>
      <c r="D81" s="90"/>
      <c r="E81" s="91"/>
      <c r="F81" s="91"/>
    </row>
    <row r="82" spans="1:6">
      <c r="A82" s="316"/>
      <c r="B82" s="316"/>
      <c r="C82" s="86"/>
      <c r="D82" s="134"/>
      <c r="E82" s="91"/>
      <c r="F82" s="91"/>
    </row>
    <row r="83" spans="1:6">
      <c r="A83" s="316"/>
      <c r="B83" s="316"/>
      <c r="C83" s="91"/>
      <c r="D83" s="90"/>
      <c r="E83" s="91"/>
      <c r="F83" s="91"/>
    </row>
    <row r="84" spans="1:6">
      <c r="A84" s="316"/>
      <c r="B84" s="316"/>
      <c r="C84" s="91"/>
      <c r="D84" s="90"/>
      <c r="E84" s="91"/>
      <c r="F84" s="91"/>
    </row>
    <row r="85" spans="1:6">
      <c r="A85" s="316"/>
      <c r="B85" s="316"/>
      <c r="C85" s="91"/>
      <c r="D85" s="90"/>
      <c r="E85" s="91"/>
      <c r="F85" s="91"/>
    </row>
    <row r="86" spans="1:6">
      <c r="A86" s="316"/>
      <c r="B86" s="316"/>
      <c r="D86" s="90"/>
      <c r="E86" s="91"/>
      <c r="F86" s="91"/>
    </row>
    <row r="87" spans="1:6">
      <c r="A87" s="316"/>
      <c r="B87" s="316"/>
      <c r="D87" s="90"/>
      <c r="E87" s="91"/>
      <c r="F87" s="91"/>
    </row>
    <row r="88" spans="1:6">
      <c r="A88" s="316"/>
      <c r="B88" s="316"/>
      <c r="D88" s="90"/>
      <c r="E88" s="91"/>
      <c r="F88" s="91"/>
    </row>
    <row r="89" spans="1:6">
      <c r="A89" s="316"/>
      <c r="B89" s="316"/>
      <c r="D89" s="90"/>
      <c r="E89" s="91"/>
      <c r="F89" s="91"/>
    </row>
    <row r="90" spans="1:6">
      <c r="A90" s="316"/>
      <c r="B90" s="316"/>
      <c r="D90" s="90"/>
      <c r="E90" s="91"/>
      <c r="F90" s="91"/>
    </row>
    <row r="91" spans="1:6">
      <c r="A91" s="316"/>
      <c r="B91" s="316"/>
      <c r="D91" s="90"/>
      <c r="E91" s="91"/>
      <c r="F91" s="91"/>
    </row>
    <row r="92" spans="1:6">
      <c r="A92" s="316"/>
      <c r="B92" s="316"/>
      <c r="D92" s="90"/>
      <c r="E92" s="91"/>
      <c r="F92" s="91"/>
    </row>
    <row r="93" spans="1:6">
      <c r="A93" s="316"/>
      <c r="B93" s="316"/>
      <c r="D93" s="90"/>
      <c r="E93" s="91"/>
      <c r="F93" s="91"/>
    </row>
    <row r="94" spans="1:6">
      <c r="A94" s="316"/>
      <c r="B94" s="316"/>
      <c r="D94" s="90"/>
      <c r="E94" s="91"/>
      <c r="F94" s="91"/>
    </row>
    <row r="95" spans="1:6">
      <c r="A95" s="316"/>
      <c r="B95" s="316"/>
      <c r="D95" s="90"/>
      <c r="E95" s="91"/>
      <c r="F95" s="91"/>
    </row>
    <row r="96" spans="1:6">
      <c r="A96" s="316"/>
      <c r="B96" s="316"/>
      <c r="D96" s="90"/>
      <c r="E96" s="91"/>
      <c r="F96" s="91"/>
    </row>
    <row r="97" spans="1:6">
      <c r="A97" s="316"/>
      <c r="B97" s="316"/>
      <c r="D97" s="90"/>
      <c r="E97" s="91"/>
      <c r="F97" s="91"/>
    </row>
    <row r="98" spans="1:6">
      <c r="A98" s="316"/>
      <c r="B98" s="316"/>
      <c r="D98" s="90"/>
      <c r="E98" s="91"/>
      <c r="F98" s="91"/>
    </row>
    <row r="99" spans="1:6">
      <c r="A99" s="316"/>
      <c r="B99" s="316"/>
      <c r="D99" s="90"/>
      <c r="E99" s="91"/>
      <c r="F99" s="91"/>
    </row>
    <row r="100" spans="1:6">
      <c r="A100" s="316"/>
      <c r="B100" s="316"/>
      <c r="D100" s="90"/>
      <c r="E100" s="91"/>
      <c r="F100" s="91"/>
    </row>
    <row r="101" spans="1:6">
      <c r="A101" s="316"/>
      <c r="B101" s="316"/>
      <c r="D101" s="90"/>
      <c r="E101" s="91"/>
      <c r="F101" s="91"/>
    </row>
    <row r="102" spans="1:6">
      <c r="A102" s="316"/>
      <c r="B102" s="316"/>
      <c r="D102" s="90"/>
      <c r="E102" s="91"/>
      <c r="F102" s="91"/>
    </row>
    <row r="103" spans="1:6">
      <c r="A103" s="316"/>
      <c r="B103" s="316"/>
      <c r="D103" s="90"/>
      <c r="E103" s="91"/>
      <c r="F103" s="91"/>
    </row>
    <row r="104" spans="1:6">
      <c r="A104" s="316"/>
      <c r="B104" s="316"/>
      <c r="D104" s="90"/>
      <c r="E104" s="91"/>
      <c r="F104" s="91"/>
    </row>
    <row r="105" spans="1:6">
      <c r="A105" s="316"/>
      <c r="B105" s="316"/>
      <c r="D105" s="90"/>
      <c r="E105" s="91"/>
      <c r="F105" s="91"/>
    </row>
    <row r="106" spans="1:6">
      <c r="A106" s="316"/>
      <c r="B106" s="316"/>
      <c r="D106" s="90"/>
      <c r="E106" s="91"/>
      <c r="F106" s="91"/>
    </row>
    <row r="107" spans="1:6">
      <c r="A107" s="316"/>
      <c r="B107" s="316"/>
      <c r="D107" s="90"/>
      <c r="E107" s="91"/>
      <c r="F107" s="91"/>
    </row>
    <row r="108" spans="1:6">
      <c r="A108" s="316"/>
      <c r="B108" s="316"/>
      <c r="D108" s="90"/>
      <c r="E108" s="91"/>
      <c r="F108" s="91"/>
    </row>
    <row r="109" spans="1:6">
      <c r="A109" s="316"/>
      <c r="B109" s="316"/>
      <c r="D109" s="90"/>
      <c r="E109" s="91"/>
      <c r="F109" s="91"/>
    </row>
    <row r="110" spans="1:6">
      <c r="A110" s="316"/>
      <c r="B110" s="316"/>
      <c r="D110" s="90"/>
      <c r="E110" s="91"/>
      <c r="F110" s="91"/>
    </row>
    <row r="111" spans="1:6">
      <c r="A111" s="316"/>
      <c r="B111" s="316"/>
      <c r="D111" s="90"/>
      <c r="E111" s="91"/>
      <c r="F111" s="91"/>
    </row>
    <row r="112" spans="1:6">
      <c r="A112" s="316"/>
      <c r="B112" s="316"/>
      <c r="D112" s="90"/>
      <c r="E112" s="91"/>
      <c r="F112" s="91"/>
    </row>
    <row r="113" spans="1:6">
      <c r="A113" s="316"/>
      <c r="B113" s="316"/>
      <c r="D113" s="90"/>
      <c r="E113" s="91"/>
      <c r="F113" s="91"/>
    </row>
    <row r="114" spans="1:6">
      <c r="A114" s="316"/>
      <c r="B114" s="316"/>
      <c r="D114" s="90"/>
      <c r="E114" s="91"/>
      <c r="F114" s="91"/>
    </row>
    <row r="115" spans="1:6">
      <c r="A115" s="316"/>
      <c r="B115" s="316"/>
      <c r="D115" s="90"/>
      <c r="E115" s="91"/>
      <c r="F115" s="91"/>
    </row>
    <row r="116" spans="1:6">
      <c r="A116" s="316"/>
      <c r="B116" s="316"/>
      <c r="D116" s="90"/>
      <c r="E116" s="91"/>
      <c r="F116" s="91"/>
    </row>
    <row r="117" spans="1:6">
      <c r="A117" s="316"/>
      <c r="B117" s="316"/>
      <c r="D117" s="90"/>
      <c r="E117" s="91"/>
      <c r="F117" s="91"/>
    </row>
    <row r="118" spans="1:6">
      <c r="A118" s="316"/>
      <c r="B118" s="316"/>
      <c r="D118" s="90"/>
      <c r="E118" s="91"/>
      <c r="F118" s="91"/>
    </row>
    <row r="119" spans="1:6">
      <c r="A119" s="316"/>
      <c r="B119" s="316"/>
      <c r="D119" s="90"/>
      <c r="E119" s="91"/>
      <c r="F119" s="91"/>
    </row>
    <row r="120" spans="1:6">
      <c r="A120" s="316"/>
      <c r="B120" s="316"/>
      <c r="D120" s="90"/>
      <c r="E120" s="91"/>
      <c r="F120" s="91"/>
    </row>
    <row r="121" spans="1:6">
      <c r="A121" s="316"/>
      <c r="B121" s="316"/>
      <c r="D121" s="90"/>
      <c r="E121" s="91"/>
      <c r="F121" s="91"/>
    </row>
    <row r="122" spans="1:6">
      <c r="A122" s="316"/>
      <c r="B122" s="316"/>
      <c r="D122" s="90"/>
      <c r="E122" s="91"/>
      <c r="F122" s="91"/>
    </row>
    <row r="123" spans="1:6">
      <c r="A123" s="316"/>
      <c r="B123" s="316"/>
      <c r="D123" s="90"/>
      <c r="E123" s="91"/>
      <c r="F123" s="91"/>
    </row>
    <row r="124" spans="1:6">
      <c r="A124" s="316"/>
      <c r="B124" s="316"/>
      <c r="D124" s="90"/>
      <c r="E124" s="91"/>
      <c r="F124" s="91"/>
    </row>
    <row r="125" spans="1:6">
      <c r="A125" s="316"/>
      <c r="B125" s="316"/>
      <c r="D125" s="90"/>
      <c r="E125" s="91"/>
      <c r="F125" s="91"/>
    </row>
    <row r="126" spans="1:6">
      <c r="A126" s="316"/>
      <c r="B126" s="316"/>
      <c r="D126" s="90"/>
      <c r="E126" s="91"/>
      <c r="F126" s="91"/>
    </row>
    <row r="127" spans="1:6">
      <c r="A127" s="316"/>
      <c r="B127" s="316"/>
      <c r="D127" s="90"/>
      <c r="E127" s="91"/>
      <c r="F127" s="91"/>
    </row>
    <row r="128" spans="1:6">
      <c r="A128" s="316"/>
      <c r="B128" s="316"/>
      <c r="D128" s="90"/>
      <c r="E128" s="91"/>
      <c r="F128" s="91"/>
    </row>
    <row r="129" spans="1:6">
      <c r="A129" s="316"/>
      <c r="B129" s="316"/>
      <c r="D129" s="90"/>
      <c r="E129" s="91"/>
      <c r="F129" s="91"/>
    </row>
    <row r="130" spans="1:6">
      <c r="A130" s="316"/>
      <c r="B130" s="316"/>
      <c r="D130" s="90"/>
      <c r="E130" s="91"/>
      <c r="F130" s="91"/>
    </row>
    <row r="131" spans="1:6">
      <c r="A131" s="316"/>
      <c r="B131" s="316"/>
      <c r="D131" s="90"/>
      <c r="E131" s="91"/>
      <c r="F131" s="91"/>
    </row>
    <row r="132" spans="1:6">
      <c r="A132" s="316"/>
      <c r="B132" s="316"/>
      <c r="D132" s="90"/>
      <c r="E132" s="91"/>
      <c r="F132" s="91"/>
    </row>
    <row r="133" spans="1:6">
      <c r="A133" s="316"/>
      <c r="B133" s="316"/>
      <c r="D133" s="90"/>
      <c r="E133" s="91"/>
      <c r="F133" s="91"/>
    </row>
    <row r="134" spans="1:6">
      <c r="A134" s="316"/>
      <c r="B134" s="316"/>
      <c r="D134" s="90"/>
      <c r="E134" s="91"/>
      <c r="F134" s="91"/>
    </row>
    <row r="135" spans="1:6">
      <c r="A135" s="316"/>
      <c r="B135" s="316"/>
      <c r="D135" s="90"/>
      <c r="E135" s="91"/>
      <c r="F135" s="91"/>
    </row>
    <row r="136" spans="1:6">
      <c r="A136" s="316"/>
      <c r="B136" s="316"/>
      <c r="D136" s="90"/>
      <c r="E136" s="91"/>
      <c r="F136" s="91"/>
    </row>
    <row r="137" spans="1:6">
      <c r="A137" s="316"/>
      <c r="B137" s="316"/>
      <c r="D137" s="90"/>
      <c r="E137" s="91"/>
      <c r="F137" s="91"/>
    </row>
    <row r="138" spans="1:6">
      <c r="A138" s="316"/>
      <c r="B138" s="316"/>
      <c r="D138" s="90"/>
      <c r="E138" s="91"/>
      <c r="F138" s="91"/>
    </row>
    <row r="139" spans="1:6">
      <c r="A139" s="316"/>
      <c r="B139" s="316"/>
      <c r="D139" s="90"/>
      <c r="E139" s="91"/>
      <c r="F139" s="91"/>
    </row>
    <row r="140" spans="1:6">
      <c r="A140" s="316"/>
      <c r="B140" s="316"/>
      <c r="D140" s="90"/>
      <c r="E140" s="91"/>
      <c r="F140" s="91"/>
    </row>
    <row r="141" spans="1:6">
      <c r="A141" s="316"/>
      <c r="B141" s="316"/>
      <c r="D141" s="90"/>
      <c r="E141" s="91"/>
      <c r="F141" s="91"/>
    </row>
    <row r="142" spans="1:6">
      <c r="A142" s="316"/>
      <c r="B142" s="316"/>
      <c r="D142" s="90"/>
      <c r="E142" s="91"/>
      <c r="F142" s="91"/>
    </row>
    <row r="143" spans="1:6">
      <c r="A143" s="316"/>
      <c r="B143" s="316"/>
      <c r="D143" s="90"/>
      <c r="E143" s="91"/>
      <c r="F143" s="91"/>
    </row>
    <row r="144" spans="1:6">
      <c r="A144" s="316"/>
      <c r="B144" s="316"/>
      <c r="D144" s="90"/>
      <c r="E144" s="91"/>
      <c r="F144" s="91"/>
    </row>
    <row r="145" spans="1:6">
      <c r="A145" s="316"/>
      <c r="B145" s="316"/>
      <c r="D145" s="90"/>
      <c r="E145" s="91"/>
      <c r="F145" s="91"/>
    </row>
    <row r="146" spans="1:6">
      <c r="A146" s="316"/>
      <c r="B146" s="316"/>
      <c r="D146" s="90"/>
      <c r="E146" s="91"/>
      <c r="F146" s="91"/>
    </row>
    <row r="147" spans="1:6">
      <c r="A147" s="316"/>
      <c r="B147" s="316"/>
      <c r="D147" s="90"/>
      <c r="E147" s="91"/>
      <c r="F147" s="91"/>
    </row>
    <row r="148" spans="1:6">
      <c r="A148" s="316"/>
      <c r="B148" s="316"/>
      <c r="D148" s="90"/>
      <c r="E148" s="91"/>
      <c r="F148" s="91"/>
    </row>
    <row r="149" spans="1:6">
      <c r="A149" s="316"/>
      <c r="B149" s="316"/>
      <c r="D149" s="90"/>
      <c r="E149" s="91"/>
      <c r="F149" s="91"/>
    </row>
    <row r="150" spans="1:6">
      <c r="A150" s="316"/>
      <c r="B150" s="316"/>
      <c r="D150" s="90"/>
      <c r="E150" s="91"/>
      <c r="F150" s="91"/>
    </row>
    <row r="151" spans="1:6">
      <c r="A151" s="316"/>
      <c r="B151" s="316"/>
      <c r="D151" s="90"/>
      <c r="E151" s="91"/>
      <c r="F151" s="91"/>
    </row>
    <row r="152" spans="1:6">
      <c r="A152" s="316"/>
      <c r="B152" s="316"/>
      <c r="D152" s="90"/>
      <c r="E152" s="91"/>
      <c r="F152" s="91"/>
    </row>
    <row r="153" spans="1:6">
      <c r="A153" s="316"/>
      <c r="B153" s="316"/>
      <c r="D153" s="90"/>
      <c r="E153" s="91"/>
      <c r="F153" s="91"/>
    </row>
    <row r="154" spans="1:6">
      <c r="A154" s="316"/>
      <c r="B154" s="316"/>
      <c r="D154" s="90"/>
      <c r="E154" s="91"/>
      <c r="F154" s="91"/>
    </row>
    <row r="155" spans="1:6">
      <c r="A155" s="316"/>
      <c r="B155" s="316"/>
      <c r="D155" s="90"/>
      <c r="E155" s="91"/>
      <c r="F155" s="91"/>
    </row>
    <row r="156" spans="1:6">
      <c r="A156" s="316"/>
      <c r="B156" s="316"/>
      <c r="D156" s="90"/>
      <c r="E156" s="91"/>
      <c r="F156" s="91"/>
    </row>
    <row r="157" spans="1:6">
      <c r="A157" s="316"/>
      <c r="B157" s="316"/>
      <c r="D157" s="90"/>
      <c r="E157" s="91"/>
      <c r="F157" s="91"/>
    </row>
    <row r="158" spans="1:6">
      <c r="A158" s="316"/>
      <c r="B158" s="316"/>
      <c r="D158" s="90"/>
      <c r="E158" s="91"/>
      <c r="F158" s="91"/>
    </row>
    <row r="159" spans="1:6">
      <c r="A159" s="316"/>
      <c r="B159" s="316"/>
      <c r="D159" s="90"/>
      <c r="E159" s="91"/>
      <c r="F159" s="91"/>
    </row>
    <row r="160" spans="1:6">
      <c r="A160" s="316"/>
      <c r="B160" s="316"/>
      <c r="D160" s="90"/>
      <c r="E160" s="91"/>
      <c r="F160" s="91"/>
    </row>
    <row r="161" spans="1:6">
      <c r="A161" s="316"/>
      <c r="B161" s="316"/>
      <c r="D161" s="90"/>
      <c r="E161" s="91"/>
      <c r="F161" s="91"/>
    </row>
    <row r="162" spans="1:6">
      <c r="A162" s="316"/>
      <c r="B162" s="316"/>
      <c r="D162" s="90"/>
      <c r="E162" s="91"/>
      <c r="F162" s="91"/>
    </row>
    <row r="163" spans="1:6">
      <c r="D163" s="90"/>
      <c r="E163" s="91"/>
      <c r="F163" s="91"/>
    </row>
    <row r="164" spans="1:6">
      <c r="D164" s="90"/>
      <c r="E164" s="91"/>
      <c r="F164" s="91"/>
    </row>
    <row r="165" spans="1:6">
      <c r="D165" s="90"/>
      <c r="E165" s="91"/>
      <c r="F165" s="91"/>
    </row>
    <row r="166" spans="1:6">
      <c r="D166" s="90"/>
      <c r="E166" s="91"/>
      <c r="F166" s="91"/>
    </row>
    <row r="167" spans="1:6">
      <c r="D167" s="90"/>
      <c r="E167" s="91"/>
      <c r="F167" s="91"/>
    </row>
    <row r="168" spans="1:6">
      <c r="D168" s="90"/>
      <c r="E168" s="91"/>
      <c r="F168" s="91"/>
    </row>
    <row r="169" spans="1:6">
      <c r="D169" s="90"/>
      <c r="E169" s="91"/>
      <c r="F169" s="91"/>
    </row>
    <row r="170" spans="1:6">
      <c r="D170" s="90"/>
      <c r="E170" s="91"/>
      <c r="F170" s="91"/>
    </row>
    <row r="171" spans="1:6">
      <c r="D171" s="90"/>
      <c r="E171" s="91"/>
      <c r="F171" s="91"/>
    </row>
    <row r="172" spans="1:6">
      <c r="D172" s="90"/>
      <c r="E172" s="91"/>
      <c r="F172" s="91"/>
    </row>
    <row r="173" spans="1:6">
      <c r="D173" s="90"/>
      <c r="E173" s="91"/>
      <c r="F173" s="91"/>
    </row>
    <row r="174" spans="1:6">
      <c r="D174" s="90"/>
      <c r="E174" s="91"/>
      <c r="F174" s="91"/>
    </row>
    <row r="175" spans="1:6">
      <c r="D175" s="90"/>
      <c r="E175" s="91"/>
      <c r="F175" s="91"/>
    </row>
    <row r="176" spans="1:6">
      <c r="D176" s="90"/>
      <c r="E176" s="91"/>
      <c r="F176" s="91"/>
    </row>
    <row r="177" spans="4:6">
      <c r="D177" s="90"/>
      <c r="E177" s="91"/>
      <c r="F177" s="91"/>
    </row>
    <row r="178" spans="4:6">
      <c r="D178" s="90"/>
      <c r="E178" s="91"/>
      <c r="F178" s="91"/>
    </row>
    <row r="179" spans="4:6">
      <c r="D179" s="90"/>
      <c r="E179" s="91"/>
      <c r="F179" s="91"/>
    </row>
    <row r="180" spans="4:6">
      <c r="D180" s="90"/>
      <c r="E180" s="91"/>
      <c r="F180" s="91"/>
    </row>
    <row r="181" spans="4:6">
      <c r="D181" s="90"/>
      <c r="E181" s="91"/>
      <c r="F181" s="91"/>
    </row>
    <row r="182" spans="4:6">
      <c r="D182" s="90"/>
      <c r="E182" s="91"/>
      <c r="F182" s="91"/>
    </row>
    <row r="183" spans="4:6">
      <c r="D183" s="90"/>
    </row>
    <row r="184" spans="4:6">
      <c r="D184" s="90"/>
    </row>
    <row r="185" spans="4:6">
      <c r="D185" s="90"/>
    </row>
    <row r="186" spans="4:6">
      <c r="D186" s="90"/>
    </row>
  </sheetData>
  <mergeCells count="7">
    <mergeCell ref="D32:E32"/>
    <mergeCell ref="D34:E34"/>
    <mergeCell ref="D37:E37"/>
    <mergeCell ref="D16:E16"/>
    <mergeCell ref="D17:E17"/>
    <mergeCell ref="D18:E18"/>
    <mergeCell ref="D27:E27"/>
  </mergeCells>
  <phoneticPr fontId="0" type="noConversion"/>
  <printOptions horizontalCentered="1"/>
  <pageMargins left="0.98425196850393704" right="0.78740157480314965" top="0.59055118110236227" bottom="0.98425196850393704" header="0.51181102362204722" footer="0.51181102362204722"/>
  <pageSetup paperSize="9" scale="90" fitToHeight="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8"/>
  <sheetViews>
    <sheetView view="pageBreakPreview" topLeftCell="A67" zoomScale="70" zoomScaleNormal="75" workbookViewId="0">
      <selection activeCell="I56" sqref="I56"/>
    </sheetView>
  </sheetViews>
  <sheetFormatPr defaultColWidth="11.42578125" defaultRowHeight="12.75"/>
  <cols>
    <col min="1" max="1" width="34.28515625" customWidth="1"/>
    <col min="2" max="2" width="8.85546875" customWidth="1"/>
    <col min="3" max="3" width="7.28515625" customWidth="1"/>
  </cols>
  <sheetData>
    <row r="1" spans="1:8">
      <c r="A1" s="12"/>
      <c r="B1" s="13"/>
      <c r="C1" s="13"/>
      <c r="D1" s="13"/>
      <c r="E1" s="13"/>
      <c r="F1" s="13"/>
      <c r="G1" s="13"/>
      <c r="H1" s="14"/>
    </row>
    <row r="2" spans="1:8">
      <c r="A2" s="15"/>
      <c r="B2" s="16"/>
      <c r="C2" s="16"/>
      <c r="D2" s="16"/>
      <c r="E2" s="16"/>
      <c r="F2" s="16"/>
      <c r="G2" s="16"/>
      <c r="H2" s="17"/>
    </row>
    <row r="3" spans="1:8">
      <c r="A3" s="15"/>
      <c r="B3" s="16"/>
      <c r="C3" s="16"/>
      <c r="D3" s="16"/>
      <c r="E3" s="16"/>
      <c r="F3" s="16"/>
      <c r="G3" s="16"/>
      <c r="H3" s="17"/>
    </row>
    <row r="4" spans="1:8" ht="18">
      <c r="A4" s="58" t="s">
        <v>82</v>
      </c>
      <c r="B4" s="2"/>
      <c r="C4" s="2"/>
      <c r="D4" s="2"/>
      <c r="E4" s="2"/>
      <c r="F4" s="2"/>
      <c r="G4" s="2"/>
      <c r="H4" s="18"/>
    </row>
    <row r="5" spans="1:8">
      <c r="A5" s="19"/>
      <c r="B5" s="3"/>
      <c r="C5" s="3"/>
      <c r="D5" s="3"/>
      <c r="E5" s="3"/>
      <c r="F5" s="3"/>
      <c r="G5" s="3"/>
      <c r="H5" s="20"/>
    </row>
    <row r="6" spans="1:8">
      <c r="A6" s="19"/>
      <c r="B6" s="3"/>
      <c r="C6" s="3"/>
      <c r="D6" s="3"/>
      <c r="E6" s="3"/>
      <c r="F6" s="3"/>
      <c r="G6" s="3"/>
      <c r="H6" s="20"/>
    </row>
    <row r="7" spans="1:8" ht="13.5" thickBot="1">
      <c r="A7" s="21"/>
      <c r="B7" s="22"/>
      <c r="C7" s="22"/>
      <c r="D7" s="22"/>
      <c r="E7" s="22"/>
      <c r="F7" s="22"/>
      <c r="G7" s="22"/>
      <c r="H7" s="23"/>
    </row>
    <row r="8" spans="1:8" s="9" customFormat="1" ht="15">
      <c r="A8" s="24" t="s">
        <v>83</v>
      </c>
      <c r="B8" s="24" t="s">
        <v>84</v>
      </c>
      <c r="C8" s="26"/>
      <c r="D8" s="26"/>
      <c r="E8" s="26"/>
      <c r="F8" s="26"/>
      <c r="G8" s="26"/>
      <c r="H8" s="33" t="s">
        <v>7</v>
      </c>
    </row>
    <row r="9" spans="1:8" s="9" customFormat="1" ht="15.75">
      <c r="A9" s="27"/>
      <c r="B9" s="27"/>
      <c r="C9" s="8"/>
      <c r="D9" s="59"/>
      <c r="E9" s="8"/>
      <c r="F9" s="8"/>
      <c r="G9" s="8"/>
      <c r="H9" s="34"/>
    </row>
    <row r="10" spans="1:8" s="9" customFormat="1" ht="15.75">
      <c r="A10" s="27"/>
      <c r="B10" s="344" t="s">
        <v>85</v>
      </c>
      <c r="C10" s="345"/>
      <c r="D10" s="345"/>
      <c r="E10" s="345"/>
      <c r="F10" s="345"/>
      <c r="G10" s="346"/>
      <c r="H10" s="160" t="s">
        <v>86</v>
      </c>
    </row>
    <row r="11" spans="1:8" s="9" customFormat="1" ht="15.75">
      <c r="A11" s="87"/>
      <c r="B11" s="27"/>
      <c r="C11" s="8"/>
      <c r="D11" s="8"/>
      <c r="E11" s="8"/>
      <c r="F11" s="8"/>
      <c r="G11" s="8"/>
      <c r="H11" s="35"/>
    </row>
    <row r="12" spans="1:8" ht="13.5" thickBot="1">
      <c r="A12" s="19"/>
      <c r="B12" s="19"/>
      <c r="C12" s="3"/>
      <c r="D12" s="3"/>
      <c r="E12" s="3"/>
      <c r="F12" s="3"/>
      <c r="G12" s="3"/>
      <c r="H12" s="37"/>
    </row>
    <row r="13" spans="1:8">
      <c r="A13" s="45" t="s">
        <v>87</v>
      </c>
      <c r="B13" s="47" t="s">
        <v>88</v>
      </c>
      <c r="C13" s="47" t="s">
        <v>8</v>
      </c>
      <c r="D13" s="46" t="s">
        <v>89</v>
      </c>
      <c r="E13" s="46"/>
      <c r="F13" s="42" t="s">
        <v>90</v>
      </c>
      <c r="G13" s="43"/>
      <c r="H13" s="47" t="s">
        <v>91</v>
      </c>
    </row>
    <row r="14" spans="1:8" ht="13.5" thickBot="1">
      <c r="A14" s="30"/>
      <c r="B14" s="36"/>
      <c r="C14" s="36"/>
      <c r="D14" s="31" t="s">
        <v>92</v>
      </c>
      <c r="E14" s="31" t="s">
        <v>93</v>
      </c>
      <c r="F14" s="30" t="s">
        <v>92</v>
      </c>
      <c r="G14" s="44" t="s">
        <v>93</v>
      </c>
      <c r="H14" s="36"/>
    </row>
    <row r="15" spans="1:8" ht="15">
      <c r="A15" s="27"/>
      <c r="B15" s="35"/>
      <c r="C15" s="38"/>
      <c r="D15" s="48"/>
      <c r="E15" s="52"/>
      <c r="F15" s="48"/>
      <c r="G15" s="54"/>
      <c r="H15" s="52"/>
    </row>
    <row r="16" spans="1:8" ht="15">
      <c r="A16" s="27" t="s">
        <v>94</v>
      </c>
      <c r="B16" s="35" t="s">
        <v>95</v>
      </c>
      <c r="C16" s="38">
        <v>0.4</v>
      </c>
      <c r="D16" s="48">
        <v>0.2</v>
      </c>
      <c r="E16" s="38">
        <v>0.8</v>
      </c>
      <c r="F16" s="48">
        <f>'Hilux CS 2_5 diesel 4x4 102cv'!C51/220</f>
        <v>15.546450809464508</v>
      </c>
      <c r="G16" s="55">
        <f>F16*0.75</f>
        <v>11.659838107098381</v>
      </c>
      <c r="H16" s="38">
        <f>(C16*D16*F16)+(C16*E16*G16)</f>
        <v>4.9748642590286432</v>
      </c>
    </row>
    <row r="17" spans="1:8" ht="15">
      <c r="A17" s="19" t="s">
        <v>96</v>
      </c>
      <c r="B17" s="35" t="s">
        <v>96</v>
      </c>
      <c r="C17" s="39" t="s">
        <v>96</v>
      </c>
      <c r="D17" s="49" t="s">
        <v>96</v>
      </c>
      <c r="E17" s="39" t="s">
        <v>96</v>
      </c>
      <c r="F17" s="48"/>
      <c r="G17" s="56" t="s">
        <v>96</v>
      </c>
      <c r="H17" s="39" t="s">
        <v>96</v>
      </c>
    </row>
    <row r="18" spans="1:8">
      <c r="A18" s="19"/>
      <c r="B18" s="37"/>
      <c r="C18" s="39"/>
      <c r="D18" s="49"/>
      <c r="E18" s="39"/>
      <c r="F18" s="50"/>
      <c r="G18" s="57"/>
      <c r="H18" s="40"/>
    </row>
    <row r="19" spans="1:8">
      <c r="A19" s="19"/>
      <c r="B19" s="37"/>
      <c r="C19" s="37"/>
      <c r="D19" s="49"/>
      <c r="E19" s="39"/>
      <c r="F19" s="50"/>
      <c r="G19" s="57"/>
      <c r="H19" s="40"/>
    </row>
    <row r="20" spans="1:8">
      <c r="A20" s="19"/>
      <c r="B20" s="37"/>
      <c r="C20" s="37"/>
      <c r="D20" s="3"/>
      <c r="E20" s="39"/>
      <c r="F20" s="50"/>
      <c r="G20" s="57"/>
      <c r="H20" s="40"/>
    </row>
    <row r="21" spans="1:8">
      <c r="A21" s="19"/>
      <c r="B21" s="37"/>
      <c r="C21" s="37"/>
      <c r="D21" s="3"/>
      <c r="E21" s="37"/>
      <c r="F21" s="50"/>
      <c r="G21" s="57"/>
      <c r="H21" s="40"/>
    </row>
    <row r="22" spans="1:8">
      <c r="A22" s="19"/>
      <c r="B22" s="37"/>
      <c r="C22" s="37"/>
      <c r="D22" s="3"/>
      <c r="E22" s="37"/>
      <c r="F22" s="50"/>
      <c r="G22" s="57"/>
      <c r="H22" s="40"/>
    </row>
    <row r="23" spans="1:8">
      <c r="A23" s="19"/>
      <c r="B23" s="37"/>
      <c r="C23" s="37"/>
      <c r="D23" s="3"/>
      <c r="E23" s="37"/>
      <c r="F23" s="50"/>
      <c r="G23" s="57"/>
      <c r="H23" s="40"/>
    </row>
    <row r="24" spans="1:8" ht="13.5" thickBot="1">
      <c r="A24" s="30"/>
      <c r="B24" s="36"/>
      <c r="C24" s="36"/>
      <c r="D24" s="31"/>
      <c r="E24" s="36"/>
      <c r="F24" s="51"/>
      <c r="G24" s="53"/>
      <c r="H24" s="41"/>
    </row>
    <row r="25" spans="1:8" ht="15">
      <c r="A25" s="19"/>
      <c r="B25" s="3"/>
      <c r="C25" s="3"/>
      <c r="D25" s="3"/>
      <c r="E25" s="3"/>
      <c r="F25" s="3"/>
      <c r="G25" s="4" t="s">
        <v>97</v>
      </c>
      <c r="H25" s="78">
        <f>SUM(H15:H24)</f>
        <v>4.9748642590286432</v>
      </c>
    </row>
    <row r="26" spans="1:8" ht="15.75" thickBot="1">
      <c r="A26" s="27"/>
      <c r="B26" s="8"/>
      <c r="C26" s="8"/>
      <c r="D26" s="8"/>
      <c r="E26" s="8"/>
      <c r="F26" s="8"/>
      <c r="G26" s="8"/>
      <c r="H26" s="85"/>
    </row>
    <row r="27" spans="1:8" ht="15">
      <c r="A27" s="24" t="s">
        <v>98</v>
      </c>
      <c r="B27" s="26"/>
      <c r="C27" s="26"/>
      <c r="D27" s="26"/>
      <c r="E27" s="26"/>
      <c r="F27" s="65" t="s">
        <v>8</v>
      </c>
      <c r="G27" s="26" t="s">
        <v>99</v>
      </c>
      <c r="H27" s="65" t="s">
        <v>91</v>
      </c>
    </row>
    <row r="28" spans="1:8" ht="15.75" thickBot="1">
      <c r="A28" s="60"/>
      <c r="B28" s="61"/>
      <c r="C28" s="61"/>
      <c r="D28" s="61"/>
      <c r="E28" s="61"/>
      <c r="F28" s="66"/>
      <c r="G28" s="61" t="s">
        <v>100</v>
      </c>
      <c r="H28" s="66"/>
    </row>
    <row r="29" spans="1:8" ht="15">
      <c r="A29" s="27" t="s">
        <v>67</v>
      </c>
      <c r="B29" s="8"/>
      <c r="C29" s="8"/>
      <c r="D29" s="8"/>
      <c r="E29" s="8"/>
      <c r="F29" s="38">
        <v>0.6</v>
      </c>
      <c r="G29" s="38">
        <f>ROUND(Referencias!$E$16*1.7725/176,2)</f>
        <v>4.7699999999999996</v>
      </c>
      <c r="H29" s="68">
        <f>F29*G29</f>
        <v>2.8619999999999997</v>
      </c>
    </row>
    <row r="30" spans="1:8" ht="15">
      <c r="A30" s="27"/>
      <c r="B30" s="8"/>
      <c r="C30" s="8"/>
      <c r="D30" s="8"/>
      <c r="E30" s="8"/>
      <c r="F30" s="38"/>
      <c r="G30" s="38"/>
      <c r="H30" s="68"/>
    </row>
    <row r="31" spans="1:8" ht="15">
      <c r="A31" s="27"/>
      <c r="B31" s="8"/>
      <c r="C31" s="8"/>
      <c r="D31" s="8"/>
      <c r="E31" s="8"/>
      <c r="F31" s="38"/>
      <c r="G31" s="38"/>
      <c r="H31" s="68"/>
    </row>
    <row r="32" spans="1:8" ht="15">
      <c r="A32" s="27"/>
      <c r="B32" s="8"/>
      <c r="C32" s="8"/>
      <c r="D32" s="8"/>
      <c r="E32" s="8"/>
      <c r="F32" s="38"/>
      <c r="G32" s="48"/>
      <c r="H32" s="68"/>
    </row>
    <row r="33" spans="1:8" ht="15.75" thickBot="1">
      <c r="A33" s="60"/>
      <c r="B33" s="61"/>
      <c r="C33" s="61"/>
      <c r="D33" s="61"/>
      <c r="E33" s="61"/>
      <c r="F33" s="66"/>
      <c r="G33" s="64"/>
      <c r="H33" s="69"/>
    </row>
    <row r="34" spans="1:8" ht="15">
      <c r="A34" s="27"/>
      <c r="B34" s="8"/>
      <c r="C34" s="8"/>
      <c r="D34" s="8"/>
      <c r="E34" s="8"/>
      <c r="F34" s="8"/>
      <c r="G34" s="10" t="s">
        <v>101</v>
      </c>
      <c r="H34" s="78">
        <f>SUM(H29:H33)</f>
        <v>2.8619999999999997</v>
      </c>
    </row>
    <row r="35" spans="1:8" ht="15.75" thickBot="1">
      <c r="A35" s="27"/>
      <c r="B35" s="8"/>
      <c r="C35" s="8"/>
      <c r="D35" s="8"/>
      <c r="E35" s="8"/>
      <c r="F35" s="8"/>
      <c r="G35" s="8"/>
      <c r="H35" s="85"/>
    </row>
    <row r="36" spans="1:8" ht="15">
      <c r="A36" s="24" t="s">
        <v>102</v>
      </c>
      <c r="B36" s="26"/>
      <c r="C36" s="26"/>
      <c r="D36" s="26"/>
      <c r="E36" s="25" t="s">
        <v>8</v>
      </c>
      <c r="F36" s="65" t="s">
        <v>7</v>
      </c>
      <c r="G36" s="26" t="s">
        <v>103</v>
      </c>
      <c r="H36" s="65" t="s">
        <v>91</v>
      </c>
    </row>
    <row r="37" spans="1:8" ht="15.75" thickBot="1">
      <c r="A37" s="60"/>
      <c r="B37" s="61"/>
      <c r="C37" s="61"/>
      <c r="D37" s="61"/>
      <c r="E37" s="62"/>
      <c r="F37" s="66"/>
      <c r="G37" s="61" t="s">
        <v>104</v>
      </c>
      <c r="H37" s="66"/>
    </row>
    <row r="38" spans="1:8" ht="15">
      <c r="A38" s="24" t="s">
        <v>105</v>
      </c>
      <c r="B38" s="26"/>
      <c r="C38" s="26"/>
      <c r="D38" s="26"/>
      <c r="E38" s="70">
        <v>1</v>
      </c>
      <c r="F38" s="34" t="s">
        <v>7</v>
      </c>
      <c r="G38" s="67">
        <v>31</v>
      </c>
      <c r="H38" s="68">
        <f>E38*G38</f>
        <v>31</v>
      </c>
    </row>
    <row r="39" spans="1:8" ht="15">
      <c r="A39" s="27" t="s">
        <v>106</v>
      </c>
      <c r="B39" s="8"/>
      <c r="C39" s="8"/>
      <c r="D39" s="8"/>
      <c r="E39" s="71">
        <v>1</v>
      </c>
      <c r="F39" s="34" t="s">
        <v>7</v>
      </c>
      <c r="G39" s="68">
        <v>3</v>
      </c>
      <c r="H39" s="68">
        <f>E39*G39</f>
        <v>3</v>
      </c>
    </row>
    <row r="40" spans="1:8" ht="15">
      <c r="A40" s="27"/>
      <c r="B40" s="8"/>
      <c r="C40" s="8"/>
      <c r="D40" s="8"/>
      <c r="E40" s="63"/>
      <c r="F40" s="35"/>
      <c r="G40" s="68"/>
      <c r="H40" s="68"/>
    </row>
    <row r="41" spans="1:8" ht="15">
      <c r="A41" s="27"/>
      <c r="B41" s="8"/>
      <c r="C41" s="8"/>
      <c r="D41" s="8"/>
      <c r="E41" s="63"/>
      <c r="F41" s="35"/>
      <c r="G41" s="68"/>
      <c r="H41" s="68"/>
    </row>
    <row r="42" spans="1:8" ht="15">
      <c r="A42" s="27"/>
      <c r="B42" s="8"/>
      <c r="C42" s="8"/>
      <c r="D42" s="8"/>
      <c r="E42" s="63"/>
      <c r="F42" s="35"/>
      <c r="G42" s="68"/>
      <c r="H42" s="68"/>
    </row>
    <row r="43" spans="1:8">
      <c r="A43" s="19"/>
      <c r="B43" s="3"/>
      <c r="C43" s="3"/>
      <c r="D43" s="3"/>
      <c r="E43" s="29"/>
      <c r="F43" s="37"/>
      <c r="G43" s="40"/>
      <c r="H43" s="40"/>
    </row>
    <row r="44" spans="1:8">
      <c r="A44" s="19"/>
      <c r="B44" s="3"/>
      <c r="C44" s="3"/>
      <c r="D44" s="3"/>
      <c r="E44" s="29"/>
      <c r="F44" s="37"/>
      <c r="G44" s="40"/>
      <c r="H44" s="40"/>
    </row>
    <row r="45" spans="1:8">
      <c r="A45" s="19"/>
      <c r="B45" s="3"/>
      <c r="C45" s="3"/>
      <c r="D45" s="3"/>
      <c r="E45" s="29"/>
      <c r="F45" s="37"/>
      <c r="G45" s="40"/>
      <c r="H45" s="40"/>
    </row>
    <row r="46" spans="1:8">
      <c r="A46" s="19"/>
      <c r="B46" s="3"/>
      <c r="C46" s="3"/>
      <c r="D46" s="3"/>
      <c r="E46" s="29"/>
      <c r="F46" s="37"/>
      <c r="G46" s="40"/>
      <c r="H46" s="40"/>
    </row>
    <row r="47" spans="1:8">
      <c r="A47" s="19"/>
      <c r="B47" s="3"/>
      <c r="C47" s="3"/>
      <c r="D47" s="3"/>
      <c r="E47" s="28"/>
      <c r="F47" s="37"/>
      <c r="G47" s="40"/>
      <c r="H47" s="40"/>
    </row>
    <row r="48" spans="1:8" ht="13.5" thickBot="1">
      <c r="A48" s="30"/>
      <c r="B48" s="31"/>
      <c r="C48" s="31"/>
      <c r="D48" s="31"/>
      <c r="E48" s="32"/>
      <c r="F48" s="36"/>
      <c r="G48" s="41"/>
      <c r="H48" s="41"/>
    </row>
    <row r="49" spans="1:8" ht="15">
      <c r="A49" s="19"/>
      <c r="B49" s="3"/>
      <c r="C49" s="3"/>
      <c r="D49" s="3"/>
      <c r="E49" s="3"/>
      <c r="F49" s="8"/>
      <c r="G49" s="10" t="s">
        <v>107</v>
      </c>
      <c r="H49" s="78">
        <f>SUM(H38:H48)</f>
        <v>34</v>
      </c>
    </row>
    <row r="50" spans="1:8" ht="15">
      <c r="A50" s="19"/>
      <c r="B50" s="3"/>
      <c r="C50" s="3"/>
      <c r="D50" s="3"/>
      <c r="E50" s="3"/>
      <c r="F50" s="8"/>
      <c r="G50" s="8"/>
      <c r="H50" s="85"/>
    </row>
    <row r="51" spans="1:8" ht="15">
      <c r="A51" s="19"/>
      <c r="B51" s="3"/>
      <c r="C51" s="3"/>
      <c r="D51" s="3"/>
      <c r="E51" s="3"/>
      <c r="F51" s="8"/>
      <c r="G51" s="10" t="s">
        <v>108</v>
      </c>
      <c r="H51" s="77">
        <f>H25+H34+H49</f>
        <v>41.836864259028644</v>
      </c>
    </row>
    <row r="52" spans="1:8">
      <c r="A52" s="19"/>
      <c r="B52" s="3"/>
      <c r="C52" s="3"/>
      <c r="D52" s="3"/>
      <c r="E52" s="3"/>
      <c r="F52" s="3"/>
      <c r="G52" s="3"/>
      <c r="H52" s="20"/>
    </row>
    <row r="53" spans="1:8" ht="15">
      <c r="A53" s="27" t="s">
        <v>109</v>
      </c>
      <c r="B53" s="7">
        <v>1</v>
      </c>
      <c r="C53" s="8" t="s">
        <v>110</v>
      </c>
      <c r="D53" s="8"/>
      <c r="E53" s="8"/>
      <c r="F53" s="8"/>
      <c r="G53" s="8"/>
      <c r="H53" s="85"/>
    </row>
    <row r="54" spans="1:8" ht="15">
      <c r="A54" s="27"/>
      <c r="B54" s="8"/>
      <c r="C54" s="8"/>
      <c r="D54" s="8"/>
      <c r="E54" s="8" t="s">
        <v>111</v>
      </c>
      <c r="F54" s="8"/>
      <c r="G54" s="8"/>
      <c r="H54" s="85"/>
    </row>
    <row r="55" spans="1:8" ht="15">
      <c r="A55" s="27"/>
      <c r="B55" s="8"/>
      <c r="C55" s="8"/>
      <c r="D55" s="8"/>
      <c r="E55" s="8"/>
      <c r="F55" s="8"/>
      <c r="G55" s="10" t="s">
        <v>112</v>
      </c>
      <c r="H55" s="77">
        <f>H51/B53</f>
        <v>41.836864259028644</v>
      </c>
    </row>
    <row r="56" spans="1:8" ht="13.5" thickBot="1">
      <c r="A56" s="19"/>
      <c r="B56" s="3"/>
      <c r="C56" s="3"/>
      <c r="D56" s="3"/>
      <c r="E56" s="3"/>
      <c r="F56" s="3"/>
      <c r="G56" s="3"/>
      <c r="H56" s="20"/>
    </row>
    <row r="57" spans="1:8" ht="15">
      <c r="A57" s="24" t="s">
        <v>113</v>
      </c>
      <c r="B57" s="26"/>
      <c r="C57" s="26"/>
      <c r="D57" s="25" t="s">
        <v>114</v>
      </c>
      <c r="E57" s="65" t="s">
        <v>8</v>
      </c>
      <c r="F57" s="26" t="s">
        <v>7</v>
      </c>
      <c r="G57" s="65" t="s">
        <v>103</v>
      </c>
      <c r="H57" s="72" t="s">
        <v>91</v>
      </c>
    </row>
    <row r="58" spans="1:8" ht="15.75" thickBot="1">
      <c r="A58" s="60"/>
      <c r="B58" s="61"/>
      <c r="C58" s="61"/>
      <c r="D58" s="62"/>
      <c r="E58" s="66"/>
      <c r="F58" s="61"/>
      <c r="G58" s="66" t="s">
        <v>104</v>
      </c>
      <c r="H58" s="73"/>
    </row>
    <row r="59" spans="1:8" ht="15">
      <c r="A59" s="27"/>
      <c r="B59" s="8"/>
      <c r="C59" s="8"/>
      <c r="D59" s="6"/>
      <c r="E59" s="35"/>
      <c r="F59" s="8"/>
      <c r="G59" s="76"/>
      <c r="H59" s="74"/>
    </row>
    <row r="60" spans="1:8" ht="15">
      <c r="A60" s="27"/>
      <c r="B60" s="8"/>
      <c r="C60" s="8"/>
      <c r="D60" s="5"/>
      <c r="E60" s="35"/>
      <c r="F60" s="8"/>
      <c r="G60" s="68"/>
      <c r="H60" s="74"/>
    </row>
    <row r="61" spans="1:8" ht="15.75" thickBot="1">
      <c r="A61" s="60"/>
      <c r="B61" s="61"/>
      <c r="C61" s="61"/>
      <c r="D61" s="62"/>
      <c r="E61" s="66"/>
      <c r="F61" s="61"/>
      <c r="G61" s="69"/>
      <c r="H61" s="75"/>
    </row>
    <row r="62" spans="1:8" ht="15">
      <c r="A62" s="27"/>
      <c r="B62" s="8"/>
      <c r="C62" s="8"/>
      <c r="D62" s="8"/>
      <c r="E62" s="8"/>
      <c r="F62" s="8"/>
      <c r="G62" s="10" t="s">
        <v>115</v>
      </c>
      <c r="H62" s="78">
        <f>SUM(H59:H61)</f>
        <v>0</v>
      </c>
    </row>
    <row r="63" spans="1:8" ht="15.75" thickBot="1">
      <c r="A63" s="27"/>
      <c r="B63" s="8"/>
      <c r="C63" s="8"/>
      <c r="D63" s="8"/>
      <c r="E63" s="8"/>
      <c r="F63" s="8"/>
      <c r="G63" s="10"/>
      <c r="H63" s="85"/>
    </row>
    <row r="64" spans="1:8" ht="15.75" thickBot="1">
      <c r="A64" s="79" t="s">
        <v>116</v>
      </c>
      <c r="B64" s="80"/>
      <c r="C64" s="80"/>
      <c r="D64" s="80"/>
      <c r="E64" s="80"/>
      <c r="F64" s="80"/>
      <c r="G64" s="81" t="s">
        <v>117</v>
      </c>
      <c r="H64" s="82">
        <f>H55+H62</f>
        <v>41.836864259028644</v>
      </c>
    </row>
    <row r="65" spans="1:8" ht="15.75" thickBot="1">
      <c r="A65" s="27" t="s">
        <v>118</v>
      </c>
      <c r="B65" s="8"/>
      <c r="C65" s="8"/>
      <c r="D65" s="8"/>
      <c r="E65" s="8"/>
      <c r="F65" s="8"/>
      <c r="G65" s="83">
        <v>0.2</v>
      </c>
      <c r="H65" s="63">
        <f>0.2*H64</f>
        <v>8.3673728518057295</v>
      </c>
    </row>
    <row r="66" spans="1:8" ht="15.75" thickBot="1">
      <c r="A66" s="79" t="s">
        <v>9</v>
      </c>
      <c r="B66" s="80"/>
      <c r="C66" s="80"/>
      <c r="D66" s="80"/>
      <c r="E66" s="80"/>
      <c r="F66" s="80"/>
      <c r="G66" s="84"/>
      <c r="H66" s="82">
        <f>H64+H65</f>
        <v>50.20423711083437</v>
      </c>
    </row>
    <row r="67" spans="1:8">
      <c r="A67" s="12"/>
      <c r="B67" s="13"/>
      <c r="C67" s="13"/>
      <c r="D67" s="13"/>
      <c r="E67" s="13"/>
      <c r="F67" s="13"/>
      <c r="G67" s="13"/>
      <c r="H67" s="14"/>
    </row>
    <row r="68" spans="1:8">
      <c r="A68" s="15"/>
      <c r="B68" s="16"/>
      <c r="C68" s="16"/>
      <c r="D68" s="16"/>
      <c r="E68" s="16"/>
      <c r="F68" s="16"/>
      <c r="G68" s="16"/>
      <c r="H68" s="17"/>
    </row>
    <row r="69" spans="1:8">
      <c r="A69" s="15"/>
      <c r="B69" s="16"/>
      <c r="C69" s="16"/>
      <c r="D69" s="16"/>
      <c r="E69" s="16"/>
      <c r="F69" s="16"/>
      <c r="G69" s="16"/>
      <c r="H69" s="17"/>
    </row>
    <row r="70" spans="1:8" ht="18">
      <c r="A70" s="58" t="s">
        <v>82</v>
      </c>
      <c r="B70" s="2"/>
      <c r="C70" s="2"/>
      <c r="D70" s="2"/>
      <c r="E70" s="2"/>
      <c r="F70" s="2"/>
      <c r="G70" s="2"/>
      <c r="H70" s="18"/>
    </row>
    <row r="71" spans="1:8">
      <c r="A71" s="19"/>
      <c r="B71" s="3"/>
      <c r="C71" s="3"/>
      <c r="D71" s="3"/>
      <c r="E71" s="3"/>
      <c r="F71" s="3"/>
      <c r="G71" s="3"/>
      <c r="H71" s="20"/>
    </row>
    <row r="72" spans="1:8">
      <c r="A72" s="19"/>
      <c r="B72" s="3"/>
      <c r="C72" s="3"/>
      <c r="D72" s="3"/>
      <c r="E72" s="3"/>
      <c r="F72" s="3"/>
      <c r="G72" s="3"/>
      <c r="H72" s="20"/>
    </row>
    <row r="73" spans="1:8" ht="13.5" thickBot="1">
      <c r="A73" s="21"/>
      <c r="B73" s="22"/>
      <c r="C73" s="22"/>
      <c r="D73" s="22"/>
      <c r="E73" s="22"/>
      <c r="F73" s="22"/>
      <c r="G73" s="22"/>
      <c r="H73" s="23"/>
    </row>
    <row r="74" spans="1:8" s="9" customFormat="1" ht="15">
      <c r="A74" s="24" t="s">
        <v>83</v>
      </c>
      <c r="B74" s="24" t="s">
        <v>84</v>
      </c>
      <c r="C74" s="26"/>
      <c r="D74" s="26"/>
      <c r="E74" s="26"/>
      <c r="F74" s="26"/>
      <c r="G74" s="26"/>
      <c r="H74" s="33" t="s">
        <v>7</v>
      </c>
    </row>
    <row r="75" spans="1:8" s="9" customFormat="1" ht="15.75">
      <c r="A75" s="27"/>
      <c r="B75" s="27"/>
      <c r="C75" s="8"/>
      <c r="D75" s="59"/>
      <c r="E75" s="8"/>
      <c r="F75" s="8"/>
      <c r="G75" s="8"/>
      <c r="H75" s="34"/>
    </row>
    <row r="76" spans="1:8" s="9" customFormat="1" ht="15.75">
      <c r="A76" s="27"/>
      <c r="B76" s="344" t="s">
        <v>119</v>
      </c>
      <c r="C76" s="345"/>
      <c r="D76" s="345"/>
      <c r="E76" s="345"/>
      <c r="F76" s="345"/>
      <c r="G76" s="346"/>
      <c r="H76" s="160" t="s">
        <v>86</v>
      </c>
    </row>
    <row r="77" spans="1:8" s="9" customFormat="1" ht="15.75">
      <c r="A77" s="87"/>
      <c r="B77" s="27"/>
      <c r="C77" s="8"/>
      <c r="D77" s="8"/>
      <c r="E77" s="8"/>
      <c r="F77" s="8"/>
      <c r="G77" s="8"/>
      <c r="H77" s="35"/>
    </row>
    <row r="78" spans="1:8" ht="13.5" thickBot="1">
      <c r="A78" s="19"/>
      <c r="B78" s="19"/>
      <c r="C78" s="3"/>
      <c r="D78" s="3"/>
      <c r="E78" s="3"/>
      <c r="F78" s="3"/>
      <c r="G78" s="3"/>
      <c r="H78" s="37"/>
    </row>
    <row r="79" spans="1:8">
      <c r="A79" s="45" t="s">
        <v>87</v>
      </c>
      <c r="B79" s="47" t="s">
        <v>88</v>
      </c>
      <c r="C79" s="47" t="s">
        <v>8</v>
      </c>
      <c r="D79" s="46" t="s">
        <v>89</v>
      </c>
      <c r="E79" s="46"/>
      <c r="F79" s="42" t="s">
        <v>90</v>
      </c>
      <c r="G79" s="43"/>
      <c r="H79" s="47" t="s">
        <v>91</v>
      </c>
    </row>
    <row r="80" spans="1:8" ht="13.5" thickBot="1">
      <c r="A80" s="30"/>
      <c r="B80" s="36"/>
      <c r="C80" s="36"/>
      <c r="D80" s="31" t="s">
        <v>92</v>
      </c>
      <c r="E80" s="31" t="s">
        <v>93</v>
      </c>
      <c r="F80" s="30" t="s">
        <v>92</v>
      </c>
      <c r="G80" s="44" t="s">
        <v>93</v>
      </c>
      <c r="H80" s="36"/>
    </row>
    <row r="81" spans="1:8" ht="15">
      <c r="A81" s="27"/>
      <c r="B81" s="35"/>
      <c r="C81" s="38"/>
      <c r="D81" s="48"/>
      <c r="E81" s="52"/>
      <c r="F81" s="48"/>
      <c r="G81" s="54"/>
      <c r="H81" s="52"/>
    </row>
    <row r="82" spans="1:8" ht="15">
      <c r="A82" s="27" t="s">
        <v>94</v>
      </c>
      <c r="B82" s="35" t="s">
        <v>95</v>
      </c>
      <c r="C82" s="38">
        <v>0.2</v>
      </c>
      <c r="D82" s="48">
        <v>0.2</v>
      </c>
      <c r="E82" s="38">
        <v>0.8</v>
      </c>
      <c r="F82" s="48">
        <f>'Hilux CS 2_5 diesel 4x4 102cv'!C51/220</f>
        <v>15.546450809464508</v>
      </c>
      <c r="G82" s="55">
        <f>F82*0.75</f>
        <v>11.659838107098381</v>
      </c>
      <c r="H82" s="38">
        <f>(C82*D82*F82)+(C82*E82*G82)</f>
        <v>2.4874321295143216</v>
      </c>
    </row>
    <row r="83" spans="1:8" ht="15">
      <c r="A83" s="19" t="s">
        <v>96</v>
      </c>
      <c r="B83" s="35" t="s">
        <v>96</v>
      </c>
      <c r="C83" s="39" t="s">
        <v>96</v>
      </c>
      <c r="D83" s="49" t="s">
        <v>96</v>
      </c>
      <c r="E83" s="39" t="s">
        <v>96</v>
      </c>
      <c r="F83" s="48"/>
      <c r="G83" s="56" t="s">
        <v>96</v>
      </c>
      <c r="H83" s="39" t="s">
        <v>96</v>
      </c>
    </row>
    <row r="84" spans="1:8">
      <c r="A84" s="19"/>
      <c r="B84" s="37"/>
      <c r="C84" s="39"/>
      <c r="D84" s="49"/>
      <c r="E84" s="39"/>
      <c r="F84" s="50"/>
      <c r="G84" s="57"/>
      <c r="H84" s="40"/>
    </row>
    <row r="85" spans="1:8">
      <c r="A85" s="19"/>
      <c r="B85" s="37"/>
      <c r="C85" s="37"/>
      <c r="D85" s="49"/>
      <c r="E85" s="39"/>
      <c r="F85" s="50"/>
      <c r="G85" s="57"/>
      <c r="H85" s="40"/>
    </row>
    <row r="86" spans="1:8">
      <c r="A86" s="19"/>
      <c r="B86" s="37"/>
      <c r="C86" s="37"/>
      <c r="D86" s="3"/>
      <c r="E86" s="39"/>
      <c r="F86" s="50"/>
      <c r="G86" s="57"/>
      <c r="H86" s="40"/>
    </row>
    <row r="87" spans="1:8">
      <c r="A87" s="19"/>
      <c r="B87" s="37"/>
      <c r="C87" s="37"/>
      <c r="D87" s="3"/>
      <c r="E87" s="37"/>
      <c r="F87" s="50"/>
      <c r="G87" s="57"/>
      <c r="H87" s="40"/>
    </row>
    <row r="88" spans="1:8">
      <c r="A88" s="19"/>
      <c r="B88" s="37"/>
      <c r="C88" s="37"/>
      <c r="D88" s="3"/>
      <c r="E88" s="37"/>
      <c r="F88" s="50"/>
      <c r="G88" s="57"/>
      <c r="H88" s="40"/>
    </row>
    <row r="89" spans="1:8">
      <c r="A89" s="19"/>
      <c r="B89" s="37"/>
      <c r="C89" s="37"/>
      <c r="D89" s="3"/>
      <c r="E89" s="37"/>
      <c r="F89" s="50"/>
      <c r="G89" s="57"/>
      <c r="H89" s="40"/>
    </row>
    <row r="90" spans="1:8" ht="13.5" thickBot="1">
      <c r="A90" s="30"/>
      <c r="B90" s="36"/>
      <c r="C90" s="36"/>
      <c r="D90" s="31"/>
      <c r="E90" s="36"/>
      <c r="F90" s="51"/>
      <c r="G90" s="53"/>
      <c r="H90" s="41"/>
    </row>
    <row r="91" spans="1:8" ht="15">
      <c r="A91" s="19"/>
      <c r="B91" s="3"/>
      <c r="C91" s="3"/>
      <c r="D91" s="3"/>
      <c r="E91" s="3"/>
      <c r="F91" s="3"/>
      <c r="G91" s="4" t="s">
        <v>97</v>
      </c>
      <c r="H91" s="78">
        <f>SUM(H81:H90)</f>
        <v>2.4874321295143216</v>
      </c>
    </row>
    <row r="92" spans="1:8" ht="15.75" thickBot="1">
      <c r="A92" s="27"/>
      <c r="B92" s="8"/>
      <c r="C92" s="8"/>
      <c r="D92" s="8"/>
      <c r="E92" s="8"/>
      <c r="F92" s="8"/>
      <c r="G92" s="8"/>
      <c r="H92" s="85"/>
    </row>
    <row r="93" spans="1:8" ht="15">
      <c r="A93" s="24" t="s">
        <v>98</v>
      </c>
      <c r="B93" s="26"/>
      <c r="C93" s="26"/>
      <c r="D93" s="26"/>
      <c r="E93" s="26"/>
      <c r="F93" s="65" t="s">
        <v>8</v>
      </c>
      <c r="G93" s="26" t="s">
        <v>99</v>
      </c>
      <c r="H93" s="65" t="s">
        <v>91</v>
      </c>
    </row>
    <row r="94" spans="1:8" ht="15.75" thickBot="1">
      <c r="A94" s="60"/>
      <c r="B94" s="61"/>
      <c r="C94" s="61"/>
      <c r="D94" s="61"/>
      <c r="E94" s="61"/>
      <c r="F94" s="66"/>
      <c r="G94" s="61" t="s">
        <v>100</v>
      </c>
      <c r="H94" s="66"/>
    </row>
    <row r="95" spans="1:8" ht="15">
      <c r="A95" s="27" t="s">
        <v>67</v>
      </c>
      <c r="B95" s="8"/>
      <c r="C95" s="8"/>
      <c r="D95" s="8"/>
      <c r="E95" s="8"/>
      <c r="F95" s="38">
        <v>0.6</v>
      </c>
      <c r="G95" s="38">
        <f>ROUND(Referencias!$E$16*1.7725/176,2)</f>
        <v>4.7699999999999996</v>
      </c>
      <c r="H95" s="68">
        <f>F95*G95</f>
        <v>2.8619999999999997</v>
      </c>
    </row>
    <row r="96" spans="1:8" ht="15">
      <c r="A96" s="27"/>
      <c r="B96" s="8"/>
      <c r="C96" s="8"/>
      <c r="D96" s="8"/>
      <c r="E96" s="8"/>
      <c r="F96" s="38"/>
      <c r="G96" s="38"/>
      <c r="H96" s="68"/>
    </row>
    <row r="97" spans="1:9" ht="15">
      <c r="A97" s="27"/>
      <c r="B97" s="8"/>
      <c r="C97" s="8"/>
      <c r="D97" s="8"/>
      <c r="E97" s="8"/>
      <c r="F97" s="38"/>
      <c r="G97" s="38"/>
      <c r="H97" s="68"/>
    </row>
    <row r="98" spans="1:9" ht="15">
      <c r="A98" s="27"/>
      <c r="B98" s="8"/>
      <c r="C98" s="8"/>
      <c r="D98" s="8"/>
      <c r="E98" s="8"/>
      <c r="F98" s="38"/>
      <c r="G98" s="48"/>
      <c r="H98" s="68"/>
    </row>
    <row r="99" spans="1:9" ht="15.75" thickBot="1">
      <c r="A99" s="60"/>
      <c r="B99" s="61"/>
      <c r="C99" s="61"/>
      <c r="D99" s="61"/>
      <c r="E99" s="61"/>
      <c r="F99" s="66"/>
      <c r="G99" s="64"/>
      <c r="H99" s="69"/>
    </row>
    <row r="100" spans="1:9" ht="15">
      <c r="A100" s="27"/>
      <c r="B100" s="8"/>
      <c r="C100" s="8"/>
      <c r="D100" s="8"/>
      <c r="E100" s="8"/>
      <c r="F100" s="8"/>
      <c r="G100" s="10" t="s">
        <v>101</v>
      </c>
      <c r="H100" s="78">
        <f>SUM(H95:H99)</f>
        <v>2.8619999999999997</v>
      </c>
    </row>
    <row r="101" spans="1:9" ht="15.75" thickBot="1">
      <c r="A101" s="27"/>
      <c r="B101" s="8"/>
      <c r="C101" s="8"/>
      <c r="D101" s="8"/>
      <c r="E101" s="8"/>
      <c r="F101" s="8"/>
      <c r="G101" s="8"/>
      <c r="H101" s="85"/>
    </row>
    <row r="102" spans="1:9" ht="15">
      <c r="A102" s="24" t="s">
        <v>102</v>
      </c>
      <c r="B102" s="26"/>
      <c r="C102" s="26"/>
      <c r="D102" s="26"/>
      <c r="E102" s="25" t="s">
        <v>8</v>
      </c>
      <c r="F102" s="65" t="s">
        <v>7</v>
      </c>
      <c r="G102" s="26" t="s">
        <v>103</v>
      </c>
      <c r="H102" s="65" t="s">
        <v>91</v>
      </c>
    </row>
    <row r="103" spans="1:9" ht="15.75" thickBot="1">
      <c r="A103" s="60"/>
      <c r="B103" s="61"/>
      <c r="C103" s="61"/>
      <c r="D103" s="61"/>
      <c r="E103" s="62"/>
      <c r="F103" s="66"/>
      <c r="G103" s="61" t="s">
        <v>104</v>
      </c>
      <c r="H103" s="66"/>
    </row>
    <row r="104" spans="1:9" ht="15">
      <c r="A104" s="24" t="s">
        <v>120</v>
      </c>
      <c r="B104" s="26"/>
      <c r="C104" s="26"/>
      <c r="D104" s="26"/>
      <c r="E104" s="70">
        <v>1</v>
      </c>
      <c r="F104" s="34" t="s">
        <v>7</v>
      </c>
      <c r="G104" s="67">
        <f>ROUND(1968*0.00125,2)</f>
        <v>2.46</v>
      </c>
      <c r="H104" s="68">
        <f>E104*G104</f>
        <v>2.46</v>
      </c>
      <c r="I104" t="s">
        <v>121</v>
      </c>
    </row>
    <row r="105" spans="1:9" ht="15">
      <c r="A105" s="27"/>
      <c r="B105" s="8"/>
      <c r="C105" s="8"/>
      <c r="D105" s="8"/>
      <c r="E105" s="71"/>
      <c r="F105" s="35"/>
      <c r="G105" s="68"/>
      <c r="H105" s="68"/>
    </row>
    <row r="106" spans="1:9" ht="15">
      <c r="A106" s="27"/>
      <c r="B106" s="8"/>
      <c r="C106" s="8"/>
      <c r="D106" s="8"/>
      <c r="E106" s="63"/>
      <c r="F106" s="35"/>
      <c r="G106" s="68"/>
      <c r="H106" s="68"/>
    </row>
    <row r="107" spans="1:9" ht="15">
      <c r="A107" s="27"/>
      <c r="B107" s="8"/>
      <c r="C107" s="8"/>
      <c r="D107" s="8"/>
      <c r="E107" s="63"/>
      <c r="F107" s="35"/>
      <c r="G107" s="68"/>
      <c r="H107" s="68"/>
    </row>
    <row r="108" spans="1:9" ht="15">
      <c r="A108" s="27"/>
      <c r="B108" s="8"/>
      <c r="C108" s="8"/>
      <c r="D108" s="8"/>
      <c r="E108" s="63"/>
      <c r="F108" s="35"/>
      <c r="G108" s="68"/>
      <c r="H108" s="68"/>
    </row>
    <row r="109" spans="1:9">
      <c r="A109" s="19"/>
      <c r="B109" s="3"/>
      <c r="C109" s="3"/>
      <c r="D109" s="3"/>
      <c r="E109" s="29"/>
      <c r="F109" s="37"/>
      <c r="G109" s="40"/>
      <c r="H109" s="40"/>
    </row>
    <row r="110" spans="1:9">
      <c r="A110" s="19"/>
      <c r="B110" s="3"/>
      <c r="C110" s="3"/>
      <c r="D110" s="3"/>
      <c r="E110" s="29"/>
      <c r="F110" s="37"/>
      <c r="G110" s="40"/>
      <c r="H110" s="40"/>
    </row>
    <row r="111" spans="1:9">
      <c r="A111" s="19"/>
      <c r="B111" s="3"/>
      <c r="C111" s="3"/>
      <c r="D111" s="3"/>
      <c r="E111" s="29"/>
      <c r="F111" s="37"/>
      <c r="G111" s="40"/>
      <c r="H111" s="40"/>
    </row>
    <row r="112" spans="1:9">
      <c r="A112" s="19"/>
      <c r="B112" s="3"/>
      <c r="C112" s="3"/>
      <c r="D112" s="3"/>
      <c r="E112" s="29"/>
      <c r="F112" s="37"/>
      <c r="G112" s="40"/>
      <c r="H112" s="40"/>
    </row>
    <row r="113" spans="1:8">
      <c r="A113" s="19"/>
      <c r="B113" s="3"/>
      <c r="C113" s="3"/>
      <c r="D113" s="3"/>
      <c r="E113" s="28"/>
      <c r="F113" s="37"/>
      <c r="G113" s="40"/>
      <c r="H113" s="40"/>
    </row>
    <row r="114" spans="1:8" ht="13.5" thickBot="1">
      <c r="A114" s="30"/>
      <c r="B114" s="31"/>
      <c r="C114" s="31"/>
      <c r="D114" s="31"/>
      <c r="E114" s="32"/>
      <c r="F114" s="36"/>
      <c r="G114" s="41"/>
      <c r="H114" s="41"/>
    </row>
    <row r="115" spans="1:8" ht="15">
      <c r="A115" s="19"/>
      <c r="B115" s="3"/>
      <c r="C115" s="3"/>
      <c r="D115" s="3"/>
      <c r="E115" s="3"/>
      <c r="F115" s="8"/>
      <c r="G115" s="10" t="s">
        <v>107</v>
      </c>
      <c r="H115" s="78">
        <f>SUM(H104:H114)</f>
        <v>2.46</v>
      </c>
    </row>
    <row r="116" spans="1:8" ht="15">
      <c r="A116" s="19"/>
      <c r="B116" s="3"/>
      <c r="C116" s="3"/>
      <c r="D116" s="3"/>
      <c r="E116" s="3"/>
      <c r="F116" s="8"/>
      <c r="G116" s="8"/>
      <c r="H116" s="85"/>
    </row>
    <row r="117" spans="1:8" ht="15">
      <c r="A117" s="19"/>
      <c r="B117" s="3"/>
      <c r="C117" s="3"/>
      <c r="D117" s="3"/>
      <c r="E117" s="3"/>
      <c r="F117" s="8"/>
      <c r="G117" s="10" t="s">
        <v>108</v>
      </c>
      <c r="H117" s="77">
        <f>H91+H100+H115</f>
        <v>7.8094321295143212</v>
      </c>
    </row>
    <row r="118" spans="1:8">
      <c r="A118" s="19"/>
      <c r="B118" s="3"/>
      <c r="C118" s="3"/>
      <c r="D118" s="3"/>
      <c r="E118" s="3"/>
      <c r="F118" s="3"/>
      <c r="G118" s="3"/>
      <c r="H118" s="20"/>
    </row>
    <row r="119" spans="1:8" ht="15">
      <c r="A119" s="27" t="s">
        <v>109</v>
      </c>
      <c r="B119" s="7">
        <v>1</v>
      </c>
      <c r="C119" s="8" t="s">
        <v>110</v>
      </c>
      <c r="D119" s="8"/>
      <c r="E119" s="8"/>
      <c r="F119" s="8"/>
      <c r="G119" s="8"/>
      <c r="H119" s="85"/>
    </row>
    <row r="120" spans="1:8" ht="15">
      <c r="A120" s="27"/>
      <c r="B120" s="8"/>
      <c r="C120" s="8"/>
      <c r="D120" s="8"/>
      <c r="E120" s="8" t="s">
        <v>111</v>
      </c>
      <c r="F120" s="8"/>
      <c r="G120" s="8"/>
      <c r="H120" s="85"/>
    </row>
    <row r="121" spans="1:8" ht="15">
      <c r="A121" s="27"/>
      <c r="B121" s="8"/>
      <c r="C121" s="8"/>
      <c r="D121" s="8"/>
      <c r="E121" s="8"/>
      <c r="F121" s="8"/>
      <c r="G121" s="10" t="s">
        <v>112</v>
      </c>
      <c r="H121" s="77">
        <f>H117/B119</f>
        <v>7.8094321295143212</v>
      </c>
    </row>
    <row r="122" spans="1:8" ht="13.5" thickBot="1">
      <c r="A122" s="19"/>
      <c r="B122" s="3"/>
      <c r="C122" s="3"/>
      <c r="D122" s="3"/>
      <c r="E122" s="3"/>
      <c r="F122" s="3"/>
      <c r="G122" s="3"/>
      <c r="H122" s="20"/>
    </row>
    <row r="123" spans="1:8" ht="15">
      <c r="A123" s="24" t="s">
        <v>113</v>
      </c>
      <c r="B123" s="26"/>
      <c r="C123" s="26"/>
      <c r="D123" s="25" t="s">
        <v>114</v>
      </c>
      <c r="E123" s="65" t="s">
        <v>8</v>
      </c>
      <c r="F123" s="26" t="s">
        <v>7</v>
      </c>
      <c r="G123" s="65" t="s">
        <v>103</v>
      </c>
      <c r="H123" s="72" t="s">
        <v>91</v>
      </c>
    </row>
    <row r="124" spans="1:8" ht="15.75" thickBot="1">
      <c r="A124" s="60"/>
      <c r="B124" s="61"/>
      <c r="C124" s="61"/>
      <c r="D124" s="62"/>
      <c r="E124" s="66"/>
      <c r="F124" s="61"/>
      <c r="G124" s="66" t="s">
        <v>104</v>
      </c>
      <c r="H124" s="73"/>
    </row>
    <row r="125" spans="1:8" ht="15">
      <c r="A125" s="27"/>
      <c r="B125" s="8"/>
      <c r="C125" s="8"/>
      <c r="D125" s="6"/>
      <c r="E125" s="35"/>
      <c r="F125" s="8"/>
      <c r="G125" s="76"/>
      <c r="H125" s="74"/>
    </row>
    <row r="126" spans="1:8" ht="15">
      <c r="A126" s="27"/>
      <c r="B126" s="8"/>
      <c r="C126" s="8"/>
      <c r="D126" s="5"/>
      <c r="E126" s="35"/>
      <c r="F126" s="8"/>
      <c r="G126" s="68"/>
      <c r="H126" s="74"/>
    </row>
    <row r="127" spans="1:8" ht="15.75" thickBot="1">
      <c r="A127" s="60"/>
      <c r="B127" s="61"/>
      <c r="C127" s="61"/>
      <c r="D127" s="62"/>
      <c r="E127" s="66"/>
      <c r="F127" s="61"/>
      <c r="G127" s="69"/>
      <c r="H127" s="75"/>
    </row>
    <row r="128" spans="1:8" ht="15">
      <c r="A128" s="27"/>
      <c r="B128" s="8"/>
      <c r="C128" s="8"/>
      <c r="D128" s="8"/>
      <c r="E128" s="8"/>
      <c r="F128" s="8"/>
      <c r="G128" s="10" t="s">
        <v>115</v>
      </c>
      <c r="H128" s="78">
        <f>SUM(H125:H127)</f>
        <v>0</v>
      </c>
    </row>
    <row r="129" spans="1:8" ht="15.75" thickBot="1">
      <c r="A129" s="27"/>
      <c r="B129" s="8"/>
      <c r="C129" s="8"/>
      <c r="D129" s="8"/>
      <c r="E129" s="8"/>
      <c r="F129" s="8"/>
      <c r="G129" s="10"/>
      <c r="H129" s="85"/>
    </row>
    <row r="130" spans="1:8" ht="15.75" thickBot="1">
      <c r="A130" s="79" t="s">
        <v>116</v>
      </c>
      <c r="B130" s="80"/>
      <c r="C130" s="80"/>
      <c r="D130" s="80"/>
      <c r="E130" s="80"/>
      <c r="F130" s="80"/>
      <c r="G130" s="81" t="s">
        <v>117</v>
      </c>
      <c r="H130" s="82">
        <f>H121+H128</f>
        <v>7.8094321295143212</v>
      </c>
    </row>
    <row r="131" spans="1:8" ht="15.75" thickBot="1">
      <c r="A131" s="27" t="s">
        <v>118</v>
      </c>
      <c r="B131" s="8"/>
      <c r="C131" s="8"/>
      <c r="D131" s="8"/>
      <c r="E131" s="8"/>
      <c r="F131" s="8"/>
      <c r="G131" s="83">
        <v>0.2</v>
      </c>
      <c r="H131" s="63">
        <f>0.2*H130</f>
        <v>1.5618864259028644</v>
      </c>
    </row>
    <row r="132" spans="1:8" ht="15.75" thickBot="1">
      <c r="A132" s="79" t="s">
        <v>9</v>
      </c>
      <c r="B132" s="80"/>
      <c r="C132" s="80"/>
      <c r="D132" s="80"/>
      <c r="E132" s="80"/>
      <c r="F132" s="80"/>
      <c r="G132" s="84"/>
      <c r="H132" s="82">
        <f>H130+H131</f>
        <v>9.3713185554171865</v>
      </c>
    </row>
    <row r="133" spans="1:8">
      <c r="A133" s="12"/>
      <c r="B133" s="13"/>
      <c r="C133" s="13"/>
      <c r="D133" s="13"/>
      <c r="E133" s="13"/>
      <c r="F133" s="13"/>
      <c r="G133" s="13"/>
      <c r="H133" s="14"/>
    </row>
    <row r="134" spans="1:8">
      <c r="A134" s="15"/>
      <c r="B134" s="16"/>
      <c r="C134" s="16"/>
      <c r="D134" s="16"/>
      <c r="E134" s="16"/>
      <c r="F134" s="16"/>
      <c r="G134" s="16"/>
      <c r="H134" s="17"/>
    </row>
    <row r="135" spans="1:8">
      <c r="A135" s="15"/>
      <c r="B135" s="16"/>
      <c r="C135" s="16"/>
      <c r="D135" s="16"/>
      <c r="E135" s="16"/>
      <c r="F135" s="16"/>
      <c r="G135" s="16"/>
      <c r="H135" s="17"/>
    </row>
    <row r="136" spans="1:8" ht="18">
      <c r="A136" s="58" t="s">
        <v>82</v>
      </c>
      <c r="B136" s="2"/>
      <c r="C136" s="2"/>
      <c r="D136" s="2"/>
      <c r="E136" s="2"/>
      <c r="F136" s="2"/>
      <c r="G136" s="2"/>
      <c r="H136" s="18"/>
    </row>
    <row r="137" spans="1:8">
      <c r="A137" s="19"/>
      <c r="B137" s="3"/>
      <c r="C137" s="3"/>
      <c r="D137" s="3"/>
      <c r="E137" s="3"/>
      <c r="F137" s="3"/>
      <c r="G137" s="3"/>
      <c r="H137" s="20"/>
    </row>
    <row r="138" spans="1:8">
      <c r="A138" s="19"/>
      <c r="B138" s="3"/>
      <c r="C138" s="3"/>
      <c r="D138" s="3"/>
      <c r="E138" s="3"/>
      <c r="F138" s="3"/>
      <c r="G138" s="3"/>
      <c r="H138" s="20"/>
    </row>
    <row r="139" spans="1:8" ht="13.5" thickBot="1">
      <c r="A139" s="21"/>
      <c r="B139" s="22"/>
      <c r="C139" s="22"/>
      <c r="D139" s="22"/>
      <c r="E139" s="22"/>
      <c r="F139" s="22"/>
      <c r="G139" s="22"/>
      <c r="H139" s="23"/>
    </row>
    <row r="140" spans="1:8" s="9" customFormat="1" ht="15">
      <c r="A140" s="24" t="s">
        <v>83</v>
      </c>
      <c r="B140" s="24" t="s">
        <v>84</v>
      </c>
      <c r="C140" s="26"/>
      <c r="D140" s="26"/>
      <c r="E140" s="26"/>
      <c r="F140" s="26"/>
      <c r="G140" s="26"/>
      <c r="H140" s="33" t="s">
        <v>7</v>
      </c>
    </row>
    <row r="141" spans="1:8" s="9" customFormat="1" ht="15.75">
      <c r="A141" s="27"/>
      <c r="B141" s="27"/>
      <c r="C141" s="8"/>
      <c r="D141" s="59"/>
      <c r="E141" s="8"/>
      <c r="F141" s="8"/>
      <c r="G141" s="8"/>
      <c r="H141" s="34"/>
    </row>
    <row r="142" spans="1:8" s="9" customFormat="1" ht="15.75">
      <c r="A142" s="27"/>
      <c r="B142" s="344" t="s">
        <v>122</v>
      </c>
      <c r="C142" s="345"/>
      <c r="D142" s="345"/>
      <c r="E142" s="345"/>
      <c r="F142" s="345"/>
      <c r="G142" s="346"/>
      <c r="H142" s="160" t="s">
        <v>86</v>
      </c>
    </row>
    <row r="143" spans="1:8" s="9" customFormat="1" ht="15.75">
      <c r="A143" s="87"/>
      <c r="B143" s="27"/>
      <c r="C143" s="8"/>
      <c r="D143" s="8"/>
      <c r="E143" s="8"/>
      <c r="F143" s="8"/>
      <c r="G143" s="8"/>
      <c r="H143" s="35"/>
    </row>
    <row r="144" spans="1:8" ht="13.5" thickBot="1">
      <c r="A144" s="19"/>
      <c r="B144" s="19"/>
      <c r="C144" s="3"/>
      <c r="D144" s="3"/>
      <c r="E144" s="3"/>
      <c r="F144" s="3"/>
      <c r="G144" s="3"/>
      <c r="H144" s="37"/>
    </row>
    <row r="145" spans="1:8">
      <c r="A145" s="45" t="s">
        <v>87</v>
      </c>
      <c r="B145" s="47" t="s">
        <v>88</v>
      </c>
      <c r="C145" s="47" t="s">
        <v>8</v>
      </c>
      <c r="D145" s="46" t="s">
        <v>89</v>
      </c>
      <c r="E145" s="46"/>
      <c r="F145" s="42" t="s">
        <v>90</v>
      </c>
      <c r="G145" s="43"/>
      <c r="H145" s="47" t="s">
        <v>91</v>
      </c>
    </row>
    <row r="146" spans="1:8" ht="13.5" thickBot="1">
      <c r="A146" s="30"/>
      <c r="B146" s="36"/>
      <c r="C146" s="36"/>
      <c r="D146" s="31" t="s">
        <v>92</v>
      </c>
      <c r="E146" s="31" t="s">
        <v>93</v>
      </c>
      <c r="F146" s="30" t="s">
        <v>92</v>
      </c>
      <c r="G146" s="44" t="s">
        <v>93</v>
      </c>
      <c r="H146" s="36"/>
    </row>
    <row r="147" spans="1:8" ht="15">
      <c r="A147" s="27"/>
      <c r="B147" s="35"/>
      <c r="C147" s="38"/>
      <c r="D147" s="48"/>
      <c r="E147" s="52"/>
      <c r="F147" s="48"/>
      <c r="G147" s="54"/>
      <c r="H147" s="52"/>
    </row>
    <row r="148" spans="1:8" ht="15">
      <c r="A148" s="27"/>
      <c r="B148" s="35"/>
      <c r="C148" s="38"/>
      <c r="D148" s="48"/>
      <c r="E148" s="38"/>
      <c r="F148" s="48"/>
      <c r="G148" s="55"/>
      <c r="H148" s="38"/>
    </row>
    <row r="149" spans="1:8" ht="15">
      <c r="A149" s="19" t="s">
        <v>96</v>
      </c>
      <c r="B149" s="35" t="s">
        <v>96</v>
      </c>
      <c r="C149" s="39" t="s">
        <v>96</v>
      </c>
      <c r="D149" s="49" t="s">
        <v>96</v>
      </c>
      <c r="E149" s="39" t="s">
        <v>96</v>
      </c>
      <c r="F149" s="48"/>
      <c r="G149" s="56" t="s">
        <v>96</v>
      </c>
      <c r="H149" s="39" t="s">
        <v>96</v>
      </c>
    </row>
    <row r="150" spans="1:8">
      <c r="A150" s="19"/>
      <c r="B150" s="37"/>
      <c r="C150" s="39"/>
      <c r="D150" s="49"/>
      <c r="E150" s="39"/>
      <c r="F150" s="50"/>
      <c r="G150" s="57"/>
      <c r="H150" s="40"/>
    </row>
    <row r="151" spans="1:8">
      <c r="A151" s="19"/>
      <c r="B151" s="37"/>
      <c r="C151" s="37"/>
      <c r="D151" s="49"/>
      <c r="E151" s="39"/>
      <c r="F151" s="50"/>
      <c r="G151" s="57"/>
      <c r="H151" s="40"/>
    </row>
    <row r="152" spans="1:8">
      <c r="A152" s="19"/>
      <c r="B152" s="37"/>
      <c r="C152" s="37"/>
      <c r="D152" s="3"/>
      <c r="E152" s="39"/>
      <c r="F152" s="50"/>
      <c r="G152" s="57"/>
      <c r="H152" s="40"/>
    </row>
    <row r="153" spans="1:8">
      <c r="A153" s="19"/>
      <c r="B153" s="37"/>
      <c r="C153" s="37"/>
      <c r="D153" s="3"/>
      <c r="E153" s="37"/>
      <c r="F153" s="50"/>
      <c r="G153" s="57"/>
      <c r="H153" s="40"/>
    </row>
    <row r="154" spans="1:8">
      <c r="A154" s="19"/>
      <c r="B154" s="37"/>
      <c r="C154" s="37"/>
      <c r="D154" s="3"/>
      <c r="E154" s="37"/>
      <c r="F154" s="50"/>
      <c r="G154" s="57"/>
      <c r="H154" s="40"/>
    </row>
    <row r="155" spans="1:8">
      <c r="A155" s="19"/>
      <c r="B155" s="37"/>
      <c r="C155" s="37"/>
      <c r="D155" s="3"/>
      <c r="E155" s="37"/>
      <c r="F155" s="50"/>
      <c r="G155" s="57"/>
      <c r="H155" s="40"/>
    </row>
    <row r="156" spans="1:8" ht="13.5" thickBot="1">
      <c r="A156" s="30"/>
      <c r="B156" s="36"/>
      <c r="C156" s="36"/>
      <c r="D156" s="31"/>
      <c r="E156" s="36"/>
      <c r="F156" s="51"/>
      <c r="G156" s="53"/>
      <c r="H156" s="41"/>
    </row>
    <row r="157" spans="1:8" ht="15">
      <c r="A157" s="19"/>
      <c r="B157" s="3"/>
      <c r="C157" s="3"/>
      <c r="D157" s="3"/>
      <c r="E157" s="3"/>
      <c r="F157" s="3"/>
      <c r="G157" s="4" t="s">
        <v>97</v>
      </c>
      <c r="H157" s="78">
        <f>SUM(H147:H156)</f>
        <v>0</v>
      </c>
    </row>
    <row r="158" spans="1:8" ht="15.75" thickBot="1">
      <c r="A158" s="27"/>
      <c r="B158" s="8"/>
      <c r="C158" s="8"/>
      <c r="D158" s="8"/>
      <c r="E158" s="8"/>
      <c r="F158" s="8"/>
      <c r="G158" s="8"/>
      <c r="H158" s="85"/>
    </row>
    <row r="159" spans="1:8" ht="15">
      <c r="A159" s="24" t="s">
        <v>98</v>
      </c>
      <c r="B159" s="26"/>
      <c r="C159" s="26"/>
      <c r="D159" s="26"/>
      <c r="E159" s="26"/>
      <c r="F159" s="65" t="s">
        <v>8</v>
      </c>
      <c r="G159" s="26" t="s">
        <v>99</v>
      </c>
      <c r="H159" s="65" t="s">
        <v>91</v>
      </c>
    </row>
    <row r="160" spans="1:8" ht="15.75" thickBot="1">
      <c r="A160" s="60"/>
      <c r="B160" s="61"/>
      <c r="C160" s="61"/>
      <c r="D160" s="61"/>
      <c r="E160" s="61"/>
      <c r="F160" s="66"/>
      <c r="G160" s="61" t="s">
        <v>100</v>
      </c>
      <c r="H160" s="66"/>
    </row>
    <row r="161" spans="1:9" ht="15">
      <c r="A161" s="27" t="s">
        <v>67</v>
      </c>
      <c r="B161" s="8"/>
      <c r="C161" s="8"/>
      <c r="D161" s="8"/>
      <c r="E161" s="8"/>
      <c r="F161" s="38">
        <v>0.1</v>
      </c>
      <c r="G161" s="38">
        <f>ROUND(Referencias!$E$16*1.7725/176,2)</f>
        <v>4.7699999999999996</v>
      </c>
      <c r="H161" s="68">
        <f>F161*G161</f>
        <v>0.47699999999999998</v>
      </c>
    </row>
    <row r="162" spans="1:9" ht="15">
      <c r="A162" s="27"/>
      <c r="B162" s="8"/>
      <c r="C162" s="8"/>
      <c r="D162" s="8"/>
      <c r="E162" s="8"/>
      <c r="F162" s="38"/>
      <c r="G162" s="38"/>
      <c r="H162" s="68"/>
    </row>
    <row r="163" spans="1:9" ht="15">
      <c r="A163" s="27"/>
      <c r="B163" s="8"/>
      <c r="C163" s="8"/>
      <c r="D163" s="8"/>
      <c r="E163" s="8"/>
      <c r="F163" s="38"/>
      <c r="G163" s="38"/>
      <c r="H163" s="68"/>
    </row>
    <row r="164" spans="1:9" ht="15">
      <c r="A164" s="27"/>
      <c r="B164" s="8"/>
      <c r="C164" s="8"/>
      <c r="D164" s="8"/>
      <c r="E164" s="8"/>
      <c r="F164" s="38"/>
      <c r="G164" s="48"/>
      <c r="H164" s="68"/>
    </row>
    <row r="165" spans="1:9" ht="15.75" thickBot="1">
      <c r="A165" s="60"/>
      <c r="B165" s="61"/>
      <c r="C165" s="61"/>
      <c r="D165" s="61"/>
      <c r="E165" s="61"/>
      <c r="F165" s="66"/>
      <c r="G165" s="64"/>
      <c r="H165" s="69"/>
    </row>
    <row r="166" spans="1:9" ht="15">
      <c r="A166" s="27"/>
      <c r="B166" s="8"/>
      <c r="C166" s="8"/>
      <c r="D166" s="8"/>
      <c r="E166" s="8"/>
      <c r="F166" s="8"/>
      <c r="G166" s="10" t="s">
        <v>101</v>
      </c>
      <c r="H166" s="78">
        <f>SUM(H161:H165)</f>
        <v>0.47699999999999998</v>
      </c>
    </row>
    <row r="167" spans="1:9" ht="15.75" thickBot="1">
      <c r="A167" s="27"/>
      <c r="B167" s="8"/>
      <c r="C167" s="8"/>
      <c r="D167" s="8"/>
      <c r="E167" s="8"/>
      <c r="F167" s="8"/>
      <c r="G167" s="8"/>
      <c r="H167" s="85"/>
    </row>
    <row r="168" spans="1:9" ht="15">
      <c r="A168" s="24" t="s">
        <v>102</v>
      </c>
      <c r="B168" s="26"/>
      <c r="C168" s="26"/>
      <c r="D168" s="26"/>
      <c r="E168" s="25" t="s">
        <v>8</v>
      </c>
      <c r="F168" s="65" t="s">
        <v>7</v>
      </c>
      <c r="G168" s="26" t="s">
        <v>103</v>
      </c>
      <c r="H168" s="65" t="s">
        <v>91</v>
      </c>
    </row>
    <row r="169" spans="1:9" ht="15.75" thickBot="1">
      <c r="A169" s="60"/>
      <c r="B169" s="61"/>
      <c r="C169" s="61"/>
      <c r="D169" s="61"/>
      <c r="E169" s="62"/>
      <c r="F169" s="66"/>
      <c r="G169" s="61" t="s">
        <v>104</v>
      </c>
      <c r="H169" s="66"/>
    </row>
    <row r="170" spans="1:9" ht="15">
      <c r="A170" s="24" t="s">
        <v>123</v>
      </c>
      <c r="B170" s="26"/>
      <c r="C170" s="26"/>
      <c r="D170" s="26"/>
      <c r="E170" s="70">
        <v>1</v>
      </c>
      <c r="F170" s="34" t="s">
        <v>7</v>
      </c>
      <c r="G170" s="67">
        <f>ROUND(1968*0.00016,2)</f>
        <v>0.31</v>
      </c>
      <c r="H170" s="68">
        <f>E170*G170</f>
        <v>0.31</v>
      </c>
      <c r="I170" t="s">
        <v>121</v>
      </c>
    </row>
    <row r="171" spans="1:9" ht="15">
      <c r="A171" s="27"/>
      <c r="B171" s="8"/>
      <c r="C171" s="8"/>
      <c r="D171" s="8"/>
      <c r="E171" s="71"/>
      <c r="F171" s="35"/>
      <c r="G171" s="68"/>
      <c r="H171" s="68"/>
    </row>
    <row r="172" spans="1:9" ht="15">
      <c r="A172" s="27"/>
      <c r="B172" s="8"/>
      <c r="C172" s="8"/>
      <c r="D172" s="8"/>
      <c r="E172" s="63"/>
      <c r="F172" s="35"/>
      <c r="G172" s="68"/>
      <c r="H172" s="68"/>
    </row>
    <row r="173" spans="1:9" ht="15">
      <c r="A173" s="27"/>
      <c r="B173" s="8"/>
      <c r="C173" s="8"/>
      <c r="D173" s="8"/>
      <c r="E173" s="63"/>
      <c r="F173" s="35"/>
      <c r="G173" s="68"/>
      <c r="H173" s="68"/>
    </row>
    <row r="174" spans="1:9" ht="15">
      <c r="A174" s="27"/>
      <c r="B174" s="8"/>
      <c r="C174" s="8"/>
      <c r="D174" s="8"/>
      <c r="E174" s="63"/>
      <c r="F174" s="35"/>
      <c r="G174" s="68"/>
      <c r="H174" s="68"/>
    </row>
    <row r="175" spans="1:9">
      <c r="A175" s="19"/>
      <c r="B175" s="3"/>
      <c r="C175" s="3"/>
      <c r="D175" s="3"/>
      <c r="E175" s="29"/>
      <c r="F175" s="37"/>
      <c r="G175" s="40"/>
      <c r="H175" s="40"/>
    </row>
    <row r="176" spans="1:9">
      <c r="A176" s="19"/>
      <c r="B176" s="3"/>
      <c r="C176" s="3"/>
      <c r="D176" s="3"/>
      <c r="E176" s="29"/>
      <c r="F176" s="37"/>
      <c r="G176" s="40"/>
      <c r="H176" s="40"/>
    </row>
    <row r="177" spans="1:8">
      <c r="A177" s="19"/>
      <c r="B177" s="3"/>
      <c r="C177" s="3"/>
      <c r="D177" s="3"/>
      <c r="E177" s="29"/>
      <c r="F177" s="37"/>
      <c r="G177" s="40"/>
      <c r="H177" s="40"/>
    </row>
    <row r="178" spans="1:8">
      <c r="A178" s="19"/>
      <c r="B178" s="3"/>
      <c r="C178" s="3"/>
      <c r="D178" s="3"/>
      <c r="E178" s="29"/>
      <c r="F178" s="37"/>
      <c r="G178" s="40"/>
      <c r="H178" s="40"/>
    </row>
    <row r="179" spans="1:8">
      <c r="A179" s="19"/>
      <c r="B179" s="3"/>
      <c r="C179" s="3"/>
      <c r="D179" s="3"/>
      <c r="E179" s="28"/>
      <c r="F179" s="37"/>
      <c r="G179" s="40"/>
      <c r="H179" s="40"/>
    </row>
    <row r="180" spans="1:8" ht="13.5" thickBot="1">
      <c r="A180" s="30"/>
      <c r="B180" s="31"/>
      <c r="C180" s="31"/>
      <c r="D180" s="31"/>
      <c r="E180" s="32"/>
      <c r="F180" s="36"/>
      <c r="G180" s="41"/>
      <c r="H180" s="41"/>
    </row>
    <row r="181" spans="1:8" ht="15">
      <c r="A181" s="19"/>
      <c r="B181" s="3"/>
      <c r="C181" s="3"/>
      <c r="D181" s="3"/>
      <c r="E181" s="3"/>
      <c r="F181" s="8"/>
      <c r="G181" s="10" t="s">
        <v>107</v>
      </c>
      <c r="H181" s="78">
        <f>SUM(H170:H180)</f>
        <v>0.31</v>
      </c>
    </row>
    <row r="182" spans="1:8" ht="15">
      <c r="A182" s="19"/>
      <c r="B182" s="3"/>
      <c r="C182" s="3"/>
      <c r="D182" s="3"/>
      <c r="E182" s="3"/>
      <c r="F182" s="8"/>
      <c r="G182" s="8"/>
      <c r="H182" s="85"/>
    </row>
    <row r="183" spans="1:8" ht="15">
      <c r="A183" s="19"/>
      <c r="B183" s="3"/>
      <c r="C183" s="3"/>
      <c r="D183" s="3"/>
      <c r="E183" s="3"/>
      <c r="F183" s="8"/>
      <c r="G183" s="10" t="s">
        <v>108</v>
      </c>
      <c r="H183" s="77">
        <f>H157+H166+H181</f>
        <v>0.78699999999999992</v>
      </c>
    </row>
    <row r="184" spans="1:8">
      <c r="A184" s="19"/>
      <c r="B184" s="3"/>
      <c r="C184" s="3"/>
      <c r="D184" s="3"/>
      <c r="E184" s="3"/>
      <c r="F184" s="3"/>
      <c r="G184" s="3"/>
      <c r="H184" s="20"/>
    </row>
    <row r="185" spans="1:8" ht="15">
      <c r="A185" s="27" t="s">
        <v>109</v>
      </c>
      <c r="B185" s="7">
        <v>1</v>
      </c>
      <c r="C185" s="8" t="s">
        <v>110</v>
      </c>
      <c r="D185" s="8"/>
      <c r="E185" s="8"/>
      <c r="F185" s="8"/>
      <c r="G185" s="8"/>
      <c r="H185" s="85"/>
    </row>
    <row r="186" spans="1:8" ht="15">
      <c r="A186" s="27"/>
      <c r="B186" s="8"/>
      <c r="C186" s="8"/>
      <c r="D186" s="8"/>
      <c r="E186" s="8" t="s">
        <v>111</v>
      </c>
      <c r="F186" s="8"/>
      <c r="G186" s="8"/>
      <c r="H186" s="85"/>
    </row>
    <row r="187" spans="1:8" ht="15">
      <c r="A187" s="27"/>
      <c r="B187" s="8"/>
      <c r="C187" s="8"/>
      <c r="D187" s="8"/>
      <c r="E187" s="8"/>
      <c r="F187" s="8"/>
      <c r="G187" s="10" t="s">
        <v>112</v>
      </c>
      <c r="H187" s="77">
        <f>H183/B185</f>
        <v>0.78699999999999992</v>
      </c>
    </row>
    <row r="188" spans="1:8" ht="13.5" thickBot="1">
      <c r="A188" s="19"/>
      <c r="B188" s="3"/>
      <c r="C188" s="3"/>
      <c r="D188" s="3"/>
      <c r="E188" s="3"/>
      <c r="F188" s="3"/>
      <c r="G188" s="3"/>
      <c r="H188" s="20"/>
    </row>
    <row r="189" spans="1:8" ht="15">
      <c r="A189" s="24" t="s">
        <v>113</v>
      </c>
      <c r="B189" s="26"/>
      <c r="C189" s="26"/>
      <c r="D189" s="25" t="s">
        <v>114</v>
      </c>
      <c r="E189" s="65" t="s">
        <v>8</v>
      </c>
      <c r="F189" s="26" t="s">
        <v>7</v>
      </c>
      <c r="G189" s="65" t="s">
        <v>103</v>
      </c>
      <c r="H189" s="72" t="s">
        <v>91</v>
      </c>
    </row>
    <row r="190" spans="1:8" ht="15.75" thickBot="1">
      <c r="A190" s="60"/>
      <c r="B190" s="61"/>
      <c r="C190" s="61"/>
      <c r="D190" s="62"/>
      <c r="E190" s="66"/>
      <c r="F190" s="61"/>
      <c r="G190" s="66" t="s">
        <v>104</v>
      </c>
      <c r="H190" s="73"/>
    </row>
    <row r="191" spans="1:8" ht="15">
      <c r="A191" s="27"/>
      <c r="B191" s="8"/>
      <c r="C191" s="8"/>
      <c r="D191" s="6"/>
      <c r="E191" s="35"/>
      <c r="F191" s="8"/>
      <c r="G191" s="76"/>
      <c r="H191" s="74"/>
    </row>
    <row r="192" spans="1:8" ht="15">
      <c r="A192" s="27"/>
      <c r="B192" s="8"/>
      <c r="C192" s="8"/>
      <c r="D192" s="5"/>
      <c r="E192" s="35"/>
      <c r="F192" s="8"/>
      <c r="G192" s="68"/>
      <c r="H192" s="74"/>
    </row>
    <row r="193" spans="1:8" ht="15.75" thickBot="1">
      <c r="A193" s="60"/>
      <c r="B193" s="61"/>
      <c r="C193" s="61"/>
      <c r="D193" s="62"/>
      <c r="E193" s="66"/>
      <c r="F193" s="61"/>
      <c r="G193" s="69"/>
      <c r="H193" s="75"/>
    </row>
    <row r="194" spans="1:8" ht="15">
      <c r="A194" s="27"/>
      <c r="B194" s="8"/>
      <c r="C194" s="8"/>
      <c r="D194" s="8"/>
      <c r="E194" s="8"/>
      <c r="F194" s="8"/>
      <c r="G194" s="10" t="s">
        <v>115</v>
      </c>
      <c r="H194" s="78">
        <f>SUM(H191:H193)</f>
        <v>0</v>
      </c>
    </row>
    <row r="195" spans="1:8" ht="15.75" thickBot="1">
      <c r="A195" s="27"/>
      <c r="B195" s="8"/>
      <c r="C195" s="8"/>
      <c r="D195" s="8"/>
      <c r="E195" s="8"/>
      <c r="F195" s="8"/>
      <c r="G195" s="10"/>
      <c r="H195" s="85"/>
    </row>
    <row r="196" spans="1:8" ht="15.75" thickBot="1">
      <c r="A196" s="79" t="s">
        <v>116</v>
      </c>
      <c r="B196" s="80"/>
      <c r="C196" s="80"/>
      <c r="D196" s="80"/>
      <c r="E196" s="80"/>
      <c r="F196" s="80"/>
      <c r="G196" s="81" t="s">
        <v>117</v>
      </c>
      <c r="H196" s="82">
        <f>H187+H194</f>
        <v>0.78699999999999992</v>
      </c>
    </row>
    <row r="197" spans="1:8" ht="15.75" thickBot="1">
      <c r="A197" s="27" t="s">
        <v>118</v>
      </c>
      <c r="B197" s="8"/>
      <c r="C197" s="8"/>
      <c r="D197" s="8"/>
      <c r="E197" s="8"/>
      <c r="F197" s="8"/>
      <c r="G197" s="83">
        <v>0.2</v>
      </c>
      <c r="H197" s="63">
        <f>0.2*H196</f>
        <v>0.15739999999999998</v>
      </c>
    </row>
    <row r="198" spans="1:8" ht="15.75" thickBot="1">
      <c r="A198" s="79" t="s">
        <v>9</v>
      </c>
      <c r="B198" s="80"/>
      <c r="C198" s="80"/>
      <c r="D198" s="80"/>
      <c r="E198" s="80"/>
      <c r="F198" s="80"/>
      <c r="G198" s="84"/>
      <c r="H198" s="82">
        <f>H196+H197</f>
        <v>0.94439999999999991</v>
      </c>
    </row>
  </sheetData>
  <mergeCells count="3">
    <mergeCell ref="B10:G10"/>
    <mergeCell ref="B142:G142"/>
    <mergeCell ref="B76:G76"/>
  </mergeCells>
  <phoneticPr fontId="0" type="noConversion"/>
  <printOptions horizontalCentered="1"/>
  <pageMargins left="0.98425196850393704" right="0.78740157480314965" top="0.98425196850393704" bottom="0.98425196850393704" header="0.51181102362204722" footer="0.51181102362204722"/>
  <pageSetup paperSize="9" scale="74" fitToHeight="2" orientation="portrait" horizontalDpi="300" verticalDpi="300" r:id="rId1"/>
  <headerFooter alignWithMargins="0"/>
  <rowBreaks count="2" manualBreakCount="2">
    <brk id="66" max="7" man="1"/>
    <brk id="132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41"/>
  </sheetPr>
  <dimension ref="B2:O25"/>
  <sheetViews>
    <sheetView view="pageBreakPreview" zoomScaleNormal="75" workbookViewId="0">
      <selection activeCell="E11" sqref="E11"/>
    </sheetView>
  </sheetViews>
  <sheetFormatPr defaultRowHeight="12.75"/>
  <cols>
    <col min="1" max="1" width="3.7109375" customWidth="1"/>
    <col min="2" max="2" width="6.7109375" customWidth="1"/>
    <col min="3" max="3" width="33.7109375" customWidth="1"/>
    <col min="4" max="4" width="9.5703125" customWidth="1"/>
    <col min="5" max="5" width="9.7109375" customWidth="1"/>
    <col min="6" max="6" width="11.7109375" hidden="1" customWidth="1"/>
    <col min="7" max="7" width="18.5703125" hidden="1" customWidth="1"/>
    <col min="8" max="8" width="4.85546875" customWidth="1"/>
    <col min="11" max="11" width="11.140625" customWidth="1"/>
  </cols>
  <sheetData>
    <row r="2" spans="2:15" ht="15">
      <c r="B2" s="358" t="s">
        <v>124</v>
      </c>
      <c r="C2" s="358"/>
      <c r="D2" s="358"/>
      <c r="E2" s="358"/>
      <c r="F2" s="358"/>
      <c r="G2" s="358"/>
    </row>
    <row r="3" spans="2:15">
      <c r="B3" t="s">
        <v>125</v>
      </c>
      <c r="G3" s="310" t="s">
        <v>96</v>
      </c>
      <c r="H3" s="310" t="s">
        <v>96</v>
      </c>
    </row>
    <row r="4" spans="2:15" hidden="1">
      <c r="B4" s="141" t="s">
        <v>126</v>
      </c>
      <c r="C4" s="198">
        <v>100000</v>
      </c>
      <c r="G4" s="16" t="s">
        <v>96</v>
      </c>
      <c r="H4" s="16"/>
    </row>
    <row r="5" spans="2:15" ht="13.5" thickBot="1">
      <c r="H5" s="310" t="s">
        <v>96</v>
      </c>
    </row>
    <row r="6" spans="2:15">
      <c r="B6" s="359" t="s">
        <v>127</v>
      </c>
      <c r="C6" s="361" t="s">
        <v>128</v>
      </c>
      <c r="D6" s="199" t="s">
        <v>129</v>
      </c>
      <c r="E6" s="200" t="s">
        <v>129</v>
      </c>
      <c r="F6" s="201" t="s">
        <v>130</v>
      </c>
      <c r="G6" s="202" t="s">
        <v>118</v>
      </c>
    </row>
    <row r="7" spans="2:15" ht="13.5" thickBot="1">
      <c r="B7" s="360"/>
      <c r="C7" s="362"/>
      <c r="D7" s="203" t="s">
        <v>131</v>
      </c>
      <c r="E7" s="204" t="s">
        <v>132</v>
      </c>
      <c r="F7" s="205" t="s">
        <v>133</v>
      </c>
      <c r="G7" s="206" t="s">
        <v>133</v>
      </c>
      <c r="H7" s="357" t="s">
        <v>96</v>
      </c>
      <c r="I7" s="357"/>
      <c r="J7" s="357"/>
      <c r="K7" s="357"/>
      <c r="L7" s="357"/>
    </row>
    <row r="8" spans="2:15">
      <c r="B8" s="207"/>
      <c r="C8" s="208"/>
      <c r="D8" s="209"/>
      <c r="E8" s="210"/>
      <c r="F8" s="211"/>
      <c r="G8" s="212"/>
      <c r="H8" s="314"/>
      <c r="I8" s="314"/>
      <c r="J8" s="314"/>
      <c r="K8" s="314"/>
      <c r="L8" s="314"/>
    </row>
    <row r="9" spans="2:15" ht="15">
      <c r="B9" s="213">
        <v>1</v>
      </c>
      <c r="C9" s="214" t="s">
        <v>134</v>
      </c>
      <c r="D9" s="215" t="s">
        <v>96</v>
      </c>
      <c r="E9" s="216">
        <v>5</v>
      </c>
      <c r="F9" s="1" t="s">
        <v>96</v>
      </c>
      <c r="G9" s="217">
        <f>ROUND(E9*C4/100,2)</f>
        <v>5000</v>
      </c>
      <c r="H9" s="314" t="s">
        <v>96</v>
      </c>
      <c r="I9" s="315" t="s">
        <v>135</v>
      </c>
      <c r="J9" s="218">
        <v>3.6200000000000003E-2</v>
      </c>
      <c r="K9" s="312"/>
      <c r="L9" s="312"/>
      <c r="M9" s="313"/>
      <c r="N9" s="313"/>
    </row>
    <row r="10" spans="2:15">
      <c r="B10" s="219" t="s">
        <v>96</v>
      </c>
      <c r="C10" s="220" t="s">
        <v>96</v>
      </c>
      <c r="D10" s="221" t="s">
        <v>96</v>
      </c>
      <c r="E10" s="222" t="s">
        <v>96</v>
      </c>
      <c r="F10" s="223" t="s">
        <v>96</v>
      </c>
      <c r="G10" s="17"/>
      <c r="H10" s="357" t="s">
        <v>96</v>
      </c>
      <c r="I10" s="357"/>
      <c r="J10" s="357"/>
      <c r="K10" s="357"/>
      <c r="L10" s="357"/>
    </row>
    <row r="11" spans="2:15" ht="15">
      <c r="B11" s="213">
        <v>2</v>
      </c>
      <c r="C11" s="214" t="s">
        <v>136</v>
      </c>
      <c r="D11" s="224">
        <f>SUM(D12:D14)</f>
        <v>8.65</v>
      </c>
      <c r="E11" s="225">
        <f>SUM(E12:E14)</f>
        <v>10.38</v>
      </c>
      <c r="F11" s="223" t="s">
        <v>96</v>
      </c>
      <c r="G11" s="226">
        <f>ROUND(SUM(F12:F14),2)</f>
        <v>10380</v>
      </c>
      <c r="H11" s="312"/>
      <c r="I11" s="315" t="s">
        <v>137</v>
      </c>
      <c r="J11" s="218">
        <v>5.6500000000000002E-2</v>
      </c>
      <c r="K11" s="312"/>
      <c r="L11" s="347"/>
      <c r="M11" s="356"/>
      <c r="N11" s="356"/>
      <c r="O11" s="313"/>
    </row>
    <row r="12" spans="2:15" ht="15">
      <c r="B12" s="219" t="s">
        <v>138</v>
      </c>
      <c r="C12" s="227" t="s">
        <v>139</v>
      </c>
      <c r="D12" s="221">
        <v>5</v>
      </c>
      <c r="E12" s="222">
        <f>ROUND(D12*(1+($C$23/100)),2)</f>
        <v>6</v>
      </c>
      <c r="F12" s="223">
        <f>ROUND(E12*$C$4/100,2)</f>
        <v>6000</v>
      </c>
      <c r="G12" s="17"/>
      <c r="H12" s="347" t="s">
        <v>96</v>
      </c>
      <c r="I12" s="347"/>
      <c r="J12" s="347"/>
      <c r="K12" s="347"/>
      <c r="L12" s="347"/>
      <c r="M12" s="228"/>
      <c r="N12" s="228"/>
      <c r="O12" s="228"/>
    </row>
    <row r="13" spans="2:15" ht="15">
      <c r="B13" s="219" t="s">
        <v>140</v>
      </c>
      <c r="C13" s="220" t="s">
        <v>141</v>
      </c>
      <c r="D13" s="221">
        <v>0.65</v>
      </c>
      <c r="E13" s="222">
        <f>ROUND(D13*(1+($C$23/100)),2)</f>
        <v>0.78</v>
      </c>
      <c r="F13" s="223">
        <f>ROUND(E13*$C$4/100,2)</f>
        <v>780</v>
      </c>
      <c r="G13" s="17"/>
      <c r="H13" s="347" t="s">
        <v>96</v>
      </c>
      <c r="I13" s="347"/>
      <c r="J13" s="347"/>
      <c r="K13" s="347"/>
      <c r="L13" s="347"/>
      <c r="M13" s="228"/>
      <c r="N13" s="228"/>
      <c r="O13" s="228"/>
    </row>
    <row r="14" spans="2:15" ht="15">
      <c r="B14" s="219" t="s">
        <v>142</v>
      </c>
      <c r="C14" s="220" t="s">
        <v>143</v>
      </c>
      <c r="D14" s="229">
        <v>3</v>
      </c>
      <c r="E14" s="222">
        <f>ROUND(D14*(1+($C$23/100)),2)</f>
        <v>3.6</v>
      </c>
      <c r="F14" s="223">
        <f>ROUND(E14*$C$4/100,2)</f>
        <v>3600</v>
      </c>
      <c r="G14" s="230" t="s">
        <v>96</v>
      </c>
      <c r="H14" s="312"/>
      <c r="I14" s="315" t="s">
        <v>96</v>
      </c>
      <c r="J14" s="218" t="s">
        <v>96</v>
      </c>
      <c r="K14" s="312"/>
      <c r="L14" s="312" t="s">
        <v>96</v>
      </c>
      <c r="M14" s="312"/>
      <c r="N14" s="312"/>
      <c r="O14" s="312"/>
    </row>
    <row r="15" spans="2:15">
      <c r="B15" s="219"/>
      <c r="C15" s="220"/>
      <c r="D15" s="231"/>
      <c r="E15" s="222"/>
      <c r="F15" s="223"/>
      <c r="G15" s="226"/>
      <c r="H15" s="314"/>
      <c r="I15" s="314"/>
      <c r="J15" s="314"/>
      <c r="K15" s="314"/>
      <c r="L15" s="314"/>
    </row>
    <row r="16" spans="2:15" ht="15">
      <c r="B16" s="213">
        <v>3</v>
      </c>
      <c r="C16" s="214" t="s">
        <v>144</v>
      </c>
      <c r="D16" s="232">
        <v>8</v>
      </c>
      <c r="E16" s="225">
        <v>14.62</v>
      </c>
      <c r="F16" s="223">
        <f>ROUND(E16*$C$4/100,2)</f>
        <v>14620</v>
      </c>
      <c r="G16" s="226">
        <f>ROUND(F16,2)</f>
        <v>14620</v>
      </c>
      <c r="H16" s="314"/>
      <c r="I16" s="315" t="s">
        <v>145</v>
      </c>
      <c r="J16" s="218">
        <v>0.08</v>
      </c>
      <c r="K16" s="312"/>
      <c r="L16" s="312"/>
    </row>
    <row r="17" spans="2:14" ht="13.5" thickBot="1">
      <c r="B17" s="219"/>
      <c r="C17" s="220"/>
      <c r="D17" s="221"/>
      <c r="E17" s="222"/>
      <c r="F17" s="223"/>
      <c r="G17" s="17"/>
    </row>
    <row r="18" spans="2:14" ht="16.5" thickBot="1">
      <c r="B18" s="353" t="s">
        <v>146</v>
      </c>
      <c r="C18" s="354"/>
      <c r="D18" s="355"/>
      <c r="E18" s="233">
        <f>E9+E11+E16</f>
        <v>30</v>
      </c>
      <c r="F18" s="234"/>
      <c r="G18" s="235" t="e">
        <f>G9+G11+#REF!+#REF!+G16</f>
        <v>#REF!</v>
      </c>
      <c r="H18" s="236" t="s">
        <v>96</v>
      </c>
      <c r="I18" s="349" t="s">
        <v>147</v>
      </c>
      <c r="J18" s="349"/>
      <c r="K18" s="349"/>
      <c r="L18" s="349"/>
      <c r="M18" s="349"/>
      <c r="N18" s="349"/>
    </row>
    <row r="20" spans="2:14" hidden="1">
      <c r="E20" s="351" t="s">
        <v>148</v>
      </c>
      <c r="F20" s="352"/>
      <c r="G20" s="237" t="e">
        <f>C4+G18</f>
        <v>#REF!</v>
      </c>
    </row>
    <row r="21" spans="2:14" ht="15">
      <c r="G21" t="s">
        <v>96</v>
      </c>
      <c r="H21" s="348" t="s">
        <v>96</v>
      </c>
      <c r="I21" s="348"/>
      <c r="J21" s="348"/>
      <c r="K21" s="348"/>
      <c r="L21" s="348"/>
    </row>
    <row r="22" spans="2:14" hidden="1">
      <c r="B22" s="89" t="s">
        <v>149</v>
      </c>
      <c r="C22" s="238">
        <f>((1+E9/100)/(1-(D11/100+D16/100))-1)*100</f>
        <v>25.974805038992208</v>
      </c>
      <c r="D22" s="90" t="s">
        <v>150</v>
      </c>
    </row>
    <row r="23" spans="2:14" hidden="1">
      <c r="B23" s="89" t="s">
        <v>149</v>
      </c>
      <c r="C23" s="239">
        <v>20</v>
      </c>
      <c r="D23" s="90" t="s">
        <v>151</v>
      </c>
    </row>
    <row r="24" spans="2:14">
      <c r="B24" s="350" t="s">
        <v>96</v>
      </c>
      <c r="C24" s="350"/>
    </row>
    <row r="25" spans="2:14">
      <c r="C25" s="240" t="s">
        <v>96</v>
      </c>
      <c r="E25" t="s">
        <v>152</v>
      </c>
    </row>
  </sheetData>
  <mergeCells count="13">
    <mergeCell ref="L11:N11"/>
    <mergeCell ref="H10:L10"/>
    <mergeCell ref="B2:G2"/>
    <mergeCell ref="B6:B7"/>
    <mergeCell ref="C6:C7"/>
    <mergeCell ref="H7:L7"/>
    <mergeCell ref="H12:L12"/>
    <mergeCell ref="H13:L13"/>
    <mergeCell ref="H21:L21"/>
    <mergeCell ref="I18:N18"/>
    <mergeCell ref="B24:C24"/>
    <mergeCell ref="E20:F20"/>
    <mergeCell ref="B18:D18"/>
  </mergeCells>
  <phoneticPr fontId="0" type="noConversion"/>
  <pageMargins left="0.98425196850393704" right="0.78740157480314965" top="0.98425196850393704" bottom="0.98425196850393704" header="0.51181102362204722" footer="0.51181102362204722"/>
  <pageSetup paperSize="9" scale="8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1"/>
  </sheetPr>
  <dimension ref="A1:D36"/>
  <sheetViews>
    <sheetView zoomScaleNormal="60" workbookViewId="0">
      <selection activeCell="B17" sqref="B17"/>
    </sheetView>
  </sheetViews>
  <sheetFormatPr defaultColWidth="11.5703125" defaultRowHeight="12.75"/>
  <cols>
    <col min="1" max="1" width="6.5703125" style="241" customWidth="1"/>
    <col min="2" max="2" width="61.42578125" style="241" customWidth="1"/>
    <col min="3" max="3" width="10.140625" style="243" customWidth="1"/>
    <col min="4" max="4" width="14" style="243" customWidth="1"/>
    <col min="5" max="16384" width="11.5703125" style="241"/>
  </cols>
  <sheetData>
    <row r="1" spans="1:4">
      <c r="A1" s="363" t="s">
        <v>153</v>
      </c>
      <c r="B1" s="363"/>
      <c r="C1" s="363"/>
      <c r="D1" s="363"/>
    </row>
    <row r="2" spans="1:4">
      <c r="A2" s="242"/>
      <c r="D2" s="244"/>
    </row>
    <row r="3" spans="1:4">
      <c r="A3" s="245" t="s">
        <v>154</v>
      </c>
      <c r="D3" s="244"/>
    </row>
    <row r="4" spans="1:4">
      <c r="A4" s="242"/>
      <c r="C4" s="246" t="s">
        <v>155</v>
      </c>
      <c r="D4" s="247" t="s">
        <v>156</v>
      </c>
    </row>
    <row r="5" spans="1:4">
      <c r="A5" s="248" t="s">
        <v>157</v>
      </c>
      <c r="B5" s="241" t="s">
        <v>158</v>
      </c>
      <c r="C5" s="243">
        <v>20</v>
      </c>
      <c r="D5" s="244">
        <v>20</v>
      </c>
    </row>
    <row r="6" spans="1:4">
      <c r="A6" s="248" t="s">
        <v>159</v>
      </c>
      <c r="B6" s="241" t="s">
        <v>160</v>
      </c>
      <c r="C6" s="243">
        <v>8</v>
      </c>
      <c r="D6" s="244">
        <v>8</v>
      </c>
    </row>
    <row r="7" spans="1:4">
      <c r="A7" s="248" t="s">
        <v>161</v>
      </c>
      <c r="B7" s="241" t="s">
        <v>162</v>
      </c>
      <c r="C7" s="243">
        <v>2.5</v>
      </c>
      <c r="D7" s="244">
        <v>2.5</v>
      </c>
    </row>
    <row r="8" spans="1:4">
      <c r="A8" s="248" t="s">
        <v>163</v>
      </c>
      <c r="B8" s="241" t="s">
        <v>164</v>
      </c>
      <c r="C8" s="243">
        <v>1.5</v>
      </c>
      <c r="D8" s="244">
        <v>1.5</v>
      </c>
    </row>
    <row r="9" spans="1:4">
      <c r="A9" s="248" t="s">
        <v>165</v>
      </c>
      <c r="B9" s="241" t="s">
        <v>166</v>
      </c>
      <c r="C9" s="243">
        <v>1</v>
      </c>
      <c r="D9" s="244">
        <v>1</v>
      </c>
    </row>
    <row r="10" spans="1:4">
      <c r="A10" s="248" t="s">
        <v>167</v>
      </c>
      <c r="B10" s="241" t="s">
        <v>168</v>
      </c>
      <c r="C10" s="243">
        <v>0.6</v>
      </c>
      <c r="D10" s="244">
        <v>0.6</v>
      </c>
    </row>
    <row r="11" spans="1:4">
      <c r="A11" s="248" t="s">
        <v>169</v>
      </c>
      <c r="B11" s="241" t="s">
        <v>170</v>
      </c>
      <c r="C11" s="243">
        <v>0.2</v>
      </c>
      <c r="D11" s="244">
        <v>0.2</v>
      </c>
    </row>
    <row r="12" spans="1:4">
      <c r="A12" s="248" t="s">
        <v>171</v>
      </c>
      <c r="B12" s="241" t="s">
        <v>172</v>
      </c>
      <c r="C12" s="243">
        <v>3</v>
      </c>
      <c r="D12" s="244">
        <v>3</v>
      </c>
    </row>
    <row r="13" spans="1:4">
      <c r="A13" s="248" t="s">
        <v>173</v>
      </c>
      <c r="B13" s="241" t="s">
        <v>174</v>
      </c>
      <c r="C13" s="249">
        <v>0</v>
      </c>
      <c r="D13" s="244">
        <v>0</v>
      </c>
    </row>
    <row r="14" spans="1:4">
      <c r="A14" s="248"/>
      <c r="C14" s="250"/>
      <c r="D14" s="251"/>
    </row>
    <row r="15" spans="1:4">
      <c r="A15" s="252" t="s">
        <v>175</v>
      </c>
      <c r="B15" s="253" t="s">
        <v>176</v>
      </c>
      <c r="C15" s="254">
        <f>SUM(C5:C13)</f>
        <v>36.800000000000004</v>
      </c>
      <c r="D15" s="255">
        <f>ROUND(SUM(D5:D13),2)</f>
        <v>36.799999999999997</v>
      </c>
    </row>
    <row r="16" spans="1:4">
      <c r="A16" s="242"/>
      <c r="D16" s="244"/>
    </row>
    <row r="17" spans="1:4">
      <c r="A17" s="248" t="s">
        <v>177</v>
      </c>
      <c r="B17" s="241" t="s">
        <v>178</v>
      </c>
      <c r="C17" s="243">
        <v>22.9</v>
      </c>
      <c r="D17" s="247" t="s">
        <v>179</v>
      </c>
    </row>
    <row r="18" spans="1:4">
      <c r="A18" s="248" t="s">
        <v>180</v>
      </c>
      <c r="B18" s="241" t="s">
        <v>181</v>
      </c>
      <c r="C18" s="243">
        <v>0.79</v>
      </c>
      <c r="D18" s="247" t="s">
        <v>179</v>
      </c>
    </row>
    <row r="19" spans="1:4">
      <c r="A19" s="248" t="s">
        <v>182</v>
      </c>
      <c r="B19" s="241" t="s">
        <v>183</v>
      </c>
      <c r="C19" s="243">
        <v>0.34</v>
      </c>
      <c r="D19" s="247" t="s">
        <v>179</v>
      </c>
    </row>
    <row r="20" spans="1:4">
      <c r="A20" s="248" t="s">
        <v>184</v>
      </c>
      <c r="B20" s="241" t="s">
        <v>185</v>
      </c>
      <c r="C20" s="243">
        <v>10.57</v>
      </c>
      <c r="D20" s="244">
        <v>8.2200000000000006</v>
      </c>
    </row>
    <row r="21" spans="1:4">
      <c r="A21" s="248" t="s">
        <v>186</v>
      </c>
      <c r="B21" s="241" t="s">
        <v>187</v>
      </c>
      <c r="C21" s="243">
        <v>4.57</v>
      </c>
      <c r="D21" s="247" t="s">
        <v>179</v>
      </c>
    </row>
    <row r="22" spans="1:4">
      <c r="A22" s="248"/>
      <c r="C22" s="256"/>
      <c r="D22" s="251"/>
    </row>
    <row r="23" spans="1:4">
      <c r="A23" s="252" t="s">
        <v>188</v>
      </c>
      <c r="B23" s="253" t="s">
        <v>189</v>
      </c>
      <c r="C23" s="254">
        <f>SUM(C17:C21)</f>
        <v>39.169999999999995</v>
      </c>
      <c r="D23" s="255">
        <f>ROUND(SUM(D17:D21),2)</f>
        <v>8.2200000000000006</v>
      </c>
    </row>
    <row r="24" spans="1:4">
      <c r="A24" s="242"/>
      <c r="D24" s="244"/>
    </row>
    <row r="25" spans="1:4">
      <c r="A25" s="248" t="s">
        <v>190</v>
      </c>
      <c r="B25" s="241" t="s">
        <v>191</v>
      </c>
      <c r="C25" s="243">
        <f>ROUND(((C6/100)+((C6/100)*(C23/100)))/2*100,2)</f>
        <v>5.57</v>
      </c>
      <c r="D25" s="244">
        <f>((D6/100)+((D6/100)*(D23/100)))/2*100</f>
        <v>4.3288000000000002</v>
      </c>
    </row>
    <row r="26" spans="1:4">
      <c r="A26" s="248" t="s">
        <v>192</v>
      </c>
      <c r="B26" s="241" t="s">
        <v>193</v>
      </c>
      <c r="C26" s="243">
        <v>14.06</v>
      </c>
      <c r="D26" s="257">
        <v>10.93</v>
      </c>
    </row>
    <row r="27" spans="1:4">
      <c r="A27" s="248" t="s">
        <v>194</v>
      </c>
      <c r="B27" s="241" t="s">
        <v>195</v>
      </c>
      <c r="C27" s="243">
        <v>13.12</v>
      </c>
      <c r="D27" s="257">
        <v>10.199999999999999</v>
      </c>
    </row>
    <row r="28" spans="1:4">
      <c r="A28" s="242"/>
      <c r="C28" s="256"/>
      <c r="D28" s="251"/>
    </row>
    <row r="29" spans="1:4">
      <c r="A29" s="252" t="s">
        <v>196</v>
      </c>
      <c r="B29" s="253" t="s">
        <v>197</v>
      </c>
      <c r="C29" s="254">
        <f>SUM(C25:C27)</f>
        <v>32.75</v>
      </c>
      <c r="D29" s="255">
        <f>ROUND(SUM(D25:D27),2)</f>
        <v>25.46</v>
      </c>
    </row>
    <row r="30" spans="1:4">
      <c r="A30" s="242"/>
      <c r="D30" s="244"/>
    </row>
    <row r="31" spans="1:4">
      <c r="A31" s="248" t="s">
        <v>198</v>
      </c>
      <c r="B31" s="241" t="s">
        <v>199</v>
      </c>
      <c r="C31" s="243">
        <f>ROUND((C15/100*C23/100)*100,2)</f>
        <v>14.41</v>
      </c>
      <c r="D31" s="244">
        <f>ROUND((D15/100*D23/100)*100,2)</f>
        <v>3.02</v>
      </c>
    </row>
    <row r="32" spans="1:4">
      <c r="A32" s="248" t="s">
        <v>200</v>
      </c>
      <c r="B32" s="241" t="s">
        <v>201</v>
      </c>
      <c r="C32" s="243">
        <f>ROUND(((C15-C13)*C27)/100,2)</f>
        <v>4.83</v>
      </c>
      <c r="D32" s="244">
        <f>ROUND(((D15-D13)*D27)/100,2)</f>
        <v>3.75</v>
      </c>
    </row>
    <row r="33" spans="1:4">
      <c r="A33" s="242"/>
      <c r="C33" s="256"/>
      <c r="D33" s="251"/>
    </row>
    <row r="34" spans="1:4">
      <c r="A34" s="252" t="s">
        <v>202</v>
      </c>
      <c r="B34" s="253" t="s">
        <v>203</v>
      </c>
      <c r="C34" s="254">
        <f>SUM(C31:C32)</f>
        <v>19.240000000000002</v>
      </c>
      <c r="D34" s="255">
        <f>ROUND(SUM(D31:D32),2)</f>
        <v>6.77</v>
      </c>
    </row>
    <row r="35" spans="1:4">
      <c r="A35" s="242"/>
      <c r="D35" s="244"/>
    </row>
    <row r="36" spans="1:4">
      <c r="A36" s="258"/>
      <c r="B36" s="259" t="s">
        <v>204</v>
      </c>
      <c r="C36" s="260">
        <f>C34+C29+C23+C15</f>
        <v>127.96000000000001</v>
      </c>
      <c r="D36" s="261">
        <f>ROUND(D34+D29+D23+D15,2)</f>
        <v>77.25</v>
      </c>
    </row>
  </sheetData>
  <mergeCells count="1">
    <mergeCell ref="A1:D1"/>
  </mergeCells>
  <phoneticPr fontId="18" type="noConversion"/>
  <pageMargins left="0.59027777777777779" right="0.39374999999999999" top="0.78749999999999998" bottom="0.78749999999999998" header="0.51180555555555562" footer="0.51180555555555562"/>
  <pageSetup paperSize="9" orientation="portrait" useFirstPageNumber="1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3"/>
  </sheetPr>
  <dimension ref="A1:L69"/>
  <sheetViews>
    <sheetView view="pageBreakPreview" topLeftCell="A34" zoomScale="75" zoomScaleNormal="75" workbookViewId="0">
      <selection activeCell="J22" sqref="J22"/>
    </sheetView>
  </sheetViews>
  <sheetFormatPr defaultColWidth="11.42578125" defaultRowHeight="12.75"/>
  <cols>
    <col min="1" max="1" width="4.85546875" customWidth="1"/>
    <col min="2" max="2" width="29.28515625" customWidth="1"/>
    <col min="3" max="3" width="28.85546875" customWidth="1"/>
    <col min="4" max="4" width="9.28515625" customWidth="1"/>
    <col min="5" max="5" width="12.5703125" customWidth="1"/>
    <col min="6" max="6" width="20.7109375" bestFit="1" customWidth="1"/>
    <col min="7" max="7" width="20.5703125" bestFit="1" customWidth="1"/>
    <col min="8" max="8" width="15.85546875" customWidth="1"/>
    <col min="9" max="9" width="21.7109375" hidden="1" customWidth="1"/>
    <col min="10" max="10" width="18" customWidth="1"/>
    <col min="11" max="11" width="11.42578125" style="88" hidden="1" customWidth="1"/>
    <col min="12" max="12" width="11.42578125" style="88" customWidth="1"/>
  </cols>
  <sheetData>
    <row r="1" spans="1:11" ht="18">
      <c r="A1" s="340" t="s">
        <v>205</v>
      </c>
      <c r="B1" s="340"/>
      <c r="C1" s="340"/>
      <c r="D1" s="340"/>
      <c r="E1" s="340"/>
      <c r="F1" s="340"/>
      <c r="G1" s="340"/>
      <c r="H1" s="340"/>
      <c r="I1" s="93"/>
      <c r="J1" s="126"/>
    </row>
    <row r="2" spans="1:11" ht="18">
      <c r="I2" s="138"/>
      <c r="J2" s="138"/>
    </row>
    <row r="3" spans="1:11" ht="25.5">
      <c r="A3" s="365" t="s">
        <v>206</v>
      </c>
      <c r="B3" s="365"/>
      <c r="C3" s="365"/>
      <c r="D3" s="317" t="s">
        <v>207</v>
      </c>
      <c r="E3" s="317" t="s">
        <v>208</v>
      </c>
      <c r="F3" s="144" t="s">
        <v>209</v>
      </c>
      <c r="G3" s="145" t="s">
        <v>210</v>
      </c>
      <c r="H3" s="145" t="s">
        <v>211</v>
      </c>
      <c r="K3" s="142" t="s">
        <v>212</v>
      </c>
    </row>
    <row r="4" spans="1:11" ht="15" customHeight="1">
      <c r="A4" s="143">
        <v>17</v>
      </c>
      <c r="B4" s="367" t="s">
        <v>213</v>
      </c>
      <c r="C4" s="368"/>
      <c r="D4" s="139" t="s">
        <v>207</v>
      </c>
      <c r="E4" s="147" t="s">
        <v>47</v>
      </c>
      <c r="F4" s="140" t="e">
        <f>CPU!#REF!</f>
        <v>#REF!</v>
      </c>
      <c r="G4" s="148" t="e">
        <f>CPU!#REF!</f>
        <v>#REF!</v>
      </c>
      <c r="H4" s="140" t="e">
        <f>F4/G4</f>
        <v>#REF!</v>
      </c>
      <c r="I4" s="306"/>
      <c r="J4" s="92"/>
    </row>
    <row r="5" spans="1:11" ht="15" customHeight="1">
      <c r="A5" s="143">
        <v>18</v>
      </c>
      <c r="B5" s="367" t="s">
        <v>214</v>
      </c>
      <c r="C5" s="368"/>
      <c r="D5" s="139" t="s">
        <v>207</v>
      </c>
      <c r="E5" s="147" t="s">
        <v>47</v>
      </c>
      <c r="F5" s="146" t="e">
        <f>F4</f>
        <v>#REF!</v>
      </c>
      <c r="G5" s="148">
        <v>12</v>
      </c>
      <c r="H5" s="140" t="e">
        <f>F5/G5</f>
        <v>#REF!</v>
      </c>
      <c r="I5" s="306"/>
      <c r="J5" s="92"/>
    </row>
    <row r="6" spans="1:11" ht="15" customHeight="1">
      <c r="A6" s="311"/>
      <c r="B6" s="311"/>
      <c r="C6" s="94"/>
      <c r="D6" s="94"/>
      <c r="E6" s="94"/>
      <c r="F6" s="94"/>
      <c r="G6" s="94"/>
      <c r="H6" s="306"/>
      <c r="I6" s="306"/>
      <c r="J6" s="92"/>
    </row>
    <row r="7" spans="1:11" ht="15" customHeight="1">
      <c r="A7" s="141" t="s">
        <v>215</v>
      </c>
      <c r="B7" s="316"/>
      <c r="C7" s="91"/>
      <c r="D7" s="91"/>
      <c r="E7" s="91"/>
      <c r="F7" s="91"/>
      <c r="G7" s="91"/>
      <c r="H7" s="90"/>
      <c r="I7" s="90"/>
      <c r="J7" s="91"/>
    </row>
    <row r="8" spans="1:11">
      <c r="A8" s="316"/>
      <c r="B8" s="316"/>
      <c r="C8" s="91"/>
      <c r="D8" s="91"/>
      <c r="E8" s="91"/>
      <c r="F8" s="91"/>
      <c r="G8" s="91"/>
      <c r="H8" s="90"/>
      <c r="I8" s="90"/>
      <c r="J8" s="91"/>
    </row>
    <row r="9" spans="1:11">
      <c r="A9" s="366" t="s">
        <v>216</v>
      </c>
      <c r="B9" s="366"/>
      <c r="C9" s="366"/>
      <c r="D9" s="366"/>
      <c r="E9" s="366"/>
      <c r="F9" s="91"/>
      <c r="G9" s="91"/>
      <c r="H9" s="90"/>
      <c r="I9" s="90"/>
      <c r="J9" s="91"/>
    </row>
    <row r="10" spans="1:11" ht="15.75">
      <c r="A10" s="335" t="s">
        <v>217</v>
      </c>
      <c r="B10" s="335"/>
      <c r="C10" s="309" t="s">
        <v>218</v>
      </c>
      <c r="D10" s="309"/>
      <c r="E10" s="309" t="s">
        <v>219</v>
      </c>
      <c r="H10" s="90"/>
      <c r="I10" s="90"/>
      <c r="J10" s="91"/>
    </row>
    <row r="11" spans="1:11">
      <c r="A11" s="130"/>
      <c r="B11" s="130"/>
      <c r="C11" s="131"/>
      <c r="D11" s="131"/>
      <c r="E11" s="132"/>
      <c r="H11" s="90"/>
      <c r="I11" s="90"/>
      <c r="J11" s="91"/>
    </row>
    <row r="12" spans="1:11">
      <c r="A12" s="307" t="s">
        <v>220</v>
      </c>
      <c r="B12" s="130"/>
      <c r="C12" s="131"/>
      <c r="D12" s="131"/>
      <c r="E12" s="133"/>
      <c r="H12" s="90"/>
      <c r="I12" s="90"/>
      <c r="J12" s="91"/>
    </row>
    <row r="13" spans="1:11">
      <c r="A13" s="130" t="s">
        <v>66</v>
      </c>
      <c r="B13" s="130"/>
      <c r="C13" s="131" t="s">
        <v>31</v>
      </c>
      <c r="D13" s="131"/>
      <c r="E13" s="133">
        <v>4702.72</v>
      </c>
      <c r="F13" t="s">
        <v>221</v>
      </c>
      <c r="G13" t="s">
        <v>222</v>
      </c>
      <c r="H13" s="90"/>
      <c r="I13" s="90"/>
      <c r="J13" s="91"/>
    </row>
    <row r="14" spans="1:11">
      <c r="A14" s="130" t="s">
        <v>30</v>
      </c>
      <c r="B14" s="130"/>
      <c r="C14" s="131" t="s">
        <v>31</v>
      </c>
      <c r="D14" s="131"/>
      <c r="E14" s="158">
        <v>2207.04</v>
      </c>
      <c r="F14" s="159" t="s">
        <v>223</v>
      </c>
      <c r="G14" t="s">
        <v>222</v>
      </c>
      <c r="H14" s="90" t="s">
        <v>224</v>
      </c>
      <c r="I14" s="90"/>
      <c r="J14" s="91"/>
    </row>
    <row r="15" spans="1:11">
      <c r="A15" s="130" t="s">
        <v>225</v>
      </c>
      <c r="B15" s="130"/>
      <c r="C15" s="131" t="s">
        <v>31</v>
      </c>
      <c r="D15" s="131"/>
      <c r="E15" s="158">
        <v>591.79999999999995</v>
      </c>
      <c r="F15" t="s">
        <v>226</v>
      </c>
      <c r="G15" t="s">
        <v>222</v>
      </c>
      <c r="H15" s="90" t="s">
        <v>227</v>
      </c>
      <c r="I15" s="90">
        <v>135.571</v>
      </c>
      <c r="J15" s="91"/>
    </row>
    <row r="16" spans="1:11">
      <c r="A16" s="130" t="s">
        <v>67</v>
      </c>
      <c r="B16" s="130"/>
      <c r="C16" s="131" t="s">
        <v>31</v>
      </c>
      <c r="D16" s="131"/>
      <c r="E16" s="158">
        <v>473.44</v>
      </c>
      <c r="F16" t="s">
        <v>228</v>
      </c>
      <c r="G16" t="s">
        <v>222</v>
      </c>
      <c r="H16" s="90" t="s">
        <v>229</v>
      </c>
      <c r="I16" s="90">
        <v>145.22499999999999</v>
      </c>
      <c r="J16" s="91"/>
    </row>
    <row r="17" spans="1:10">
      <c r="A17" s="130" t="s">
        <v>68</v>
      </c>
      <c r="B17" s="130"/>
      <c r="C17" s="131" t="s">
        <v>31</v>
      </c>
      <c r="D17" s="131"/>
      <c r="E17" s="158">
        <f>ROUND(E14*1.1,2)</f>
        <v>2427.7399999999998</v>
      </c>
      <c r="F17" t="s">
        <v>230</v>
      </c>
      <c r="G17" t="s">
        <v>222</v>
      </c>
      <c r="H17" s="90" t="s">
        <v>231</v>
      </c>
      <c r="I17" s="90">
        <f>I16/I15</f>
        <v>1.0712099195255622</v>
      </c>
      <c r="J17" s="91"/>
    </row>
    <row r="18" spans="1:10">
      <c r="A18" s="130" t="s">
        <v>232</v>
      </c>
      <c r="B18" s="130"/>
      <c r="C18" s="131" t="s">
        <v>31</v>
      </c>
      <c r="D18" s="131"/>
      <c r="E18" s="158">
        <v>1260.1600000000001</v>
      </c>
      <c r="F18" s="159" t="s">
        <v>233</v>
      </c>
      <c r="G18" t="s">
        <v>222</v>
      </c>
      <c r="H18" s="90"/>
      <c r="I18" s="90"/>
      <c r="J18" s="91"/>
    </row>
    <row r="19" spans="1:10">
      <c r="A19" s="130" t="s">
        <v>234</v>
      </c>
      <c r="B19" s="130"/>
      <c r="C19" s="131" t="s">
        <v>31</v>
      </c>
      <c r="D19" s="131"/>
      <c r="E19" s="158">
        <f>ROUND(E14*1.4,2)</f>
        <v>3089.86</v>
      </c>
      <c r="F19" t="s">
        <v>235</v>
      </c>
      <c r="G19" t="s">
        <v>222</v>
      </c>
      <c r="H19" s="90"/>
      <c r="I19" s="90"/>
      <c r="J19" s="91"/>
    </row>
    <row r="20" spans="1:10">
      <c r="A20" s="130" t="s">
        <v>236</v>
      </c>
      <c r="B20" s="130"/>
      <c r="C20" s="131" t="s">
        <v>31</v>
      </c>
      <c r="D20" s="131"/>
      <c r="E20" s="158">
        <f>E14</f>
        <v>2207.04</v>
      </c>
      <c r="F20" t="s">
        <v>237</v>
      </c>
      <c r="G20" t="s">
        <v>222</v>
      </c>
      <c r="H20" s="90"/>
      <c r="I20" s="90"/>
      <c r="J20" s="91"/>
    </row>
    <row r="21" spans="1:10">
      <c r="A21" s="130" t="s">
        <v>238</v>
      </c>
      <c r="B21" s="130"/>
      <c r="C21" s="131" t="s">
        <v>31</v>
      </c>
      <c r="D21" s="131"/>
      <c r="E21" s="158">
        <v>473.44</v>
      </c>
      <c r="F21" t="s">
        <v>228</v>
      </c>
      <c r="G21" t="s">
        <v>222</v>
      </c>
      <c r="H21" s="90"/>
      <c r="I21" s="90"/>
      <c r="J21" s="91"/>
    </row>
    <row r="22" spans="1:10">
      <c r="A22" s="130" t="s">
        <v>239</v>
      </c>
      <c r="B22" s="130"/>
      <c r="C22" s="131" t="s">
        <v>31</v>
      </c>
      <c r="D22" s="131"/>
      <c r="E22" s="158">
        <v>709.23</v>
      </c>
      <c r="F22" t="s">
        <v>240</v>
      </c>
      <c r="G22" t="s">
        <v>222</v>
      </c>
      <c r="H22" s="90"/>
      <c r="I22" s="90"/>
      <c r="J22" s="91"/>
    </row>
    <row r="23" spans="1:10">
      <c r="A23" s="130" t="s">
        <v>241</v>
      </c>
      <c r="B23" s="130"/>
      <c r="C23" s="131" t="s">
        <v>31</v>
      </c>
      <c r="D23" s="131"/>
      <c r="E23" s="158">
        <v>1981.76</v>
      </c>
      <c r="F23" t="s">
        <v>242</v>
      </c>
      <c r="G23" t="s">
        <v>222</v>
      </c>
      <c r="H23" s="90"/>
      <c r="I23" s="90"/>
      <c r="J23" s="91"/>
    </row>
    <row r="24" spans="1:10">
      <c r="A24" s="307" t="s">
        <v>243</v>
      </c>
      <c r="B24" s="130"/>
      <c r="C24" s="131"/>
      <c r="D24" s="131"/>
      <c r="E24" s="133"/>
      <c r="H24" s="90"/>
      <c r="I24" s="90"/>
      <c r="J24" s="91"/>
    </row>
    <row r="25" spans="1:10">
      <c r="A25" s="130"/>
      <c r="B25" s="130"/>
      <c r="C25" s="131"/>
      <c r="D25" s="131"/>
      <c r="E25" s="133"/>
      <c r="H25" s="90"/>
      <c r="I25" s="90"/>
      <c r="J25" s="91"/>
    </row>
    <row r="26" spans="1:10">
      <c r="A26" s="130" t="s">
        <v>70</v>
      </c>
      <c r="B26" s="130"/>
      <c r="C26" s="131" t="s">
        <v>31</v>
      </c>
      <c r="D26" s="131"/>
      <c r="E26" s="133">
        <v>1147.73</v>
      </c>
      <c r="F26" t="s">
        <v>244</v>
      </c>
      <c r="G26" t="s">
        <v>222</v>
      </c>
      <c r="H26" s="90"/>
      <c r="I26" s="90"/>
      <c r="J26" s="91"/>
    </row>
    <row r="27" spans="1:10">
      <c r="A27" s="130" t="s">
        <v>45</v>
      </c>
      <c r="B27" s="130"/>
      <c r="C27" s="131" t="s">
        <v>31</v>
      </c>
      <c r="D27" s="131"/>
      <c r="E27" s="133">
        <v>2817.22</v>
      </c>
      <c r="F27" t="s">
        <v>244</v>
      </c>
      <c r="G27" t="s">
        <v>222</v>
      </c>
      <c r="H27" s="90"/>
      <c r="I27" s="90"/>
      <c r="J27" s="91"/>
    </row>
    <row r="28" spans="1:10">
      <c r="A28" s="130" t="s">
        <v>245</v>
      </c>
      <c r="B28" s="130"/>
      <c r="C28" s="131" t="s">
        <v>246</v>
      </c>
      <c r="D28" s="131"/>
      <c r="E28" s="133">
        <v>2.78</v>
      </c>
      <c r="G28" t="s">
        <v>222</v>
      </c>
      <c r="H28" s="90"/>
      <c r="I28" s="90"/>
      <c r="J28" s="91"/>
    </row>
    <row r="29" spans="1:10">
      <c r="A29" s="130" t="s">
        <v>247</v>
      </c>
      <c r="B29" s="130"/>
      <c r="C29" s="131" t="s">
        <v>246</v>
      </c>
      <c r="D29" s="131"/>
      <c r="E29" s="133">
        <v>2.0099999999999998</v>
      </c>
      <c r="G29" t="s">
        <v>222</v>
      </c>
      <c r="H29" s="90"/>
      <c r="I29" s="90"/>
      <c r="J29" s="91"/>
    </row>
    <row r="30" spans="1:10">
      <c r="A30" s="130"/>
      <c r="B30" s="130"/>
      <c r="C30" s="131"/>
      <c r="D30" s="131"/>
      <c r="E30" s="133"/>
      <c r="H30" s="90"/>
      <c r="I30" s="90"/>
      <c r="J30" s="91"/>
    </row>
    <row r="31" spans="1:10">
      <c r="A31" s="307" t="s">
        <v>248</v>
      </c>
      <c r="B31" s="307"/>
      <c r="C31" s="99"/>
      <c r="D31" s="99" t="s">
        <v>249</v>
      </c>
      <c r="E31" s="133"/>
      <c r="H31" s="90"/>
      <c r="I31" s="90"/>
      <c r="J31" s="91"/>
    </row>
    <row r="32" spans="1:10">
      <c r="A32" s="130"/>
      <c r="B32" s="130"/>
      <c r="C32" s="131"/>
      <c r="D32" s="131"/>
      <c r="E32" s="133"/>
      <c r="H32" s="90"/>
      <c r="I32" s="90"/>
      <c r="J32" s="91"/>
    </row>
    <row r="33" spans="1:10">
      <c r="A33" s="130" t="s">
        <v>250</v>
      </c>
      <c r="B33" s="130"/>
      <c r="C33" s="131" t="s">
        <v>31</v>
      </c>
      <c r="D33" s="131" t="s">
        <v>251</v>
      </c>
      <c r="E33" s="133">
        <v>1400</v>
      </c>
      <c r="F33" t="s">
        <v>252</v>
      </c>
      <c r="G33" t="s">
        <v>253</v>
      </c>
      <c r="H33" s="90"/>
      <c r="I33" s="90"/>
      <c r="J33" s="91"/>
    </row>
    <row r="34" spans="1:10">
      <c r="A34" s="130" t="s">
        <v>254</v>
      </c>
      <c r="B34" s="130"/>
      <c r="C34" s="131" t="s">
        <v>31</v>
      </c>
      <c r="D34" s="131" t="s">
        <v>255</v>
      </c>
      <c r="E34" s="133">
        <v>1500</v>
      </c>
      <c r="F34" t="s">
        <v>252</v>
      </c>
      <c r="G34" t="s">
        <v>253</v>
      </c>
      <c r="H34" s="90"/>
      <c r="I34" s="90"/>
      <c r="J34" s="91"/>
    </row>
    <row r="35" spans="1:10">
      <c r="A35" s="130" t="s">
        <v>256</v>
      </c>
      <c r="B35" s="130"/>
      <c r="C35" s="131" t="s">
        <v>31</v>
      </c>
      <c r="D35" s="131" t="s">
        <v>257</v>
      </c>
      <c r="E35" s="133">
        <v>2400</v>
      </c>
      <c r="F35" t="s">
        <v>258</v>
      </c>
      <c r="H35" s="90"/>
      <c r="I35" s="90"/>
      <c r="J35" s="91"/>
    </row>
    <row r="36" spans="1:10">
      <c r="A36" s="130" t="s">
        <v>259</v>
      </c>
      <c r="B36" s="130"/>
      <c r="C36" s="131" t="s">
        <v>31</v>
      </c>
      <c r="D36" s="131" t="s">
        <v>260</v>
      </c>
      <c r="E36" s="133">
        <v>780</v>
      </c>
      <c r="H36" s="90"/>
      <c r="I36" s="90"/>
      <c r="J36" s="91"/>
    </row>
    <row r="37" spans="1:10">
      <c r="A37" s="130" t="s">
        <v>261</v>
      </c>
      <c r="B37" s="130"/>
      <c r="C37" s="131" t="s">
        <v>31</v>
      </c>
      <c r="D37" s="131" t="s">
        <v>262</v>
      </c>
      <c r="E37" s="133">
        <v>570</v>
      </c>
      <c r="H37" s="90"/>
      <c r="I37" s="90"/>
      <c r="J37" s="91"/>
    </row>
    <row r="38" spans="1:10">
      <c r="A38" s="130" t="s">
        <v>263</v>
      </c>
      <c r="B38" s="130"/>
      <c r="C38" s="131" t="s">
        <v>31</v>
      </c>
      <c r="D38" s="131" t="s">
        <v>264</v>
      </c>
      <c r="E38" s="133">
        <v>480</v>
      </c>
      <c r="H38" s="90"/>
      <c r="I38" s="90"/>
      <c r="J38" s="91"/>
    </row>
    <row r="39" spans="1:10">
      <c r="A39" s="130" t="s">
        <v>265</v>
      </c>
      <c r="B39" s="130"/>
      <c r="C39" s="131" t="s">
        <v>31</v>
      </c>
      <c r="D39" s="131"/>
      <c r="E39" s="133">
        <v>150</v>
      </c>
      <c r="H39" s="90"/>
      <c r="I39" s="90"/>
      <c r="J39" s="91"/>
    </row>
    <row r="40" spans="1:10">
      <c r="A40" s="130"/>
      <c r="B40" s="130"/>
      <c r="C40" s="131"/>
      <c r="D40" s="131"/>
      <c r="E40" s="133"/>
      <c r="H40" s="90"/>
      <c r="I40" s="90"/>
      <c r="J40" s="91"/>
    </row>
    <row r="41" spans="1:10">
      <c r="A41" s="130" t="s">
        <v>266</v>
      </c>
      <c r="B41" s="130"/>
      <c r="C41" s="131" t="s">
        <v>31</v>
      </c>
      <c r="D41" s="131" t="s">
        <v>267</v>
      </c>
      <c r="E41" s="133">
        <v>270</v>
      </c>
      <c r="H41" s="90"/>
      <c r="I41" s="90"/>
      <c r="J41" s="91"/>
    </row>
    <row r="42" spans="1:10">
      <c r="A42" s="130" t="s">
        <v>268</v>
      </c>
      <c r="B42" s="130"/>
      <c r="C42" s="131" t="s">
        <v>31</v>
      </c>
      <c r="D42" s="131" t="s">
        <v>269</v>
      </c>
      <c r="E42" s="133">
        <v>315</v>
      </c>
      <c r="H42" s="90"/>
      <c r="I42" s="90"/>
      <c r="J42" s="91"/>
    </row>
    <row r="43" spans="1:10">
      <c r="A43" s="130" t="s">
        <v>270</v>
      </c>
      <c r="B43" s="130"/>
      <c r="C43" s="131" t="s">
        <v>31</v>
      </c>
      <c r="D43" s="131" t="s">
        <v>271</v>
      </c>
      <c r="E43" s="133">
        <v>990</v>
      </c>
      <c r="H43" s="90"/>
      <c r="I43" s="90"/>
      <c r="J43" s="91"/>
    </row>
    <row r="44" spans="1:10">
      <c r="A44" s="130"/>
      <c r="B44" s="130"/>
      <c r="C44" s="131"/>
      <c r="D44" s="131"/>
      <c r="E44" s="133"/>
      <c r="H44" s="90"/>
      <c r="I44" s="90"/>
      <c r="J44" s="91"/>
    </row>
    <row r="45" spans="1:10">
      <c r="A45" s="130" t="s">
        <v>272</v>
      </c>
      <c r="B45" s="130"/>
      <c r="C45" s="131" t="s">
        <v>31</v>
      </c>
      <c r="D45" s="131"/>
      <c r="E45" s="133">
        <v>4990</v>
      </c>
      <c r="G45" t="s">
        <v>222</v>
      </c>
      <c r="H45" s="90"/>
      <c r="I45" s="90"/>
      <c r="J45" s="91"/>
    </row>
    <row r="46" spans="1:10">
      <c r="A46" s="130"/>
      <c r="B46" s="130"/>
      <c r="C46" s="131"/>
      <c r="D46" s="131"/>
      <c r="E46" s="133"/>
      <c r="H46" s="90"/>
      <c r="I46" s="90"/>
      <c r="J46" s="91"/>
    </row>
    <row r="47" spans="1:10">
      <c r="A47" s="130" t="s">
        <v>273</v>
      </c>
      <c r="B47" s="130"/>
      <c r="C47" s="131" t="s">
        <v>31</v>
      </c>
      <c r="D47" s="131"/>
      <c r="E47" s="133">
        <v>1200</v>
      </c>
      <c r="H47" s="90"/>
      <c r="I47" s="90"/>
      <c r="J47" s="91"/>
    </row>
    <row r="48" spans="1:10">
      <c r="A48" s="130" t="s">
        <v>274</v>
      </c>
      <c r="B48" s="130"/>
      <c r="C48" s="131" t="s">
        <v>31</v>
      </c>
      <c r="D48" s="131"/>
      <c r="E48" s="133">
        <v>780</v>
      </c>
      <c r="H48" s="90"/>
      <c r="I48" s="90"/>
      <c r="J48" s="91"/>
    </row>
    <row r="49" spans="1:10">
      <c r="A49" s="130"/>
      <c r="B49" s="130"/>
      <c r="C49" s="131"/>
      <c r="D49" s="131"/>
      <c r="E49" s="133"/>
      <c r="H49" s="90"/>
      <c r="I49" s="90"/>
      <c r="J49" s="91"/>
    </row>
    <row r="50" spans="1:10">
      <c r="A50" s="130" t="s">
        <v>275</v>
      </c>
      <c r="B50" s="130"/>
      <c r="C50" s="131" t="s">
        <v>31</v>
      </c>
      <c r="D50" s="131" t="s">
        <v>276</v>
      </c>
      <c r="E50" s="133">
        <v>890</v>
      </c>
      <c r="H50" s="90"/>
      <c r="I50" s="90"/>
      <c r="J50" s="91"/>
    </row>
    <row r="51" spans="1:10">
      <c r="A51" s="130" t="s">
        <v>277</v>
      </c>
      <c r="B51" s="130"/>
      <c r="C51" s="131" t="s">
        <v>31</v>
      </c>
      <c r="D51" s="131"/>
      <c r="E51" s="133">
        <v>180</v>
      </c>
      <c r="H51" s="90"/>
      <c r="I51" s="90"/>
      <c r="J51" s="91"/>
    </row>
    <row r="52" spans="1:10">
      <c r="A52" s="130" t="s">
        <v>278</v>
      </c>
      <c r="B52" s="130"/>
      <c r="C52" s="131" t="s">
        <v>31</v>
      </c>
      <c r="D52" s="131"/>
      <c r="E52" s="133">
        <v>420</v>
      </c>
      <c r="H52" s="90"/>
      <c r="I52" s="90"/>
      <c r="J52" s="91"/>
    </row>
    <row r="53" spans="1:10">
      <c r="A53" s="154"/>
      <c r="B53" s="154"/>
      <c r="C53" s="155"/>
      <c r="D53" s="155"/>
      <c r="E53" s="137"/>
      <c r="H53" s="90"/>
      <c r="I53" s="90"/>
      <c r="J53" s="91"/>
    </row>
    <row r="54" spans="1:10">
      <c r="A54" s="154" t="s">
        <v>279</v>
      </c>
      <c r="B54" s="154"/>
      <c r="C54" s="155" t="s">
        <v>31</v>
      </c>
      <c r="D54" s="155"/>
      <c r="E54" s="137">
        <v>1300</v>
      </c>
      <c r="H54" s="90"/>
      <c r="I54" s="90"/>
      <c r="J54" s="91"/>
    </row>
    <row r="55" spans="1:10">
      <c r="A55" s="316" t="s">
        <v>280</v>
      </c>
      <c r="B55" s="316"/>
      <c r="H55" s="90"/>
      <c r="I55" s="90"/>
      <c r="J55" s="91"/>
    </row>
    <row r="56" spans="1:10">
      <c r="A56" s="316" t="s">
        <v>281</v>
      </c>
      <c r="B56" s="316"/>
      <c r="C56" s="156" t="s">
        <v>31</v>
      </c>
      <c r="E56" s="157">
        <v>1742</v>
      </c>
      <c r="H56" s="90"/>
      <c r="I56" s="90"/>
      <c r="J56" s="91"/>
    </row>
    <row r="57" spans="1:10">
      <c r="A57" s="316"/>
      <c r="B57" s="316"/>
      <c r="H57" s="90"/>
      <c r="I57" s="90"/>
      <c r="J57" s="91"/>
    </row>
    <row r="58" spans="1:10">
      <c r="A58" s="316"/>
      <c r="B58" s="316"/>
      <c r="H58" s="90"/>
      <c r="I58" s="90"/>
      <c r="J58" s="91"/>
    </row>
    <row r="59" spans="1:10">
      <c r="A59" s="364" t="s">
        <v>282</v>
      </c>
      <c r="B59" s="364"/>
      <c r="C59" s="364"/>
      <c r="D59" s="364"/>
      <c r="E59" s="364"/>
      <c r="H59" s="90"/>
      <c r="I59" s="90"/>
      <c r="J59" s="91"/>
    </row>
    <row r="60" spans="1:10">
      <c r="A60" s="364" t="s">
        <v>283</v>
      </c>
      <c r="B60" s="364"/>
      <c r="C60" s="364"/>
      <c r="D60" s="364"/>
      <c r="E60" s="364"/>
      <c r="H60" s="90"/>
      <c r="I60" s="90"/>
      <c r="J60" s="91"/>
    </row>
    <row r="61" spans="1:10">
      <c r="A61" s="364" t="s">
        <v>284</v>
      </c>
      <c r="B61" s="364"/>
      <c r="C61" s="364"/>
      <c r="D61" s="364"/>
      <c r="E61" s="364"/>
      <c r="H61" s="90"/>
      <c r="I61" s="90"/>
      <c r="J61" s="91"/>
    </row>
    <row r="62" spans="1:10">
      <c r="A62" s="364" t="s">
        <v>285</v>
      </c>
      <c r="B62" s="364"/>
      <c r="C62" s="364"/>
      <c r="D62" s="364"/>
      <c r="E62" s="364"/>
      <c r="H62" s="90"/>
      <c r="I62" s="90"/>
      <c r="J62" s="91"/>
    </row>
    <row r="63" spans="1:10">
      <c r="A63" s="364" t="s">
        <v>286</v>
      </c>
      <c r="B63" s="364"/>
      <c r="C63" s="364"/>
      <c r="D63" s="364"/>
      <c r="E63" s="364"/>
      <c r="H63" s="90"/>
      <c r="I63" s="90"/>
      <c r="J63" s="91"/>
    </row>
    <row r="64" spans="1:10">
      <c r="A64" s="364" t="s">
        <v>287</v>
      </c>
      <c r="B64" s="364"/>
      <c r="C64" s="364"/>
      <c r="D64" s="364"/>
      <c r="E64" s="364"/>
      <c r="H64" s="90"/>
      <c r="I64" s="90"/>
      <c r="J64" s="91"/>
    </row>
    <row r="65" spans="1:10">
      <c r="A65" s="364" t="s">
        <v>288</v>
      </c>
      <c r="B65" s="364"/>
      <c r="C65" s="364"/>
      <c r="D65" s="364"/>
      <c r="E65" s="364"/>
      <c r="H65" s="90"/>
      <c r="I65" s="90"/>
      <c r="J65" s="91"/>
    </row>
    <row r="66" spans="1:10">
      <c r="A66" s="364" t="s">
        <v>289</v>
      </c>
      <c r="B66" s="364"/>
      <c r="C66" s="364"/>
      <c r="D66" s="364"/>
      <c r="E66" s="364"/>
      <c r="H66" s="90"/>
      <c r="I66" s="90"/>
      <c r="J66" s="91"/>
    </row>
    <row r="67" spans="1:10">
      <c r="A67" s="364" t="s">
        <v>290</v>
      </c>
      <c r="B67" s="364"/>
      <c r="C67" s="364"/>
      <c r="D67" s="364"/>
      <c r="E67" s="364"/>
      <c r="H67" s="90"/>
      <c r="I67" s="90"/>
      <c r="J67" s="91"/>
    </row>
    <row r="68" spans="1:10">
      <c r="A68" s="364" t="s">
        <v>291</v>
      </c>
      <c r="B68" s="364"/>
      <c r="C68" s="364"/>
      <c r="D68" s="364"/>
      <c r="E68" s="364"/>
      <c r="H68" s="90"/>
      <c r="I68" s="90"/>
      <c r="J68" s="91"/>
    </row>
    <row r="69" spans="1:10">
      <c r="A69" s="364" t="s">
        <v>292</v>
      </c>
      <c r="B69" s="364"/>
      <c r="C69" s="364"/>
      <c r="D69" s="364"/>
      <c r="E69" s="364"/>
      <c r="H69" s="90"/>
      <c r="I69" s="90"/>
      <c r="J69" s="91"/>
    </row>
  </sheetData>
  <mergeCells count="17">
    <mergeCell ref="A68:E68"/>
    <mergeCell ref="A69:E69"/>
    <mergeCell ref="A63:E63"/>
    <mergeCell ref="A1:H1"/>
    <mergeCell ref="A3:C3"/>
    <mergeCell ref="A59:E59"/>
    <mergeCell ref="A60:E60"/>
    <mergeCell ref="A61:E61"/>
    <mergeCell ref="A10:B10"/>
    <mergeCell ref="A9:E9"/>
    <mergeCell ref="B4:C4"/>
    <mergeCell ref="B5:C5"/>
    <mergeCell ref="A62:E62"/>
    <mergeCell ref="A64:E64"/>
    <mergeCell ref="A65:E65"/>
    <mergeCell ref="A66:E66"/>
    <mergeCell ref="A67:E67"/>
  </mergeCells>
  <phoneticPr fontId="0" type="noConversion"/>
  <pageMargins left="0.59" right="0.78740157480314965" top="0.78740157480314965" bottom="0.78740157480314965" header="0.51" footer="0.51181102362204722"/>
  <pageSetup paperSize="9" scale="78" fitToHeight="2" orientation="landscape" horizontalDpi="300" verticalDpi="300" r:id="rId1"/>
  <headerFooter alignWithMargins="0">
    <oddFooter>&amp;L&amp;F/&amp;A&amp;R&amp;P/&amp;N</oddFooter>
  </headerFooter>
  <rowBreaks count="2" manualBreakCount="2">
    <brk id="8" max="11" man="1"/>
    <brk id="56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3"/>
    <pageSetUpPr fitToPage="1"/>
  </sheetPr>
  <dimension ref="C1:H95"/>
  <sheetViews>
    <sheetView zoomScale="85" zoomScaleNormal="85" workbookViewId="0">
      <selection activeCell="H12" sqref="H12"/>
    </sheetView>
  </sheetViews>
  <sheetFormatPr defaultRowHeight="12.75"/>
  <cols>
    <col min="1" max="3" width="5.7109375" style="262" customWidth="1"/>
    <col min="4" max="4" width="40.7109375" style="262" customWidth="1"/>
    <col min="5" max="5" width="10.7109375" style="262" customWidth="1"/>
    <col min="6" max="6" width="5.7109375" style="262" customWidth="1"/>
    <col min="7" max="16384" width="9.140625" style="262"/>
  </cols>
  <sheetData>
    <row r="1" spans="3:7">
      <c r="C1" s="369" t="s">
        <v>96</v>
      </c>
      <c r="D1" s="369"/>
      <c r="E1" s="369"/>
    </row>
    <row r="2" spans="3:7">
      <c r="C2" s="370"/>
      <c r="D2" s="370"/>
      <c r="E2" s="370"/>
    </row>
    <row r="3" spans="3:7">
      <c r="C3" s="263"/>
      <c r="D3" s="264" t="s">
        <v>96</v>
      </c>
      <c r="E3" s="265"/>
    </row>
    <row r="4" spans="3:7">
      <c r="C4" s="266"/>
      <c r="D4" s="267" t="s">
        <v>96</v>
      </c>
      <c r="E4" s="268"/>
    </row>
    <row r="5" spans="3:7">
      <c r="C5" s="269"/>
      <c r="D5" s="270" t="s">
        <v>293</v>
      </c>
      <c r="E5" s="271"/>
      <c r="G5" s="272"/>
    </row>
    <row r="6" spans="3:7">
      <c r="C6" s="269"/>
      <c r="D6" s="273" t="s">
        <v>96</v>
      </c>
      <c r="E6" s="271"/>
    </row>
    <row r="7" spans="3:7">
      <c r="C7" s="269" t="s">
        <v>175</v>
      </c>
      <c r="D7" s="273" t="s">
        <v>294</v>
      </c>
      <c r="E7" s="271"/>
      <c r="G7" s="274"/>
    </row>
    <row r="8" spans="3:7">
      <c r="C8" s="269" t="s">
        <v>157</v>
      </c>
      <c r="D8" s="275" t="s">
        <v>295</v>
      </c>
      <c r="E8" s="271">
        <f>'[1]Valores de Aquisição'!$C$14</f>
        <v>31350</v>
      </c>
    </row>
    <row r="9" spans="3:7">
      <c r="C9" s="269" t="s">
        <v>159</v>
      </c>
      <c r="D9" s="275" t="s">
        <v>296</v>
      </c>
      <c r="E9" s="271">
        <v>36</v>
      </c>
    </row>
    <row r="10" spans="3:7">
      <c r="C10" s="269" t="s">
        <v>161</v>
      </c>
      <c r="D10" s="275" t="s">
        <v>297</v>
      </c>
      <c r="E10" s="276">
        <v>0.4</v>
      </c>
    </row>
    <row r="11" spans="3:7">
      <c r="C11" s="269" t="s">
        <v>163</v>
      </c>
      <c r="D11" s="275" t="s">
        <v>298</v>
      </c>
      <c r="E11" s="271">
        <f>(E8-(E10*E8))/E9</f>
        <v>522.5</v>
      </c>
    </row>
    <row r="12" spans="3:7">
      <c r="C12" s="269"/>
      <c r="D12" s="275"/>
      <c r="E12" s="271"/>
    </row>
    <row r="13" spans="3:7">
      <c r="C13" s="269" t="s">
        <v>188</v>
      </c>
      <c r="D13" s="273" t="s">
        <v>299</v>
      </c>
      <c r="E13" s="271"/>
    </row>
    <row r="14" spans="3:7">
      <c r="C14" s="269" t="s">
        <v>177</v>
      </c>
      <c r="D14" s="275" t="s">
        <v>300</v>
      </c>
      <c r="E14" s="276">
        <v>0.05</v>
      </c>
    </row>
    <row r="15" spans="3:7">
      <c r="C15" s="269" t="s">
        <v>180</v>
      </c>
      <c r="D15" s="275" t="s">
        <v>301</v>
      </c>
      <c r="E15" s="271">
        <f>E14*E11</f>
        <v>26.125</v>
      </c>
    </row>
    <row r="16" spans="3:7">
      <c r="C16" s="269"/>
      <c r="D16" s="273"/>
      <c r="E16" s="271"/>
    </row>
    <row r="17" spans="3:7">
      <c r="C17" s="269" t="s">
        <v>196</v>
      </c>
      <c r="D17" s="273" t="s">
        <v>302</v>
      </c>
      <c r="E17" s="271"/>
    </row>
    <row r="18" spans="3:7">
      <c r="C18" s="269" t="s">
        <v>190</v>
      </c>
      <c r="D18" s="275" t="s">
        <v>303</v>
      </c>
      <c r="E18" s="276">
        <v>1</v>
      </c>
      <c r="G18" s="274"/>
    </row>
    <row r="19" spans="3:7">
      <c r="C19" s="269" t="s">
        <v>192</v>
      </c>
      <c r="D19" s="275" t="s">
        <v>304</v>
      </c>
      <c r="E19" s="271">
        <f>E18*E11</f>
        <v>522.5</v>
      </c>
    </row>
    <row r="20" spans="3:7">
      <c r="C20" s="269" t="s">
        <v>96</v>
      </c>
      <c r="D20" s="275" t="s">
        <v>96</v>
      </c>
      <c r="E20" s="271" t="s">
        <v>96</v>
      </c>
    </row>
    <row r="21" spans="3:7">
      <c r="C21" s="269" t="s">
        <v>202</v>
      </c>
      <c r="D21" s="273" t="s">
        <v>305</v>
      </c>
      <c r="E21" s="271"/>
    </row>
    <row r="22" spans="3:7">
      <c r="C22" s="269" t="s">
        <v>198</v>
      </c>
      <c r="D22" s="275" t="s">
        <v>306</v>
      </c>
      <c r="E22" s="271">
        <v>3000</v>
      </c>
    </row>
    <row r="23" spans="3:7">
      <c r="C23" s="269" t="s">
        <v>200</v>
      </c>
      <c r="D23" s="275" t="s">
        <v>307</v>
      </c>
      <c r="E23" s="271">
        <f>'[1]Valores de Aquisição'!$C$2</f>
        <v>2.78</v>
      </c>
    </row>
    <row r="24" spans="3:7">
      <c r="C24" s="269" t="s">
        <v>308</v>
      </c>
      <c r="D24" s="275" t="s">
        <v>309</v>
      </c>
      <c r="E24" s="271">
        <v>10</v>
      </c>
    </row>
    <row r="25" spans="3:7">
      <c r="C25" s="269" t="s">
        <v>310</v>
      </c>
      <c r="D25" s="275" t="s">
        <v>311</v>
      </c>
      <c r="E25" s="271">
        <f>(E22/E24)*E23</f>
        <v>833.99999999999989</v>
      </c>
    </row>
    <row r="26" spans="3:7">
      <c r="C26" s="269"/>
      <c r="D26" s="275"/>
      <c r="E26" s="271"/>
    </row>
    <row r="27" spans="3:7">
      <c r="C27" s="269" t="s">
        <v>312</v>
      </c>
      <c r="D27" s="273" t="s">
        <v>313</v>
      </c>
      <c r="E27" s="271"/>
      <c r="G27" s="277"/>
    </row>
    <row r="28" spans="3:7">
      <c r="C28" s="269" t="s">
        <v>314</v>
      </c>
      <c r="D28" s="275" t="s">
        <v>315</v>
      </c>
      <c r="E28" s="271">
        <f>E22*12</f>
        <v>36000</v>
      </c>
    </row>
    <row r="29" spans="3:7">
      <c r="C29" s="269" t="s">
        <v>316</v>
      </c>
      <c r="D29" s="275" t="s">
        <v>317</v>
      </c>
      <c r="E29" s="271">
        <v>5000</v>
      </c>
    </row>
    <row r="30" spans="3:7">
      <c r="C30" s="269" t="s">
        <v>318</v>
      </c>
      <c r="D30" s="275" t="s">
        <v>319</v>
      </c>
      <c r="E30" s="271">
        <v>10</v>
      </c>
    </row>
    <row r="31" spans="3:7">
      <c r="C31" s="269" t="s">
        <v>320</v>
      </c>
      <c r="D31" s="275" t="s">
        <v>321</v>
      </c>
      <c r="E31" s="271">
        <v>3.5</v>
      </c>
    </row>
    <row r="32" spans="3:7">
      <c r="C32" s="269" t="s">
        <v>322</v>
      </c>
      <c r="D32" s="275" t="s">
        <v>323</v>
      </c>
      <c r="E32" s="271">
        <v>365</v>
      </c>
    </row>
    <row r="33" spans="3:8">
      <c r="C33" s="269" t="s">
        <v>324</v>
      </c>
      <c r="D33" s="275" t="s">
        <v>325</v>
      </c>
      <c r="E33" s="278">
        <f>(E28*E30*E31*30)/(E29*E32)</f>
        <v>20.712328767123289</v>
      </c>
    </row>
    <row r="34" spans="3:8">
      <c r="C34" s="269"/>
      <c r="D34" s="275"/>
      <c r="E34" s="279"/>
    </row>
    <row r="35" spans="3:8">
      <c r="C35" s="269" t="s">
        <v>326</v>
      </c>
      <c r="D35" s="273" t="s">
        <v>327</v>
      </c>
      <c r="E35" s="279"/>
    </row>
    <row r="36" spans="3:8">
      <c r="C36" s="269" t="s">
        <v>328</v>
      </c>
      <c r="D36" s="275" t="s">
        <v>315</v>
      </c>
      <c r="E36" s="271">
        <f>E22*12</f>
        <v>36000</v>
      </c>
      <c r="G36" s="280"/>
    </row>
    <row r="37" spans="3:8">
      <c r="C37" s="269" t="s">
        <v>329</v>
      </c>
      <c r="D37" s="275" t="s">
        <v>330</v>
      </c>
      <c r="E37" s="271">
        <v>45000</v>
      </c>
    </row>
    <row r="38" spans="3:8">
      <c r="C38" s="269" t="s">
        <v>331</v>
      </c>
      <c r="D38" s="275" t="s">
        <v>332</v>
      </c>
      <c r="E38" s="271">
        <v>5</v>
      </c>
    </row>
    <row r="39" spans="3:8">
      <c r="C39" s="269" t="s">
        <v>333</v>
      </c>
      <c r="D39" s="275" t="s">
        <v>334</v>
      </c>
      <c r="E39" s="271">
        <v>170</v>
      </c>
    </row>
    <row r="40" spans="3:8">
      <c r="C40" s="269" t="s">
        <v>335</v>
      </c>
      <c r="D40" s="275" t="s">
        <v>336</v>
      </c>
      <c r="E40" s="271">
        <v>365</v>
      </c>
    </row>
    <row r="41" spans="3:8">
      <c r="C41" s="269" t="s">
        <v>337</v>
      </c>
      <c r="D41" s="275" t="s">
        <v>338</v>
      </c>
      <c r="E41" s="271">
        <f>(E36*E38*E39*30)/(E37*E40)</f>
        <v>55.890410958904113</v>
      </c>
    </row>
    <row r="42" spans="3:8">
      <c r="C42" s="269"/>
      <c r="D42" s="275"/>
      <c r="E42" s="271"/>
      <c r="H42" s="262" t="s">
        <v>96</v>
      </c>
    </row>
    <row r="43" spans="3:8">
      <c r="C43" s="269"/>
      <c r="D43" s="275"/>
      <c r="E43" s="271"/>
    </row>
    <row r="44" spans="3:8">
      <c r="C44" s="269"/>
      <c r="D44" s="275"/>
      <c r="E44" s="271"/>
    </row>
    <row r="45" spans="3:8">
      <c r="C45" s="269"/>
      <c r="D45" s="275"/>
      <c r="E45" s="271"/>
    </row>
    <row r="46" spans="3:8">
      <c r="C46" s="269" t="s">
        <v>339</v>
      </c>
      <c r="D46" s="273" t="s">
        <v>340</v>
      </c>
      <c r="E46" s="271"/>
    </row>
    <row r="47" spans="3:8">
      <c r="C47" s="269" t="s">
        <v>341</v>
      </c>
      <c r="D47" s="275" t="s">
        <v>342</v>
      </c>
      <c r="E47" s="271">
        <f>4.2*176*1.7725</f>
        <v>1310.232</v>
      </c>
    </row>
    <row r="48" spans="3:8">
      <c r="C48" s="269"/>
      <c r="D48" s="275"/>
      <c r="E48" s="271"/>
    </row>
    <row r="49" spans="3:8">
      <c r="C49" s="269" t="s">
        <v>343</v>
      </c>
      <c r="D49" s="273" t="s">
        <v>344</v>
      </c>
      <c r="E49" s="278" t="s">
        <v>96</v>
      </c>
    </row>
    <row r="50" spans="3:8" ht="14.25">
      <c r="C50" s="269"/>
      <c r="D50" s="275" t="s">
        <v>345</v>
      </c>
      <c r="E50" s="281">
        <f>E11+E15+E19+E25+E33+E41</f>
        <v>1981.7277397260275</v>
      </c>
      <c r="H50" s="282" t="s">
        <v>96</v>
      </c>
    </row>
    <row r="51" spans="3:8">
      <c r="C51" s="269"/>
      <c r="D51" s="275" t="s">
        <v>346</v>
      </c>
      <c r="E51" s="278">
        <f>E11+E15+E19+E25+E33+E41+E47</f>
        <v>3291.9597397260277</v>
      </c>
    </row>
    <row r="52" spans="3:8">
      <c r="C52" s="269"/>
      <c r="D52" s="273"/>
      <c r="E52" s="278"/>
    </row>
    <row r="53" spans="3:8">
      <c r="C53" s="269" t="s">
        <v>231</v>
      </c>
      <c r="D53" s="273" t="s">
        <v>347</v>
      </c>
      <c r="E53" s="278"/>
    </row>
    <row r="54" spans="3:8">
      <c r="C54" s="269"/>
      <c r="D54" s="275" t="s">
        <v>345</v>
      </c>
      <c r="E54" s="278">
        <f>E50/E22</f>
        <v>0.66057591324200915</v>
      </c>
    </row>
    <row r="55" spans="3:8">
      <c r="C55" s="269"/>
      <c r="D55" s="275" t="s">
        <v>346</v>
      </c>
      <c r="E55" s="278">
        <f>E51/E22</f>
        <v>1.0973199132420093</v>
      </c>
    </row>
    <row r="56" spans="3:8">
      <c r="C56" s="269"/>
      <c r="D56" s="273"/>
      <c r="E56" s="278"/>
    </row>
    <row r="57" spans="3:8">
      <c r="C57" s="283" t="s">
        <v>348</v>
      </c>
      <c r="D57" s="284" t="s">
        <v>349</v>
      </c>
      <c r="E57" s="285" t="s">
        <v>96</v>
      </c>
    </row>
    <row r="58" spans="3:8">
      <c r="C58" s="283" t="s">
        <v>350</v>
      </c>
      <c r="D58" s="286" t="s">
        <v>345</v>
      </c>
      <c r="E58" s="285">
        <f>E50*1.2</f>
        <v>2378.0732876712327</v>
      </c>
    </row>
    <row r="59" spans="3:8">
      <c r="C59" s="283" t="s">
        <v>351</v>
      </c>
      <c r="D59" s="286" t="s">
        <v>346</v>
      </c>
      <c r="E59" s="285">
        <f>E51*1.3</f>
        <v>4279.5476616438364</v>
      </c>
    </row>
    <row r="60" spans="3:8">
      <c r="C60" s="283"/>
      <c r="D60" s="284" t="s">
        <v>96</v>
      </c>
      <c r="E60" s="287" t="s">
        <v>96</v>
      </c>
    </row>
    <row r="61" spans="3:8">
      <c r="C61" s="288"/>
      <c r="D61" s="289"/>
      <c r="E61" s="290"/>
    </row>
    <row r="62" spans="3:8">
      <c r="C62" s="269"/>
      <c r="D62" s="284"/>
      <c r="E62" s="286"/>
    </row>
    <row r="63" spans="3:8">
      <c r="C63" s="269"/>
      <c r="D63" s="284"/>
      <c r="E63" s="286"/>
    </row>
    <row r="64" spans="3:8">
      <c r="C64" s="269"/>
      <c r="D64" s="286"/>
      <c r="E64" s="291"/>
    </row>
    <row r="65" spans="3:5">
      <c r="C65" s="269"/>
      <c r="D65" s="286"/>
      <c r="E65" s="292"/>
    </row>
    <row r="66" spans="3:5">
      <c r="C66" s="269"/>
      <c r="D66" s="284"/>
      <c r="E66" s="286"/>
    </row>
    <row r="67" spans="3:5">
      <c r="C67" s="269"/>
      <c r="D67" s="284"/>
      <c r="E67" s="286"/>
    </row>
    <row r="68" spans="3:5">
      <c r="C68" s="269"/>
      <c r="D68" s="286"/>
      <c r="E68" s="291"/>
    </row>
    <row r="69" spans="3:5">
      <c r="C69" s="269"/>
      <c r="D69" s="286"/>
      <c r="E69" s="291"/>
    </row>
    <row r="70" spans="3:5">
      <c r="C70" s="269"/>
      <c r="D70" s="286"/>
      <c r="E70" s="291"/>
    </row>
    <row r="71" spans="3:5">
      <c r="C71" s="269"/>
      <c r="D71" s="286"/>
      <c r="E71" s="292"/>
    </row>
    <row r="72" spans="3:5">
      <c r="C72" s="269"/>
      <c r="D72" s="286"/>
      <c r="E72" s="286"/>
    </row>
    <row r="73" spans="3:5">
      <c r="C73" s="269"/>
      <c r="D73" s="284"/>
      <c r="E73" s="286"/>
    </row>
    <row r="74" spans="3:5">
      <c r="C74" s="269"/>
      <c r="D74" s="286"/>
      <c r="E74" s="291"/>
    </row>
    <row r="75" spans="3:5">
      <c r="C75" s="269"/>
      <c r="D75" s="286"/>
      <c r="E75" s="291"/>
    </row>
    <row r="76" spans="3:5">
      <c r="C76" s="293"/>
      <c r="D76" s="284"/>
      <c r="E76" s="292"/>
    </row>
    <row r="77" spans="3:5">
      <c r="C77" s="293"/>
      <c r="D77" s="286"/>
      <c r="E77" s="286"/>
    </row>
    <row r="78" spans="3:5">
      <c r="C78" s="293"/>
      <c r="D78" s="294"/>
      <c r="E78" s="291"/>
    </row>
    <row r="79" spans="3:5">
      <c r="C79" s="293"/>
      <c r="D79" s="286"/>
      <c r="E79" s="286"/>
    </row>
    <row r="80" spans="3:5">
      <c r="C80" s="293"/>
      <c r="D80" s="294"/>
      <c r="E80" s="292"/>
    </row>
    <row r="81" spans="3:5">
      <c r="C81" s="293"/>
      <c r="D81" s="286"/>
      <c r="E81" s="286"/>
    </row>
    <row r="82" spans="3:5">
      <c r="C82" s="295"/>
      <c r="D82" s="284"/>
      <c r="E82" s="286"/>
    </row>
    <row r="83" spans="3:5">
      <c r="C83" s="293"/>
      <c r="D83" s="286"/>
      <c r="E83" s="296"/>
    </row>
    <row r="84" spans="3:5">
      <c r="C84" s="293"/>
      <c r="D84" s="286"/>
      <c r="E84" s="296"/>
    </row>
    <row r="85" spans="3:5">
      <c r="C85" s="293"/>
      <c r="D85" s="286"/>
      <c r="E85" s="296"/>
    </row>
    <row r="86" spans="3:5">
      <c r="C86" s="293"/>
      <c r="D86" s="286"/>
      <c r="E86" s="296"/>
    </row>
    <row r="87" spans="3:5">
      <c r="C87" s="293"/>
      <c r="D87" s="286"/>
      <c r="E87" s="296"/>
    </row>
    <row r="88" spans="3:5">
      <c r="C88" s="293"/>
      <c r="D88" s="286"/>
      <c r="E88" s="297"/>
    </row>
    <row r="89" spans="3:5">
      <c r="C89" s="295"/>
      <c r="D89" s="284"/>
      <c r="E89" s="296"/>
    </row>
    <row r="90" spans="3:5">
      <c r="C90" s="293"/>
      <c r="D90" s="286"/>
      <c r="E90" s="296"/>
    </row>
    <row r="91" spans="3:5">
      <c r="C91" s="293"/>
      <c r="D91" s="286"/>
      <c r="E91" s="291"/>
    </row>
    <row r="92" spans="3:5">
      <c r="C92" s="293"/>
      <c r="D92" s="286"/>
      <c r="E92" s="292"/>
    </row>
    <row r="93" spans="3:5">
      <c r="C93" s="293"/>
      <c r="D93" s="286"/>
      <c r="E93" s="286"/>
    </row>
    <row r="94" spans="3:5">
      <c r="C94" s="295"/>
      <c r="D94" s="284"/>
      <c r="E94" s="292"/>
    </row>
    <row r="95" spans="3:5">
      <c r="C95" s="293"/>
      <c r="D95" s="286"/>
      <c r="E95" s="286"/>
    </row>
  </sheetData>
  <mergeCells count="2">
    <mergeCell ref="C1:E1"/>
    <mergeCell ref="C2:E2"/>
  </mergeCells>
  <phoneticPr fontId="18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3"/>
  </sheetPr>
  <dimension ref="A1:F96"/>
  <sheetViews>
    <sheetView zoomScale="85" zoomScaleNormal="85" workbookViewId="0">
      <selection activeCell="B10" sqref="B10"/>
    </sheetView>
  </sheetViews>
  <sheetFormatPr defaultRowHeight="12.75"/>
  <cols>
    <col min="1" max="1" width="5.7109375" style="262" customWidth="1"/>
    <col min="2" max="2" width="40.7109375" style="262" customWidth="1"/>
    <col min="3" max="3" width="10.7109375" style="262" customWidth="1"/>
    <col min="4" max="4" width="5.7109375" style="262" customWidth="1"/>
    <col min="5" max="5" width="9.140625" style="262"/>
    <col min="6" max="6" width="9.28515625" style="262" customWidth="1"/>
    <col min="7" max="16384" width="9.140625" style="262"/>
  </cols>
  <sheetData>
    <row r="1" spans="1:5">
      <c r="A1" s="369" t="s">
        <v>96</v>
      </c>
      <c r="B1" s="369"/>
      <c r="C1" s="369"/>
    </row>
    <row r="2" spans="1:5">
      <c r="A2" s="370"/>
      <c r="B2" s="370"/>
      <c r="C2" s="370"/>
    </row>
    <row r="3" spans="1:5">
      <c r="A3" s="263"/>
      <c r="B3" s="264" t="s">
        <v>96</v>
      </c>
      <c r="C3" s="265"/>
    </row>
    <row r="4" spans="1:5">
      <c r="A4" s="266"/>
      <c r="B4" s="267" t="s">
        <v>96</v>
      </c>
      <c r="C4" s="268"/>
    </row>
    <row r="5" spans="1:5">
      <c r="A5" s="269"/>
      <c r="B5" s="270" t="s">
        <v>352</v>
      </c>
      <c r="C5" s="271"/>
    </row>
    <row r="6" spans="1:5">
      <c r="A6" s="269"/>
      <c r="B6" s="273" t="s">
        <v>96</v>
      </c>
      <c r="C6" s="271"/>
    </row>
    <row r="7" spans="1:5">
      <c r="A7" s="269" t="s">
        <v>175</v>
      </c>
      <c r="B7" s="273" t="s">
        <v>294</v>
      </c>
      <c r="C7" s="271"/>
    </row>
    <row r="8" spans="1:5">
      <c r="A8" s="269" t="s">
        <v>157</v>
      </c>
      <c r="B8" s="275" t="s">
        <v>295</v>
      </c>
      <c r="C8" s="271">
        <f>'[1]Valores de Aquisição'!$C$23</f>
        <v>78000</v>
      </c>
    </row>
    <row r="9" spans="1:5">
      <c r="A9" s="269" t="s">
        <v>159</v>
      </c>
      <c r="B9" s="275" t="s">
        <v>296</v>
      </c>
      <c r="C9" s="271">
        <v>36</v>
      </c>
    </row>
    <row r="10" spans="1:5">
      <c r="A10" s="269" t="s">
        <v>161</v>
      </c>
      <c r="B10" s="275" t="s">
        <v>297</v>
      </c>
      <c r="C10" s="276">
        <v>0.4</v>
      </c>
    </row>
    <row r="11" spans="1:5">
      <c r="A11" s="269" t="s">
        <v>163</v>
      </c>
      <c r="B11" s="275" t="s">
        <v>298</v>
      </c>
      <c r="C11" s="271">
        <f>(C8-(C10*C8))/C9</f>
        <v>1300</v>
      </c>
    </row>
    <row r="12" spans="1:5">
      <c r="A12" s="269"/>
      <c r="B12" s="275"/>
      <c r="C12" s="271"/>
    </row>
    <row r="13" spans="1:5">
      <c r="A13" s="269" t="s">
        <v>188</v>
      </c>
      <c r="B13" s="273" t="s">
        <v>299</v>
      </c>
      <c r="C13" s="271"/>
    </row>
    <row r="14" spans="1:5">
      <c r="A14" s="269" t="s">
        <v>177</v>
      </c>
      <c r="B14" s="275" t="s">
        <v>300</v>
      </c>
      <c r="C14" s="276">
        <v>0.05</v>
      </c>
    </row>
    <row r="15" spans="1:5">
      <c r="A15" s="269" t="s">
        <v>180</v>
      </c>
      <c r="B15" s="275" t="s">
        <v>301</v>
      </c>
      <c r="C15" s="271">
        <f>C14*C11</f>
        <v>65</v>
      </c>
      <c r="E15" s="262" t="s">
        <v>96</v>
      </c>
    </row>
    <row r="16" spans="1:5">
      <c r="A16" s="269"/>
      <c r="B16" s="273"/>
      <c r="C16" s="271"/>
    </row>
    <row r="17" spans="1:3">
      <c r="A17" s="269" t="s">
        <v>196</v>
      </c>
      <c r="B17" s="273" t="s">
        <v>302</v>
      </c>
      <c r="C17" s="271"/>
    </row>
    <row r="18" spans="1:3">
      <c r="A18" s="269" t="s">
        <v>190</v>
      </c>
      <c r="B18" s="275" t="s">
        <v>303</v>
      </c>
      <c r="C18" s="276">
        <v>1</v>
      </c>
    </row>
    <row r="19" spans="1:3">
      <c r="A19" s="269" t="s">
        <v>192</v>
      </c>
      <c r="B19" s="275" t="s">
        <v>304</v>
      </c>
      <c r="C19" s="271">
        <f>C18*C11</f>
        <v>1300</v>
      </c>
    </row>
    <row r="20" spans="1:3">
      <c r="A20" s="269" t="s">
        <v>96</v>
      </c>
      <c r="B20" s="275" t="s">
        <v>96</v>
      </c>
      <c r="C20" s="271" t="s">
        <v>96</v>
      </c>
    </row>
    <row r="21" spans="1:3">
      <c r="A21" s="269" t="s">
        <v>202</v>
      </c>
      <c r="B21" s="273" t="s">
        <v>305</v>
      </c>
      <c r="C21" s="271"/>
    </row>
    <row r="22" spans="1:3">
      <c r="A22" s="269" t="s">
        <v>198</v>
      </c>
      <c r="B22" s="275" t="s">
        <v>306</v>
      </c>
      <c r="C22" s="271">
        <v>3000</v>
      </c>
    </row>
    <row r="23" spans="1:3">
      <c r="A23" s="269" t="s">
        <v>200</v>
      </c>
      <c r="B23" s="275" t="s">
        <v>307</v>
      </c>
      <c r="C23" s="271">
        <f>'[1]Valores de Aquisição'!C4</f>
        <v>2.0099999999999998</v>
      </c>
    </row>
    <row r="24" spans="1:3">
      <c r="A24" s="269" t="s">
        <v>308</v>
      </c>
      <c r="B24" s="275" t="s">
        <v>309</v>
      </c>
      <c r="C24" s="271">
        <v>10</v>
      </c>
    </row>
    <row r="25" spans="1:3">
      <c r="A25" s="269" t="s">
        <v>310</v>
      </c>
      <c r="B25" s="275" t="s">
        <v>311</v>
      </c>
      <c r="C25" s="271">
        <f>(C22/C24)*C23</f>
        <v>602.99999999999989</v>
      </c>
    </row>
    <row r="26" spans="1:3">
      <c r="A26" s="269"/>
      <c r="B26" s="275"/>
      <c r="C26" s="271"/>
    </row>
    <row r="27" spans="1:3">
      <c r="A27" s="269" t="s">
        <v>312</v>
      </c>
      <c r="B27" s="273" t="s">
        <v>313</v>
      </c>
      <c r="C27" s="271"/>
    </row>
    <row r="28" spans="1:3">
      <c r="A28" s="269" t="s">
        <v>314</v>
      </c>
      <c r="B28" s="275" t="s">
        <v>315</v>
      </c>
      <c r="C28" s="271">
        <f>C22*12</f>
        <v>36000</v>
      </c>
    </row>
    <row r="29" spans="1:3">
      <c r="A29" s="269" t="s">
        <v>316</v>
      </c>
      <c r="B29" s="275" t="s">
        <v>317</v>
      </c>
      <c r="C29" s="271">
        <v>5000</v>
      </c>
    </row>
    <row r="30" spans="1:3">
      <c r="A30" s="269" t="s">
        <v>318</v>
      </c>
      <c r="B30" s="275" t="s">
        <v>319</v>
      </c>
      <c r="C30" s="271">
        <v>10</v>
      </c>
    </row>
    <row r="31" spans="1:3">
      <c r="A31" s="269" t="s">
        <v>320</v>
      </c>
      <c r="B31" s="275" t="s">
        <v>321</v>
      </c>
      <c r="C31" s="271">
        <v>3.5</v>
      </c>
    </row>
    <row r="32" spans="1:3">
      <c r="A32" s="269" t="s">
        <v>322</v>
      </c>
      <c r="B32" s="275" t="s">
        <v>323</v>
      </c>
      <c r="C32" s="271">
        <v>365</v>
      </c>
    </row>
    <row r="33" spans="1:3">
      <c r="A33" s="269" t="s">
        <v>324</v>
      </c>
      <c r="B33" s="275" t="s">
        <v>325</v>
      </c>
      <c r="C33" s="278">
        <f>(C28*C30*C31*30)/(C29*C32)</f>
        <v>20.712328767123289</v>
      </c>
    </row>
    <row r="34" spans="1:3">
      <c r="A34" s="269"/>
      <c r="B34" s="275"/>
      <c r="C34" s="279"/>
    </row>
    <row r="35" spans="1:3">
      <c r="A35" s="269" t="s">
        <v>326</v>
      </c>
      <c r="B35" s="273" t="s">
        <v>327</v>
      </c>
      <c r="C35" s="279"/>
    </row>
    <row r="36" spans="1:3">
      <c r="A36" s="269" t="s">
        <v>328</v>
      </c>
      <c r="B36" s="275" t="s">
        <v>315</v>
      </c>
      <c r="C36" s="271">
        <f>C22*12</f>
        <v>36000</v>
      </c>
    </row>
    <row r="37" spans="1:3">
      <c r="A37" s="269" t="s">
        <v>329</v>
      </c>
      <c r="B37" s="275" t="s">
        <v>330</v>
      </c>
      <c r="C37" s="271">
        <v>45000</v>
      </c>
    </row>
    <row r="38" spans="1:3">
      <c r="A38" s="269" t="s">
        <v>331</v>
      </c>
      <c r="B38" s="275" t="s">
        <v>332</v>
      </c>
      <c r="C38" s="271">
        <v>5</v>
      </c>
    </row>
    <row r="39" spans="1:3">
      <c r="A39" s="269" t="s">
        <v>333</v>
      </c>
      <c r="B39" s="275" t="s">
        <v>334</v>
      </c>
      <c r="C39" s="271">
        <v>400</v>
      </c>
    </row>
    <row r="40" spans="1:3">
      <c r="A40" s="269" t="s">
        <v>335</v>
      </c>
      <c r="B40" s="275" t="s">
        <v>336</v>
      </c>
      <c r="C40" s="271">
        <v>365</v>
      </c>
    </row>
    <row r="41" spans="1:3">
      <c r="A41" s="269" t="s">
        <v>337</v>
      </c>
      <c r="B41" s="275" t="s">
        <v>338</v>
      </c>
      <c r="C41" s="271">
        <f>(C36*C38*C39*30)/(C37*C40)</f>
        <v>131.50684931506851</v>
      </c>
    </row>
    <row r="42" spans="1:3">
      <c r="A42" s="269"/>
      <c r="B42" s="275"/>
      <c r="C42" s="271"/>
    </row>
    <row r="43" spans="1:3">
      <c r="A43" s="269"/>
      <c r="B43" s="275"/>
      <c r="C43" s="271"/>
    </row>
    <row r="44" spans="1:3">
      <c r="A44" s="269"/>
      <c r="B44" s="275"/>
      <c r="C44" s="271"/>
    </row>
    <row r="45" spans="1:3">
      <c r="A45" s="269"/>
      <c r="B45" s="275"/>
      <c r="C45" s="271"/>
    </row>
    <row r="46" spans="1:3">
      <c r="A46" s="269"/>
      <c r="B46" s="275"/>
      <c r="C46" s="271"/>
    </row>
    <row r="47" spans="1:3">
      <c r="A47" s="269" t="s">
        <v>339</v>
      </c>
      <c r="B47" s="273" t="s">
        <v>340</v>
      </c>
      <c r="C47" s="271"/>
    </row>
    <row r="48" spans="1:3">
      <c r="A48" s="269" t="s">
        <v>341</v>
      </c>
      <c r="B48" s="275" t="s">
        <v>342</v>
      </c>
      <c r="C48" s="271">
        <f>4.2*176*1.7725</f>
        <v>1310.232</v>
      </c>
    </row>
    <row r="49" spans="1:6">
      <c r="A49" s="269"/>
      <c r="B49" s="275"/>
      <c r="C49" s="271"/>
    </row>
    <row r="50" spans="1:6">
      <c r="A50" s="269" t="s">
        <v>343</v>
      </c>
      <c r="B50" s="273" t="s">
        <v>344</v>
      </c>
      <c r="C50" s="278" t="s">
        <v>96</v>
      </c>
    </row>
    <row r="51" spans="1:6">
      <c r="A51" s="269"/>
      <c r="B51" s="275" t="s">
        <v>345</v>
      </c>
      <c r="C51" s="278">
        <f>C11+C15+C19+C25+C33+C41</f>
        <v>3420.2191780821918</v>
      </c>
      <c r="F51" s="282"/>
    </row>
    <row r="52" spans="1:6">
      <c r="A52" s="269"/>
      <c r="B52" s="275" t="s">
        <v>346</v>
      </c>
      <c r="C52" s="278">
        <f>C11+C15+C19+C25+C33+C41+C48</f>
        <v>4730.4511780821922</v>
      </c>
    </row>
    <row r="53" spans="1:6">
      <c r="A53" s="269"/>
      <c r="B53" s="273"/>
      <c r="C53" s="278"/>
    </row>
    <row r="54" spans="1:6">
      <c r="A54" s="269" t="s">
        <v>231</v>
      </c>
      <c r="B54" s="273" t="s">
        <v>347</v>
      </c>
      <c r="C54" s="278"/>
    </row>
    <row r="55" spans="1:6">
      <c r="A55" s="269"/>
      <c r="B55" s="275" t="s">
        <v>345</v>
      </c>
      <c r="C55" s="278">
        <f>C51/C22</f>
        <v>1.1400730593607307</v>
      </c>
    </row>
    <row r="56" spans="1:6">
      <c r="A56" s="269"/>
      <c r="B56" s="275" t="s">
        <v>346</v>
      </c>
      <c r="C56" s="278">
        <f>C52/C22</f>
        <v>1.5768170593607307</v>
      </c>
    </row>
    <row r="57" spans="1:6">
      <c r="A57" s="269"/>
      <c r="B57" s="273"/>
      <c r="C57" s="278"/>
    </row>
    <row r="58" spans="1:6">
      <c r="A58" s="283" t="s">
        <v>348</v>
      </c>
      <c r="B58" s="284" t="s">
        <v>349</v>
      </c>
      <c r="C58" s="285" t="s">
        <v>96</v>
      </c>
    </row>
    <row r="59" spans="1:6">
      <c r="A59" s="283" t="s">
        <v>350</v>
      </c>
      <c r="B59" s="286" t="s">
        <v>345</v>
      </c>
      <c r="C59" s="285">
        <f>C51*1.2</f>
        <v>4104.2630136986299</v>
      </c>
    </row>
    <row r="60" spans="1:6">
      <c r="A60" s="283" t="s">
        <v>351</v>
      </c>
      <c r="B60" s="286" t="s">
        <v>346</v>
      </c>
      <c r="C60" s="285">
        <f>C52*1.3</f>
        <v>6149.5865315068504</v>
      </c>
    </row>
    <row r="61" spans="1:6">
      <c r="A61" s="283"/>
      <c r="B61" s="284" t="s">
        <v>96</v>
      </c>
      <c r="C61" s="287" t="s">
        <v>96</v>
      </c>
    </row>
    <row r="62" spans="1:6">
      <c r="A62" s="288"/>
      <c r="B62" s="289"/>
      <c r="C62" s="290"/>
    </row>
    <row r="63" spans="1:6">
      <c r="A63" s="269"/>
      <c r="B63" s="284"/>
      <c r="C63" s="286"/>
    </row>
    <row r="64" spans="1:6">
      <c r="A64" s="269"/>
      <c r="B64" s="284"/>
      <c r="C64" s="286"/>
    </row>
    <row r="65" spans="1:3">
      <c r="A65" s="269"/>
      <c r="B65" s="286"/>
      <c r="C65" s="291"/>
    </row>
    <row r="66" spans="1:3">
      <c r="A66" s="269"/>
      <c r="B66" s="286"/>
      <c r="C66" s="292"/>
    </row>
    <row r="67" spans="1:3">
      <c r="A67" s="269"/>
      <c r="B67" s="284"/>
      <c r="C67" s="286"/>
    </row>
    <row r="68" spans="1:3">
      <c r="A68" s="269"/>
      <c r="B68" s="284"/>
      <c r="C68" s="286"/>
    </row>
    <row r="69" spans="1:3">
      <c r="A69" s="269"/>
      <c r="B69" s="286"/>
      <c r="C69" s="291"/>
    </row>
    <row r="70" spans="1:3">
      <c r="A70" s="269"/>
      <c r="B70" s="286"/>
      <c r="C70" s="291"/>
    </row>
    <row r="71" spans="1:3">
      <c r="A71" s="269"/>
      <c r="B71" s="286"/>
      <c r="C71" s="291"/>
    </row>
    <row r="72" spans="1:3">
      <c r="A72" s="269"/>
      <c r="B72" s="286"/>
      <c r="C72" s="292"/>
    </row>
    <row r="73" spans="1:3">
      <c r="A73" s="269"/>
      <c r="B73" s="286"/>
      <c r="C73" s="286"/>
    </row>
    <row r="74" spans="1:3">
      <c r="A74" s="269"/>
      <c r="B74" s="284"/>
      <c r="C74" s="286"/>
    </row>
    <row r="75" spans="1:3">
      <c r="A75" s="269"/>
      <c r="B75" s="286"/>
      <c r="C75" s="291"/>
    </row>
    <row r="76" spans="1:3">
      <c r="A76" s="269"/>
      <c r="B76" s="286"/>
      <c r="C76" s="291"/>
    </row>
    <row r="77" spans="1:3">
      <c r="A77" s="293"/>
      <c r="B77" s="284"/>
      <c r="C77" s="292"/>
    </row>
    <row r="78" spans="1:3">
      <c r="A78" s="293"/>
      <c r="B78" s="286"/>
      <c r="C78" s="286"/>
    </row>
    <row r="79" spans="1:3">
      <c r="A79" s="293"/>
      <c r="B79" s="294"/>
      <c r="C79" s="291"/>
    </row>
    <row r="80" spans="1:3">
      <c r="A80" s="293"/>
      <c r="B80" s="286"/>
      <c r="C80" s="286"/>
    </row>
    <row r="81" spans="1:3">
      <c r="A81" s="293"/>
      <c r="B81" s="294"/>
      <c r="C81" s="292"/>
    </row>
    <row r="82" spans="1:3">
      <c r="A82" s="293"/>
      <c r="B82" s="286"/>
      <c r="C82" s="286"/>
    </row>
    <row r="83" spans="1:3">
      <c r="A83" s="295"/>
      <c r="B83" s="284"/>
      <c r="C83" s="286"/>
    </row>
    <row r="84" spans="1:3">
      <c r="A84" s="293"/>
      <c r="B84" s="286"/>
      <c r="C84" s="296"/>
    </row>
    <row r="85" spans="1:3">
      <c r="A85" s="293"/>
      <c r="B85" s="286"/>
      <c r="C85" s="296"/>
    </row>
    <row r="86" spans="1:3">
      <c r="A86" s="293"/>
      <c r="B86" s="286"/>
      <c r="C86" s="296"/>
    </row>
    <row r="87" spans="1:3">
      <c r="A87" s="293"/>
      <c r="B87" s="286"/>
      <c r="C87" s="296"/>
    </row>
    <row r="88" spans="1:3">
      <c r="A88" s="293"/>
      <c r="B88" s="286"/>
      <c r="C88" s="296"/>
    </row>
    <row r="89" spans="1:3">
      <c r="A89" s="293"/>
      <c r="B89" s="286"/>
      <c r="C89" s="297"/>
    </row>
    <row r="90" spans="1:3">
      <c r="A90" s="295"/>
      <c r="B90" s="284"/>
      <c r="C90" s="296"/>
    </row>
    <row r="91" spans="1:3">
      <c r="A91" s="293"/>
      <c r="B91" s="286"/>
      <c r="C91" s="296"/>
    </row>
    <row r="92" spans="1:3">
      <c r="A92" s="293"/>
      <c r="B92" s="286"/>
      <c r="C92" s="291"/>
    </row>
    <row r="93" spans="1:3">
      <c r="A93" s="293"/>
      <c r="B93" s="286"/>
      <c r="C93" s="292"/>
    </row>
    <row r="94" spans="1:3">
      <c r="A94" s="293"/>
      <c r="B94" s="286"/>
      <c r="C94" s="286"/>
    </row>
    <row r="95" spans="1:3">
      <c r="A95" s="295"/>
      <c r="B95" s="284"/>
      <c r="C95" s="292"/>
    </row>
    <row r="96" spans="1:3">
      <c r="A96" s="293"/>
      <c r="B96" s="286"/>
      <c r="C96" s="286"/>
    </row>
  </sheetData>
  <mergeCells count="2">
    <mergeCell ref="A1:C1"/>
    <mergeCell ref="A2:C2"/>
  </mergeCells>
  <phoneticPr fontId="18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G29" sqref="G29"/>
    </sheetView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9</vt:i4>
      </vt:variant>
    </vt:vector>
  </HeadingPairs>
  <TitlesOfParts>
    <vt:vector size="19" baseType="lpstr">
      <vt:lpstr>Planilha Orçamentária</vt:lpstr>
      <vt:lpstr>CPU</vt:lpstr>
      <vt:lpstr>Poligonal</vt:lpstr>
      <vt:lpstr>Molumentação</vt:lpstr>
      <vt:lpstr>BDI</vt:lpstr>
      <vt:lpstr>Enc.Sociais</vt:lpstr>
      <vt:lpstr>Referencias</vt:lpstr>
      <vt:lpstr>Gol 1_0 flex</vt:lpstr>
      <vt:lpstr>Hilux CS 2_5 diesel 4x4 102cv</vt:lpstr>
      <vt:lpstr>Plan1</vt:lpstr>
      <vt:lpstr>BDI!Area_de_impressao</vt:lpstr>
      <vt:lpstr>CPU!Area_de_impressao</vt:lpstr>
      <vt:lpstr>Enc.Sociais!Area_de_impressao</vt:lpstr>
      <vt:lpstr>'Gol 1_0 flex'!Area_de_impressao</vt:lpstr>
      <vt:lpstr>Molumentação!Area_de_impressao</vt:lpstr>
      <vt:lpstr>'Planilha Orçamentária'!Area_de_impressao</vt:lpstr>
      <vt:lpstr>Referencias!Area_de_impressao</vt:lpstr>
      <vt:lpstr>Excel_BuiltIn_Print_Area_4</vt:lpstr>
      <vt:lpstr>'Planilha Orçamentária'!Titulos_de_impressao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</dc:creator>
  <cp:keywords/>
  <dc:description/>
  <cp:lastModifiedBy>Ronald dos Santos Santos</cp:lastModifiedBy>
  <cp:revision/>
  <dcterms:created xsi:type="dcterms:W3CDTF">1999-12-15T13:10:33Z</dcterms:created>
  <dcterms:modified xsi:type="dcterms:W3CDTF">2019-09-21T18:20:39Z</dcterms:modified>
  <cp:category/>
  <cp:contentStatus/>
</cp:coreProperties>
</file>