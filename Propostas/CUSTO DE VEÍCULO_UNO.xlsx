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43" documentId="8_{A5995B1A-39B4-4DB7-9F41-9CBF2BB1EFE3}" xr6:coauthVersionLast="47" xr6:coauthVersionMax="47" xr10:uidLastSave="{1358656E-160D-47AF-A3D4-E146433D32A8}"/>
  <bookViews>
    <workbookView xWindow="-108" yWindow="-108" windowWidth="23256" windowHeight="12456" firstSheet="1" xr2:uid="{FB1612FA-EBBD-4457-A789-A6C3175AB81B}"/>
  </bookViews>
  <sheets>
    <sheet name="CÁLCULO DO CUSTO POR MÊS VEICUL" sheetId="1" r:id="rId1"/>
    <sheet name="DEPRECIAÇÃO POR K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B16" i="2"/>
  <c r="B20" i="2" s="1"/>
  <c r="D45" i="1" l="1"/>
  <c r="D44" i="1"/>
  <c r="D43" i="1"/>
  <c r="D42" i="1"/>
  <c r="D41" i="1"/>
  <c r="D39" i="1"/>
  <c r="D38" i="1"/>
  <c r="D37" i="1"/>
  <c r="D36" i="1"/>
  <c r="D21" i="1"/>
  <c r="D29" i="1" l="1"/>
  <c r="D28" i="1"/>
  <c r="D27" i="1"/>
  <c r="D26" i="1"/>
  <c r="D24" i="1"/>
  <c r="D23" i="1"/>
  <c r="D22" i="1"/>
  <c r="G5" i="1"/>
  <c r="D19" i="1"/>
  <c r="D20" i="1" l="1"/>
  <c r="D31" i="1" s="1"/>
  <c r="D32" i="1" s="1"/>
  <c r="D34" i="1"/>
  <c r="D46" i="1" s="1"/>
  <c r="D48" i="1" s="1"/>
</calcChain>
</file>

<file path=xl/sharedStrings.xml><?xml version="1.0" encoding="utf-8"?>
<sst xmlns="http://schemas.openxmlformats.org/spreadsheetml/2006/main" count="91" uniqueCount="70">
  <si>
    <t>CÁCULO DO CUSTO POR MÊS DE VEÍCULOS</t>
  </si>
  <si>
    <t>VEÍCULO:</t>
  </si>
  <si>
    <t>FIAT UNO</t>
  </si>
  <si>
    <t>DATA</t>
  </si>
  <si>
    <t>DADOS ELEMENTARES DO VEÍCULO</t>
  </si>
  <si>
    <t>DADOS BÁSICOS</t>
  </si>
  <si>
    <t>PREÇO</t>
  </si>
  <si>
    <t xml:space="preserve">QUANTIDADE </t>
  </si>
  <si>
    <t>VIDA ÚTIL</t>
  </si>
  <si>
    <t>QUILOMETRAGEM MÉDIA MENSAL</t>
  </si>
  <si>
    <t>Preço do Pneu</t>
  </si>
  <si>
    <t>PN=</t>
  </si>
  <si>
    <t>VALOR DE AQUISIÇÃO (VA)</t>
  </si>
  <si>
    <t>Consumo de Combustivel</t>
  </si>
  <si>
    <t>C=</t>
  </si>
  <si>
    <t>km/l</t>
  </si>
  <si>
    <t>TAXA DE JUROS (I) %</t>
  </si>
  <si>
    <t>Leis Sociais</t>
  </si>
  <si>
    <t>IPVA E SEGURO OBRIGATÓRIO</t>
  </si>
  <si>
    <t>LAVAGEM</t>
  </si>
  <si>
    <t>PNEUS</t>
  </si>
  <si>
    <t>COMBUSTIVEL</t>
  </si>
  <si>
    <t>ÓLEO LUBRIFICANTE</t>
  </si>
  <si>
    <t>ÓLEO DE CAMBIO</t>
  </si>
  <si>
    <t>SEGURO TOTAL ANUAL</t>
  </si>
  <si>
    <t>JOGO DE AMORTECEDORES</t>
  </si>
  <si>
    <t>COEFICIENTE DE MANUTENÇÃO</t>
  </si>
  <si>
    <t xml:space="preserve">MOTORISTA </t>
  </si>
  <si>
    <t xml:space="preserve">CÁCULO DO CUSTO POR MÊS </t>
  </si>
  <si>
    <t>DEPRECIAÇÃO</t>
  </si>
  <si>
    <t>D = ( 0,60 * VA - VP ) / 12 * 5</t>
  </si>
  <si>
    <t>JUROS</t>
  </si>
  <si>
    <t>J = ( VA - VP * i ) / 12</t>
  </si>
  <si>
    <t>LICENCIAMENTO</t>
  </si>
  <si>
    <t>L = ( IPVA + SEG.OBRIG. ) / 12</t>
  </si>
  <si>
    <t>SEGURO TOTAL</t>
  </si>
  <si>
    <t>ST = SEGURO ANUAL / 12</t>
  </si>
  <si>
    <t>OD =( Preço Combustível / consumo ) * KMM</t>
  </si>
  <si>
    <t>OL = ((Preço óleo*Quant. ) / Vida Útil ) * KMM</t>
  </si>
  <si>
    <t>OC = ((Preço óleo*Quant.) / Vida Útil ) * KMM</t>
  </si>
  <si>
    <t>-</t>
  </si>
  <si>
    <t>LL = Preço Lavagem * Quantidade</t>
  </si>
  <si>
    <t>P = ((Preço Pneu*Quant.) / Vida Útil ) * KMM</t>
  </si>
  <si>
    <t>AMORTECEDORES</t>
  </si>
  <si>
    <t>AM =(Preço Amortecedores / Vida Útil ) * KMM</t>
  </si>
  <si>
    <t>MANUTENÇÃO</t>
  </si>
  <si>
    <t>M = ( VA - VP * K ) * KMM   va*k</t>
  </si>
  <si>
    <t>MOT = SALÁRIO * LEIS SOCIAIS</t>
  </si>
  <si>
    <t>CUSTO POR MÊS</t>
  </si>
  <si>
    <t>SEM MOTORISTA</t>
  </si>
  <si>
    <t>COM MOTORISTA</t>
  </si>
  <si>
    <t>CÁCULO DO CUSTO POR KM</t>
  </si>
  <si>
    <t>D = ( 0,60 * VA - VP ) / 100.000</t>
  </si>
  <si>
    <t>J = ( VA - VP * i ) / 12 * KMM</t>
  </si>
  <si>
    <t>L = ( IPVA + SEG.OBRIG. ) / (12*KMM)</t>
  </si>
  <si>
    <t>ST = SEGURO ANUAL / (12*KMM)</t>
  </si>
  <si>
    <t>OD = Preço Combustível / consumo</t>
  </si>
  <si>
    <t>OL = ( Preço óleo*Quantidade ) / Vida Útil</t>
  </si>
  <si>
    <t>OC = ( Preço óleo*Quantidade ) / Vida Útil</t>
  </si>
  <si>
    <t>LL = ( Preço Lavagem * Quantidade ) / KMM</t>
  </si>
  <si>
    <t>P = ( Preço Pneu*Quantidade ) / Vida Útil</t>
  </si>
  <si>
    <t>AM = Preço Jogo Amortecedores / Vida Útil</t>
  </si>
  <si>
    <t>M = VA * K</t>
  </si>
  <si>
    <t>MOT = ( SALÁRIO * LEIS SOCIAIS ) / KMM</t>
  </si>
  <si>
    <t>=1,191</t>
  </si>
  <si>
    <t>Va=</t>
  </si>
  <si>
    <t>Vr=</t>
  </si>
  <si>
    <t>Vp=</t>
  </si>
  <si>
    <t>Vu=</t>
  </si>
  <si>
    <t>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</si>
</sst>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-BoldMT"/>
    </font>
    <font>
      <b/>
      <sz val="8"/>
      <color rgb="FF000000"/>
      <name val="Arial-BoldM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2" applyFont="1"/>
    <xf numFmtId="17" fontId="0" fillId="0" borderId="0" xfId="0" applyNumberFormat="1"/>
    <xf numFmtId="0" fontId="2" fillId="0" borderId="1" xfId="0" applyFont="1" applyBorder="1"/>
    <xf numFmtId="164" fontId="0" fillId="0" borderId="0" xfId="0" applyNumberFormat="1"/>
    <xf numFmtId="165" fontId="0" fillId="0" borderId="0" xfId="1" applyFont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2" applyFont="1" applyBorder="1"/>
    <xf numFmtId="10" fontId="0" fillId="0" borderId="1" xfId="3" applyNumberFormat="1" applyFont="1" applyBorder="1"/>
    <xf numFmtId="164" fontId="0" fillId="0" borderId="1" xfId="2" applyFont="1" applyBorder="1" applyAlignment="1">
      <alignment horizontal="right"/>
    </xf>
    <xf numFmtId="164" fontId="0" fillId="0" borderId="1" xfId="0" applyNumberFormat="1" applyBorder="1"/>
    <xf numFmtId="166" fontId="0" fillId="0" borderId="1" xfId="0" applyNumberFormat="1" applyBorder="1"/>
    <xf numFmtId="164" fontId="0" fillId="0" borderId="6" xfId="2" applyFont="1" applyBorder="1"/>
    <xf numFmtId="164" fontId="0" fillId="0" borderId="7" xfId="0" applyNumberFormat="1" applyBorder="1"/>
    <xf numFmtId="0" fontId="0" fillId="0" borderId="8" xfId="0" applyBorder="1"/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6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306736</xdr:colOff>
      <xdr:row>0</xdr:row>
      <xdr:rowOff>0</xdr:rowOff>
    </xdr:from>
    <xdr:to>
      <xdr:col>16</xdr:col>
      <xdr:colOff>190220</xdr:colOff>
      <xdr:row>15</xdr:row>
      <xdr:rowOff>57747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D99B2FD-EAE6-46E1-A511-78744B7A7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1249" y="0"/>
          <a:ext cx="4791281" cy="2963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234779</xdr:colOff>
      <xdr:row>13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CAE56F-039C-4912-8BC6-4489F8242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78204" cy="2628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BC2C-E240-4C42-8A06-D0CA709F2CCA}">
  <dimension ref="A1:H48"/>
  <sheetViews>
    <sheetView tabSelected="1" topLeftCell="A20" zoomScale="118" zoomScaleNormal="118" workbookViewId="0">
      <selection activeCell="H45" sqref="H45"/>
    </sheetView>
  </sheetViews>
  <sheetFormatPr defaultRowHeight="14.45"/>
  <cols>
    <col min="1" max="1" width="42.5703125" customWidth="1"/>
    <col min="2" max="2" width="35.85546875" customWidth="1"/>
    <col min="3" max="3" width="13.5703125" bestFit="1" customWidth="1"/>
    <col min="4" max="4" width="12.42578125" bestFit="1" customWidth="1"/>
    <col min="5" max="5" width="24" bestFit="1" customWidth="1"/>
    <col min="7" max="7" width="7.85546875" customWidth="1"/>
  </cols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s="2">
        <v>44963</v>
      </c>
    </row>
    <row r="3" spans="1:8">
      <c r="A3" s="24" t="s">
        <v>4</v>
      </c>
      <c r="B3" s="24"/>
      <c r="C3" s="24"/>
      <c r="D3" s="24"/>
    </row>
    <row r="4" spans="1:8">
      <c r="A4" s="3" t="s">
        <v>5</v>
      </c>
      <c r="B4" s="3" t="s">
        <v>6</v>
      </c>
      <c r="C4" s="3" t="s">
        <v>7</v>
      </c>
      <c r="D4" s="3" t="s">
        <v>8</v>
      </c>
    </row>
    <row r="5" spans="1:8">
      <c r="A5" s="6" t="s">
        <v>9</v>
      </c>
      <c r="B5" s="6"/>
      <c r="C5" s="6">
        <v>1760</v>
      </c>
      <c r="D5" s="7"/>
      <c r="E5" t="s">
        <v>10</v>
      </c>
      <c r="F5" t="s">
        <v>11</v>
      </c>
      <c r="G5">
        <f>(C10*B10)/D10</f>
        <v>0.02</v>
      </c>
    </row>
    <row r="6" spans="1:8">
      <c r="A6" s="6" t="s">
        <v>12</v>
      </c>
      <c r="B6" s="8">
        <v>26000</v>
      </c>
      <c r="C6" s="6"/>
      <c r="D6" s="7"/>
      <c r="E6" t="s">
        <v>13</v>
      </c>
      <c r="F6" t="s">
        <v>14</v>
      </c>
      <c r="G6" s="5">
        <v>11</v>
      </c>
      <c r="H6" t="s">
        <v>15</v>
      </c>
    </row>
    <row r="7" spans="1:8">
      <c r="A7" s="6" t="s">
        <v>16</v>
      </c>
      <c r="B7" s="6"/>
      <c r="C7" s="6">
        <v>12</v>
      </c>
      <c r="D7" s="7"/>
      <c r="E7" t="s">
        <v>17</v>
      </c>
    </row>
    <row r="8" spans="1:8">
      <c r="A8" s="6" t="s">
        <v>18</v>
      </c>
      <c r="B8" s="8">
        <v>671.49</v>
      </c>
      <c r="C8" s="6"/>
      <c r="D8" s="7"/>
    </row>
    <row r="9" spans="1:8">
      <c r="A9" s="6" t="s">
        <v>19</v>
      </c>
      <c r="B9" s="8">
        <v>35</v>
      </c>
      <c r="C9" s="6"/>
      <c r="D9" s="7"/>
    </row>
    <row r="10" spans="1:8">
      <c r="A10" s="6" t="s">
        <v>20</v>
      </c>
      <c r="B10" s="8">
        <v>180</v>
      </c>
      <c r="C10" s="6">
        <v>5</v>
      </c>
      <c r="D10" s="7">
        <v>45000</v>
      </c>
    </row>
    <row r="11" spans="1:8">
      <c r="A11" s="6" t="s">
        <v>21</v>
      </c>
      <c r="B11" s="8">
        <v>6</v>
      </c>
      <c r="C11" s="6">
        <v>11</v>
      </c>
      <c r="D11" s="7"/>
    </row>
    <row r="12" spans="1:8">
      <c r="A12" s="6" t="s">
        <v>22</v>
      </c>
      <c r="B12" s="8">
        <v>100</v>
      </c>
      <c r="C12" s="6">
        <v>3</v>
      </c>
      <c r="D12" s="7">
        <v>5000</v>
      </c>
    </row>
    <row r="13" spans="1:8">
      <c r="A13" s="6" t="s">
        <v>23</v>
      </c>
      <c r="B13" s="8">
        <v>0</v>
      </c>
      <c r="C13" s="6">
        <v>0</v>
      </c>
      <c r="D13" s="7">
        <v>0</v>
      </c>
    </row>
    <row r="14" spans="1:8">
      <c r="A14" s="6" t="s">
        <v>24</v>
      </c>
      <c r="B14" s="8">
        <v>2000</v>
      </c>
      <c r="C14" s="6"/>
      <c r="D14" s="7"/>
    </row>
    <row r="15" spans="1:8">
      <c r="A15" s="6" t="s">
        <v>25</v>
      </c>
      <c r="B15" s="8">
        <v>800</v>
      </c>
      <c r="C15" s="6"/>
      <c r="D15" s="7">
        <v>50000</v>
      </c>
    </row>
    <row r="16" spans="1:8">
      <c r="A16" s="6" t="s">
        <v>26</v>
      </c>
      <c r="B16" s="6"/>
      <c r="C16" s="6">
        <v>4.7999999999999998E-6</v>
      </c>
      <c r="D16" s="7"/>
    </row>
    <row r="17" spans="1:5">
      <c r="A17" s="6" t="s">
        <v>27</v>
      </c>
      <c r="B17" s="8">
        <v>1274</v>
      </c>
      <c r="C17" s="9">
        <v>8.5000000000000006E-3</v>
      </c>
      <c r="D17" s="7"/>
      <c r="E17" s="4"/>
    </row>
    <row r="18" spans="1:5">
      <c r="A18" s="23" t="s">
        <v>28</v>
      </c>
      <c r="B18" s="23"/>
      <c r="C18" s="23"/>
      <c r="D18" s="23"/>
    </row>
    <row r="19" spans="1:5">
      <c r="A19" s="6" t="s">
        <v>29</v>
      </c>
      <c r="B19" s="22" t="s">
        <v>30</v>
      </c>
      <c r="C19" s="22"/>
      <c r="D19" s="8">
        <f>(0.6*B6-B10)/(12*5)</f>
        <v>257</v>
      </c>
    </row>
    <row r="20" spans="1:5">
      <c r="A20" s="6" t="s">
        <v>31</v>
      </c>
      <c r="B20" s="22" t="s">
        <v>32</v>
      </c>
      <c r="C20" s="22"/>
      <c r="D20" s="8">
        <f>(B6-(G5*C7/100))/(12*5)</f>
        <v>433.3332933333333</v>
      </c>
    </row>
    <row r="21" spans="1:5">
      <c r="A21" s="6" t="s">
        <v>33</v>
      </c>
      <c r="B21" s="22" t="s">
        <v>34</v>
      </c>
      <c r="C21" s="22"/>
      <c r="D21" s="10">
        <f>(B8)/12</f>
        <v>55.957500000000003</v>
      </c>
      <c r="E21" s="1"/>
    </row>
    <row r="22" spans="1:5">
      <c r="A22" s="6" t="s">
        <v>35</v>
      </c>
      <c r="B22" s="22" t="s">
        <v>36</v>
      </c>
      <c r="C22" s="22"/>
      <c r="D22" s="11">
        <f>B14/12</f>
        <v>166.66666666666666</v>
      </c>
      <c r="E22" s="1"/>
    </row>
    <row r="23" spans="1:5" ht="24" customHeight="1">
      <c r="A23" s="6" t="s">
        <v>21</v>
      </c>
      <c r="B23" s="22" t="s">
        <v>37</v>
      </c>
      <c r="C23" s="22"/>
      <c r="D23" s="8">
        <f>(B11/11)*C5</f>
        <v>959.99999999999989</v>
      </c>
      <c r="E23" s="4"/>
    </row>
    <row r="24" spans="1:5" ht="24" customHeight="1">
      <c r="A24" s="6" t="s">
        <v>22</v>
      </c>
      <c r="B24" s="22" t="s">
        <v>38</v>
      </c>
      <c r="C24" s="22"/>
      <c r="D24" s="8">
        <f>((B12*C12)/D12)*C5</f>
        <v>105.6</v>
      </c>
    </row>
    <row r="25" spans="1:5" ht="24" customHeight="1">
      <c r="A25" s="6" t="s">
        <v>23</v>
      </c>
      <c r="B25" s="22" t="s">
        <v>39</v>
      </c>
      <c r="C25" s="22"/>
      <c r="D25" s="6" t="s">
        <v>40</v>
      </c>
    </row>
    <row r="26" spans="1:5">
      <c r="A26" s="6" t="s">
        <v>19</v>
      </c>
      <c r="B26" s="22" t="s">
        <v>41</v>
      </c>
      <c r="C26" s="22"/>
      <c r="D26" s="11">
        <f>B9</f>
        <v>35</v>
      </c>
    </row>
    <row r="27" spans="1:5">
      <c r="A27" s="6" t="s">
        <v>20</v>
      </c>
      <c r="B27" s="22" t="s">
        <v>42</v>
      </c>
      <c r="C27" s="22"/>
      <c r="D27" s="8">
        <f>((B10*C10)/D10)*C5</f>
        <v>35.200000000000003</v>
      </c>
    </row>
    <row r="28" spans="1:5" ht="24" customHeight="1">
      <c r="A28" s="6" t="s">
        <v>43</v>
      </c>
      <c r="B28" s="22" t="s">
        <v>44</v>
      </c>
      <c r="C28" s="22"/>
      <c r="D28" s="8">
        <f>(B15/D15)*C5</f>
        <v>28.16</v>
      </c>
    </row>
    <row r="29" spans="1:5">
      <c r="A29" s="6" t="s">
        <v>45</v>
      </c>
      <c r="B29" s="22" t="s">
        <v>46</v>
      </c>
      <c r="C29" s="22"/>
      <c r="D29" s="11">
        <f>B6*C16*C5</f>
        <v>219.648</v>
      </c>
    </row>
    <row r="30" spans="1:5">
      <c r="A30" s="6" t="s">
        <v>27</v>
      </c>
      <c r="B30" s="22" t="s">
        <v>47</v>
      </c>
      <c r="C30" s="22"/>
      <c r="D30" s="11">
        <v>2356.9</v>
      </c>
    </row>
    <row r="31" spans="1:5">
      <c r="A31" s="25" t="s">
        <v>48</v>
      </c>
      <c r="B31" s="27" t="s">
        <v>49</v>
      </c>
      <c r="C31" s="27"/>
      <c r="D31" s="11">
        <f>SUM(D19:D29)</f>
        <v>2296.5654599999998</v>
      </c>
    </row>
    <row r="32" spans="1:5">
      <c r="A32" s="25"/>
      <c r="B32" s="27" t="s">
        <v>50</v>
      </c>
      <c r="C32" s="27"/>
      <c r="D32" s="11">
        <f>D31+D30</f>
        <v>4653.4654599999994</v>
      </c>
    </row>
    <row r="33" spans="1:8">
      <c r="A33" s="23" t="s">
        <v>51</v>
      </c>
      <c r="B33" s="23"/>
      <c r="C33" s="23"/>
      <c r="D33" s="23"/>
    </row>
    <row r="34" spans="1:8">
      <c r="A34" s="6" t="s">
        <v>29</v>
      </c>
      <c r="B34" s="26" t="s">
        <v>52</v>
      </c>
      <c r="C34" s="26"/>
      <c r="D34" s="12">
        <f>(0.6*B6-G5)/100000</f>
        <v>0.15599979999999999</v>
      </c>
    </row>
    <row r="35" spans="1:8">
      <c r="A35" s="6" t="s">
        <v>31</v>
      </c>
      <c r="B35" s="26" t="s">
        <v>53</v>
      </c>
      <c r="C35" s="26"/>
      <c r="D35" s="6">
        <v>0.122</v>
      </c>
    </row>
    <row r="36" spans="1:8">
      <c r="A36" s="6" t="s">
        <v>33</v>
      </c>
      <c r="B36" s="26" t="s">
        <v>54</v>
      </c>
      <c r="C36" s="26"/>
      <c r="D36" s="12">
        <f>(B8)/(12*C5)</f>
        <v>3.1794034090909092E-2</v>
      </c>
    </row>
    <row r="37" spans="1:8">
      <c r="A37" s="6" t="s">
        <v>35</v>
      </c>
      <c r="B37" s="26" t="s">
        <v>55</v>
      </c>
      <c r="C37" s="26"/>
      <c r="D37" s="12">
        <f>B14/(12*C5)</f>
        <v>9.4696969696969696E-2</v>
      </c>
    </row>
    <row r="38" spans="1:8">
      <c r="A38" s="6" t="s">
        <v>21</v>
      </c>
      <c r="B38" s="26" t="s">
        <v>56</v>
      </c>
      <c r="C38" s="26"/>
      <c r="D38" s="12">
        <f>B11/11</f>
        <v>0.54545454545454541</v>
      </c>
    </row>
    <row r="39" spans="1:8">
      <c r="A39" s="6" t="s">
        <v>22</v>
      </c>
      <c r="B39" s="26" t="s">
        <v>57</v>
      </c>
      <c r="C39" s="26"/>
      <c r="D39" s="12">
        <f>(B12*C12)/D12</f>
        <v>0.06</v>
      </c>
    </row>
    <row r="40" spans="1:8">
      <c r="A40" s="6" t="s">
        <v>23</v>
      </c>
      <c r="B40" s="26" t="s">
        <v>58</v>
      </c>
      <c r="C40" s="26"/>
      <c r="D40" s="12">
        <v>0</v>
      </c>
    </row>
    <row r="41" spans="1:8">
      <c r="A41" s="6" t="s">
        <v>19</v>
      </c>
      <c r="B41" s="26" t="s">
        <v>59</v>
      </c>
      <c r="C41" s="26"/>
      <c r="D41" s="12">
        <f>B9/C5</f>
        <v>1.9886363636363636E-2</v>
      </c>
    </row>
    <row r="42" spans="1:8">
      <c r="A42" s="6" t="s">
        <v>20</v>
      </c>
      <c r="B42" s="26" t="s">
        <v>60</v>
      </c>
      <c r="C42" s="26"/>
      <c r="D42" s="12">
        <f>(B10*C10)/D10</f>
        <v>0.02</v>
      </c>
    </row>
    <row r="43" spans="1:8">
      <c r="A43" s="6" t="s">
        <v>43</v>
      </c>
      <c r="B43" s="26" t="s">
        <v>61</v>
      </c>
      <c r="C43" s="26"/>
      <c r="D43" s="12">
        <f>B15/D15</f>
        <v>1.6E-2</v>
      </c>
    </row>
    <row r="44" spans="1:8">
      <c r="A44" s="6" t="s">
        <v>45</v>
      </c>
      <c r="B44" s="26" t="s">
        <v>62</v>
      </c>
      <c r="C44" s="26"/>
      <c r="D44" s="12">
        <f>B6*C16</f>
        <v>0.12479999999999999</v>
      </c>
    </row>
    <row r="45" spans="1:8">
      <c r="A45" s="6" t="s">
        <v>27</v>
      </c>
      <c r="B45" s="26" t="s">
        <v>63</v>
      </c>
      <c r="C45" s="26"/>
      <c r="D45" s="6">
        <f>0.786</f>
        <v>0.78600000000000003</v>
      </c>
    </row>
    <row r="46" spans="1:8">
      <c r="A46" s="25" t="s">
        <v>48</v>
      </c>
      <c r="B46" s="28" t="s">
        <v>49</v>
      </c>
      <c r="C46" s="28"/>
      <c r="D46" s="12">
        <f>SUM(D34:D44)</f>
        <v>1.1906317128787878</v>
      </c>
    </row>
    <row r="47" spans="1:8">
      <c r="A47" s="25"/>
      <c r="B47" s="27" t="s">
        <v>50</v>
      </c>
      <c r="C47" s="27"/>
      <c r="D47" s="12"/>
    </row>
    <row r="48" spans="1:8">
      <c r="D48" s="21">
        <f>SUM(D46)</f>
        <v>1.1906317128787878</v>
      </c>
      <c r="H48" t="s">
        <v>64</v>
      </c>
    </row>
  </sheetData>
  <mergeCells count="33">
    <mergeCell ref="A46:A47"/>
    <mergeCell ref="B46:C46"/>
    <mergeCell ref="B47:C47"/>
    <mergeCell ref="B40:C40"/>
    <mergeCell ref="B41:C41"/>
    <mergeCell ref="B42:C42"/>
    <mergeCell ref="B43:C43"/>
    <mergeCell ref="B44:C44"/>
    <mergeCell ref="B45:C45"/>
    <mergeCell ref="B39:C39"/>
    <mergeCell ref="B29:C29"/>
    <mergeCell ref="B30:C30"/>
    <mergeCell ref="B31:C31"/>
    <mergeCell ref="B32:C32"/>
    <mergeCell ref="B34:C34"/>
    <mergeCell ref="B35:C35"/>
    <mergeCell ref="B36:C36"/>
    <mergeCell ref="B37:C37"/>
    <mergeCell ref="B38:C38"/>
    <mergeCell ref="A31:A32"/>
    <mergeCell ref="A33:D33"/>
    <mergeCell ref="B23:C23"/>
    <mergeCell ref="B24:C24"/>
    <mergeCell ref="B25:C25"/>
    <mergeCell ref="B26:C26"/>
    <mergeCell ref="B27:C27"/>
    <mergeCell ref="B28:C28"/>
    <mergeCell ref="B22:C22"/>
    <mergeCell ref="A18:D18"/>
    <mergeCell ref="A3:D3"/>
    <mergeCell ref="B19:C19"/>
    <mergeCell ref="B20:C20"/>
    <mergeCell ref="B21:C2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3B35-D8B6-4B11-9456-021A3AFF255C}">
  <dimension ref="A14:C20"/>
  <sheetViews>
    <sheetView showGridLines="0" showRowColHeaders="0" topLeftCell="A5" workbookViewId="0">
      <selection activeCell="C21" sqref="C21"/>
    </sheetView>
  </sheetViews>
  <sheetFormatPr defaultRowHeight="14.45"/>
  <cols>
    <col min="2" max="2" width="13.28515625" bestFit="1" customWidth="1"/>
  </cols>
  <sheetData>
    <row r="14" spans="1:2" ht="15" thickBot="1"/>
    <row r="15" spans="1:2">
      <c r="A15" s="16" t="s">
        <v>65</v>
      </c>
      <c r="B15" s="13">
        <v>38000</v>
      </c>
    </row>
    <row r="16" spans="1:2">
      <c r="A16" s="17" t="s">
        <v>66</v>
      </c>
      <c r="B16" s="14">
        <f>B15*0.4</f>
        <v>15200</v>
      </c>
    </row>
    <row r="17" spans="1:3">
      <c r="A17" s="17" t="s">
        <v>67</v>
      </c>
      <c r="B17" s="14">
        <v>210</v>
      </c>
    </row>
    <row r="18" spans="1:3" ht="15" thickBot="1">
      <c r="A18" s="18" t="s">
        <v>68</v>
      </c>
      <c r="B18" s="15">
        <v>100000</v>
      </c>
    </row>
    <row r="20" spans="1:3">
      <c r="A20" s="19" t="s">
        <v>69</v>
      </c>
      <c r="B20" s="20">
        <f>(B15-B16-B17)/B18</f>
        <v>0.22589999999999999</v>
      </c>
      <c r="C20">
        <f>1000*B20</f>
        <v>225.89999999999998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</dc:creator>
  <cp:keywords/>
  <dc:description/>
  <cp:lastModifiedBy>Usuário Convidado</cp:lastModifiedBy>
  <cp:revision/>
  <dcterms:created xsi:type="dcterms:W3CDTF">2018-03-04T18:13:28Z</dcterms:created>
  <dcterms:modified xsi:type="dcterms:W3CDTF">2023-02-06T12:19:56Z</dcterms:modified>
  <cp:category/>
  <cp:contentStatus/>
</cp:coreProperties>
</file>