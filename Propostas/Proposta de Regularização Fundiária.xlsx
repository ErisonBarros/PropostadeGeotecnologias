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" documentId="8_{7C8E3CFA-CC0D-43FA-9FDB-8990B7971E9F}" xr6:coauthVersionLast="47" xr6:coauthVersionMax="47" xr10:uidLastSave="{03600365-EB81-4CF6-84AC-91337EB6F169}"/>
  <bookViews>
    <workbookView xWindow="28680" yWindow="-120" windowWidth="21840" windowHeight="13020" xr2:uid="{7CEFDF71-84F0-4475-904A-39230951D78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1" i="1"/>
  <c r="D15" i="1"/>
  <c r="D8" i="1"/>
  <c r="F23" i="1"/>
  <c r="F15" i="1"/>
</calcChain>
</file>

<file path=xl/sharedStrings.xml><?xml version="1.0" encoding="utf-8"?>
<sst xmlns="http://schemas.openxmlformats.org/spreadsheetml/2006/main" count="68" uniqueCount="65">
  <si>
    <t>INSUMOS PARA  SERVIÇO DE TOPOGRAFIA PARA REGULARIZAÇÃO FUNDIÁRIA</t>
  </si>
  <si>
    <t>ID</t>
  </si>
  <si>
    <t xml:space="preserve">DESCRIÇÃO </t>
  </si>
  <si>
    <t>UNID</t>
  </si>
  <si>
    <t>PREÇO UNITÁRIO</t>
  </si>
  <si>
    <t>LOTE MÍNIMO</t>
  </si>
  <si>
    <t>125 M2</t>
  </si>
  <si>
    <t>+</t>
  </si>
  <si>
    <t>1.0</t>
  </si>
  <si>
    <t>LEVANTAMENTO DE FEIÇÕES DE INTERESSE PARA REGULARIZAÇÃO FUNDIÁRIA</t>
  </si>
  <si>
    <t>ÁREA DA RUA</t>
  </si>
  <si>
    <t>25 M2</t>
  </si>
  <si>
    <t>ITENS:</t>
  </si>
  <si>
    <t>LOTE SOCIAL</t>
  </si>
  <si>
    <t>150,00 M²</t>
  </si>
  <si>
    <t>=</t>
  </si>
  <si>
    <t>1.1</t>
  </si>
  <si>
    <t>Posicionamento Geodésico (PÓS-PROCESSAMENTO/RTK)</t>
  </si>
  <si>
    <t xml:space="preserve">Levantamento de Feições </t>
  </si>
  <si>
    <t>Apoio Drone</t>
  </si>
  <si>
    <t>1.12</t>
  </si>
  <si>
    <t>1.2</t>
  </si>
  <si>
    <t>Mapeamento com Drones</t>
  </si>
  <si>
    <t>ha</t>
  </si>
  <si>
    <t>Núvem de Pontos</t>
  </si>
  <si>
    <t>MDS</t>
  </si>
  <si>
    <t>Ortoimagem</t>
  </si>
  <si>
    <t>1.3</t>
  </si>
  <si>
    <t>Vertices de Apoio Geodésico</t>
  </si>
  <si>
    <t>Linha de Base</t>
  </si>
  <si>
    <t>1.4</t>
  </si>
  <si>
    <t>Gerenciamento de Banco de Dados Gráficos e Literais</t>
  </si>
  <si>
    <t>1.5</t>
  </si>
  <si>
    <t>Impressão de Plantas</t>
  </si>
  <si>
    <t>Geral</t>
  </si>
  <si>
    <t>Quadra</t>
  </si>
  <si>
    <t>Lote</t>
  </si>
  <si>
    <t>1.6</t>
  </si>
  <si>
    <t>Impressão de Memorias Descritivos</t>
  </si>
  <si>
    <t>1.7</t>
  </si>
  <si>
    <t>Anotação de Responsabilidade Técnica</t>
  </si>
  <si>
    <t>1.8</t>
  </si>
  <si>
    <t xml:space="preserve">Responsabilidade Técnicas </t>
  </si>
  <si>
    <t>1.9</t>
  </si>
  <si>
    <t xml:space="preserve">Seguros de Equipamentos </t>
  </si>
  <si>
    <t>1.10</t>
  </si>
  <si>
    <t>Seguros de Vida</t>
  </si>
  <si>
    <t>1.11</t>
  </si>
  <si>
    <t>Segurança</t>
  </si>
  <si>
    <t>Locomoção</t>
  </si>
  <si>
    <t>1.13</t>
  </si>
  <si>
    <t>Diárias e Alimentação</t>
  </si>
  <si>
    <t>1.14</t>
  </si>
  <si>
    <t xml:space="preserve">Veiculos </t>
  </si>
  <si>
    <t>1.15</t>
  </si>
  <si>
    <t xml:space="preserve">Combustivel </t>
  </si>
  <si>
    <t xml:space="preserve">Honorários dos agentes comunitários </t>
  </si>
  <si>
    <t>1.20</t>
  </si>
  <si>
    <t xml:space="preserve">Mão de Obra: </t>
  </si>
  <si>
    <t>1.21</t>
  </si>
  <si>
    <t>Operador GNSS / Estação Total</t>
  </si>
  <si>
    <t>Engenheiro Responsável</t>
  </si>
  <si>
    <t>CADISTA</t>
  </si>
  <si>
    <t>GESTOR SGBD</t>
  </si>
  <si>
    <t>GEOPROCESSAMENTO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</si>
</sst>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44" fontId="0" fillId="0" borderId="0" xfId="1" applyFont="1"/>
    <xf numFmtId="8" fontId="0" fillId="0" borderId="0" xfId="0" applyNumberFormat="1"/>
    <xf numFmtId="0" fontId="5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CDAD-C08B-494F-A9B2-5626DDD17096}">
  <dimension ref="A1:H39"/>
  <sheetViews>
    <sheetView tabSelected="1" topLeftCell="A13" workbookViewId="0">
      <selection activeCell="B17" sqref="B17"/>
    </sheetView>
  </sheetViews>
  <sheetFormatPr defaultRowHeight="14.4" x14ac:dyDescent="0.3"/>
  <cols>
    <col min="1" max="1" width="8.33203125" customWidth="1"/>
    <col min="2" max="2" width="69.109375" bestFit="1" customWidth="1"/>
    <col min="3" max="3" width="13.33203125" customWidth="1"/>
    <col min="4" max="4" width="19.109375" customWidth="1"/>
    <col min="6" max="6" width="18.44140625" customWidth="1"/>
  </cols>
  <sheetData>
    <row r="1" spans="1:8" ht="15.6" x14ac:dyDescent="0.3">
      <c r="A1" s="10" t="s">
        <v>0</v>
      </c>
      <c r="B1" s="10"/>
      <c r="C1" s="10"/>
      <c r="D1" s="10"/>
    </row>
    <row r="2" spans="1:8" ht="8.4" customHeight="1" x14ac:dyDescent="0.3"/>
    <row r="3" spans="1:8" x14ac:dyDescent="0.3">
      <c r="A3" s="5" t="s">
        <v>1</v>
      </c>
      <c r="B3" s="5" t="s">
        <v>2</v>
      </c>
      <c r="C3" s="5" t="s">
        <v>3</v>
      </c>
      <c r="D3" s="5" t="s">
        <v>4</v>
      </c>
      <c r="F3" s="6" t="s">
        <v>5</v>
      </c>
      <c r="G3" s="6" t="s">
        <v>6</v>
      </c>
      <c r="H3" s="6" t="s">
        <v>7</v>
      </c>
    </row>
    <row r="4" spans="1:8" x14ac:dyDescent="0.3">
      <c r="A4" s="3" t="s">
        <v>8</v>
      </c>
      <c r="B4" s="1" t="s">
        <v>9</v>
      </c>
      <c r="F4" s="6" t="s">
        <v>10</v>
      </c>
      <c r="G4" s="7" t="s">
        <v>11</v>
      </c>
      <c r="H4" s="6" t="s">
        <v>7</v>
      </c>
    </row>
    <row r="5" spans="1:8" x14ac:dyDescent="0.3">
      <c r="B5" s="1" t="s">
        <v>12</v>
      </c>
      <c r="F5" s="6" t="s">
        <v>13</v>
      </c>
      <c r="G5" t="s">
        <v>14</v>
      </c>
      <c r="H5" t="s">
        <v>15</v>
      </c>
    </row>
    <row r="6" spans="1:8" x14ac:dyDescent="0.3">
      <c r="A6" s="3" t="s">
        <v>16</v>
      </c>
      <c r="B6" s="1" t="s">
        <v>17</v>
      </c>
    </row>
    <row r="7" spans="1:8" x14ac:dyDescent="0.3">
      <c r="A7" s="3"/>
      <c r="B7" t="s">
        <v>18</v>
      </c>
      <c r="D7" s="9">
        <v>1200</v>
      </c>
    </row>
    <row r="8" spans="1:8" x14ac:dyDescent="0.3">
      <c r="A8" s="2"/>
      <c r="B8" t="s">
        <v>19</v>
      </c>
      <c r="D8" s="8">
        <f>300+(150*2)+100</f>
        <v>700</v>
      </c>
    </row>
    <row r="9" spans="1:8" x14ac:dyDescent="0.3">
      <c r="A9" s="2" t="s">
        <v>20</v>
      </c>
      <c r="B9" t="s">
        <v>18</v>
      </c>
    </row>
    <row r="10" spans="1:8" x14ac:dyDescent="0.3">
      <c r="A10" s="2" t="s">
        <v>21</v>
      </c>
      <c r="B10" t="s">
        <v>22</v>
      </c>
      <c r="C10" t="s">
        <v>23</v>
      </c>
      <c r="D10" s="8">
        <v>35</v>
      </c>
    </row>
    <row r="11" spans="1:8" x14ac:dyDescent="0.3">
      <c r="A11" s="2"/>
      <c r="B11" s="1" t="s">
        <v>24</v>
      </c>
    </row>
    <row r="12" spans="1:8" x14ac:dyDescent="0.3">
      <c r="A12" s="2"/>
      <c r="B12" s="1" t="s">
        <v>25</v>
      </c>
    </row>
    <row r="13" spans="1:8" x14ac:dyDescent="0.3">
      <c r="A13" s="2"/>
      <c r="B13" s="1" t="s">
        <v>26</v>
      </c>
    </row>
    <row r="14" spans="1:8" x14ac:dyDescent="0.3">
      <c r="A14" s="2"/>
      <c r="B14" s="1"/>
    </row>
    <row r="15" spans="1:8" x14ac:dyDescent="0.3">
      <c r="A15" s="2" t="s">
        <v>27</v>
      </c>
      <c r="B15" t="s">
        <v>28</v>
      </c>
      <c r="C15" t="s">
        <v>29</v>
      </c>
      <c r="D15" s="8">
        <f>700+1200</f>
        <v>1900</v>
      </c>
      <c r="F15">
        <f>300*150</f>
        <v>45000</v>
      </c>
    </row>
    <row r="16" spans="1:8" x14ac:dyDescent="0.3">
      <c r="A16" s="2"/>
    </row>
    <row r="17" spans="1:6" x14ac:dyDescent="0.3">
      <c r="A17" s="2" t="s">
        <v>30</v>
      </c>
      <c r="B17" t="s">
        <v>31</v>
      </c>
    </row>
    <row r="18" spans="1:6" x14ac:dyDescent="0.3">
      <c r="A18" s="2" t="s">
        <v>32</v>
      </c>
      <c r="B18" t="s">
        <v>33</v>
      </c>
    </row>
    <row r="19" spans="1:6" x14ac:dyDescent="0.3">
      <c r="A19" s="2"/>
      <c r="B19" t="s">
        <v>34</v>
      </c>
      <c r="D19" s="8">
        <f>(21*3)</f>
        <v>63</v>
      </c>
    </row>
    <row r="20" spans="1:6" x14ac:dyDescent="0.3">
      <c r="A20" s="2"/>
      <c r="B20" t="s">
        <v>35</v>
      </c>
      <c r="D20" s="8">
        <f>(8.5 *6)*3</f>
        <v>153</v>
      </c>
    </row>
    <row r="21" spans="1:6" x14ac:dyDescent="0.3">
      <c r="A21" s="2"/>
      <c r="B21" t="s">
        <v>36</v>
      </c>
      <c r="D21" s="8">
        <f>(6.5 *300)*3</f>
        <v>5850</v>
      </c>
    </row>
    <row r="22" spans="1:6" x14ac:dyDescent="0.3">
      <c r="A22" s="2" t="s">
        <v>37</v>
      </c>
      <c r="B22" t="s">
        <v>38</v>
      </c>
    </row>
    <row r="23" spans="1:6" x14ac:dyDescent="0.3">
      <c r="A23" s="2" t="s">
        <v>39</v>
      </c>
      <c r="B23" t="s">
        <v>40</v>
      </c>
      <c r="F23">
        <f>300*150</f>
        <v>45000</v>
      </c>
    </row>
    <row r="24" spans="1:6" x14ac:dyDescent="0.3">
      <c r="A24" s="2" t="s">
        <v>41</v>
      </c>
      <c r="B24" t="s">
        <v>42</v>
      </c>
    </row>
    <row r="25" spans="1:6" x14ac:dyDescent="0.3">
      <c r="A25" s="2" t="s">
        <v>43</v>
      </c>
      <c r="B25" t="s">
        <v>44</v>
      </c>
    </row>
    <row r="26" spans="1:6" x14ac:dyDescent="0.3">
      <c r="A26" s="2" t="s">
        <v>45</v>
      </c>
      <c r="B26" t="s">
        <v>46</v>
      </c>
    </row>
    <row r="27" spans="1:6" x14ac:dyDescent="0.3">
      <c r="A27" s="2" t="s">
        <v>47</v>
      </c>
      <c r="B27" t="s">
        <v>48</v>
      </c>
    </row>
    <row r="28" spans="1:6" x14ac:dyDescent="0.3">
      <c r="A28" s="2" t="s">
        <v>20</v>
      </c>
      <c r="B28" t="s">
        <v>49</v>
      </c>
    </row>
    <row r="29" spans="1:6" x14ac:dyDescent="0.3">
      <c r="A29" s="2" t="s">
        <v>50</v>
      </c>
      <c r="B29" t="s">
        <v>51</v>
      </c>
    </row>
    <row r="30" spans="1:6" x14ac:dyDescent="0.3">
      <c r="A30" s="2" t="s">
        <v>52</v>
      </c>
      <c r="B30" t="s">
        <v>53</v>
      </c>
    </row>
    <row r="31" spans="1:6" x14ac:dyDescent="0.3">
      <c r="A31" s="2" t="s">
        <v>54</v>
      </c>
      <c r="B31" t="s">
        <v>55</v>
      </c>
    </row>
    <row r="32" spans="1:6" x14ac:dyDescent="0.3">
      <c r="B32" s="4" t="s">
        <v>56</v>
      </c>
    </row>
    <row r="34" spans="1:2" x14ac:dyDescent="0.3">
      <c r="A34" s="2" t="s">
        <v>57</v>
      </c>
      <c r="B34" s="1" t="s">
        <v>58</v>
      </c>
    </row>
    <row r="35" spans="1:2" x14ac:dyDescent="0.3">
      <c r="A35" s="2" t="s">
        <v>59</v>
      </c>
      <c r="B35" t="s">
        <v>60</v>
      </c>
    </row>
    <row r="36" spans="1:2" x14ac:dyDescent="0.3">
      <c r="B36" t="s">
        <v>61</v>
      </c>
    </row>
    <row r="37" spans="1:2" x14ac:dyDescent="0.3">
      <c r="B37" t="s">
        <v>62</v>
      </c>
    </row>
    <row r="38" spans="1:2" x14ac:dyDescent="0.3">
      <c r="B38" t="s">
        <v>63</v>
      </c>
    </row>
    <row r="39" spans="1:2" x14ac:dyDescent="0.3">
      <c r="B39" t="s">
        <v>64</v>
      </c>
    </row>
  </sheetData>
  <mergeCells count="1">
    <mergeCell ref="A1:D1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2021-02-20T14:35:38Z</dcterms:created>
  <dcterms:modified xsi:type="dcterms:W3CDTF">2023-07-14T17:45:05Z</dcterms:modified>
  <cp:category/>
  <cp:contentStatus/>
</cp:coreProperties>
</file>