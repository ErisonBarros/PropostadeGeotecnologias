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99" documentId="8_{F07D4FF1-2E1F-4952-924B-664952959FB9}" xr6:coauthVersionLast="47" xr6:coauthVersionMax="47" xr10:uidLastSave="{66442185-4D67-417B-835F-7FF7D7C7B593}"/>
  <bookViews>
    <workbookView xWindow="-108" yWindow="-108" windowWidth="23256" windowHeight="12456" activeTab="1" xr2:uid="{5B864B88-02CB-4CB2-B224-008B800A9643}"/>
  </bookViews>
  <sheets>
    <sheet name="IMÓVEIS PAUDALHO" sheetId="1" r:id="rId1"/>
    <sheet name="IMÓVEIS LIMOEIR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6" i="2"/>
  <c r="F14" i="2"/>
  <c r="F13" i="2"/>
  <c r="F12" i="2"/>
  <c r="F18" i="2" s="1"/>
  <c r="F10" i="2"/>
  <c r="F15" i="1"/>
  <c r="F21" i="1"/>
  <c r="F18" i="1"/>
  <c r="F19" i="1"/>
  <c r="F20" i="1"/>
  <c r="F17" i="1"/>
  <c r="F14" i="1"/>
  <c r="F13" i="1"/>
  <c r="F12" i="1"/>
  <c r="F10" i="1"/>
  <c r="F22" i="1" l="1"/>
</calcChain>
</file>

<file path=xl/sharedStrings.xml><?xml version="1.0" encoding="utf-8"?>
<sst xmlns="http://schemas.openxmlformats.org/spreadsheetml/2006/main" count="76" uniqueCount="40">
  <si>
    <t>ITENS</t>
  </si>
  <si>
    <t>UND</t>
  </si>
  <si>
    <t>QUANTIDADE</t>
  </si>
  <si>
    <t>PREÇO UNITÁRIO</t>
  </si>
  <si>
    <t>PREÇO TOTAL</t>
  </si>
  <si>
    <t>1.0</t>
  </si>
  <si>
    <t>Serviços de Despachante</t>
  </si>
  <si>
    <t>vb</t>
  </si>
  <si>
    <t>2.0</t>
  </si>
  <si>
    <t>2.1</t>
  </si>
  <si>
    <t>Verba</t>
  </si>
  <si>
    <t>TOTAL</t>
  </si>
  <si>
    <t>Mobilização</t>
  </si>
  <si>
    <t>3.0</t>
  </si>
  <si>
    <t>3.2</t>
  </si>
  <si>
    <t>Levantamento Georreferenciamento de acordo com MTGIR.</t>
  </si>
  <si>
    <t>GEORREFERENCIAMENTO PARA FINS DE CERTIFICAÇÃO</t>
  </si>
  <si>
    <t>Autualização do Cadastrao do Imòvel no SNCR</t>
  </si>
  <si>
    <t>Reticação do Cadstro do CAR no SICAR</t>
  </si>
  <si>
    <t>2.2</t>
  </si>
  <si>
    <t>2.3</t>
  </si>
  <si>
    <t>Mobilização de Pessoas e Equiamentos para até 12 km da sede da empresa até a obra.</t>
  </si>
  <si>
    <t>Levantamento Topográfico planimétrico Georrefrenciamento utilizando receptores GPS/GNSSe com a devida Anotação de Responsabilidade  Técnica  (ART) para fins de Certificação junto ao INCRA</t>
  </si>
  <si>
    <t xml:space="preserve">Geração de Planilha ODS das matriculas </t>
  </si>
  <si>
    <t>HECTARES</t>
  </si>
  <si>
    <t>UNID</t>
  </si>
  <si>
    <t>Implantação de Marcos Padrão INCRA</t>
  </si>
  <si>
    <t xml:space="preserve">Inseção das Matriculas  individualizadas no SIGEF </t>
  </si>
  <si>
    <t xml:space="preserve">Inseção do Remembramento no SIGEF </t>
  </si>
  <si>
    <t>DESCRIÇÃO  DOS SERVIÇOS</t>
  </si>
  <si>
    <t>Serviço de Despachante Imóbiliário para Pendencias no RGI e INCRA</t>
  </si>
  <si>
    <t>2.4</t>
  </si>
  <si>
    <t>veb</t>
  </si>
  <si>
    <t>Criação do CIB do imóvel Remembrado</t>
  </si>
  <si>
    <t>3.3</t>
  </si>
  <si>
    <t>3.4</t>
  </si>
  <si>
    <t>3.5</t>
  </si>
  <si>
    <t>SERVIÇOS CARTÓRIAS DE REMEBRAMENTO</t>
  </si>
  <si>
    <t>Autualização do Cadastrao do Imóvel no SNCR</t>
  </si>
  <si>
    <t>verba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</si>
</sst>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center" wrapText="1"/>
    </xf>
    <xf numFmtId="44" fontId="0" fillId="0" borderId="0" xfId="2" applyFont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44" fontId="4" fillId="4" borderId="0" xfId="0" applyNumberFormat="1" applyFont="1" applyFill="1"/>
    <xf numFmtId="44" fontId="0" fillId="0" borderId="0" xfId="2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Moeda" xfId="2" builtinId="4"/>
    <cellStyle name="Moeda 2" xfId="1" xr:uid="{FDA87B44-812C-4924-B87A-0E6DD1A1909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E5D4-4DA2-4834-9167-AC97F5C54D3E}">
  <dimension ref="A1:F23"/>
  <sheetViews>
    <sheetView workbookViewId="0">
      <selection sqref="A1:XFD1048576"/>
    </sheetView>
  </sheetViews>
  <sheetFormatPr defaultRowHeight="14.4" x14ac:dyDescent="0.3"/>
  <cols>
    <col min="2" max="2" width="80.6640625" customWidth="1"/>
    <col min="3" max="3" width="10.44140625" customWidth="1"/>
    <col min="4" max="4" width="8.88671875" style="2"/>
    <col min="5" max="5" width="15.6640625" bestFit="1" customWidth="1"/>
    <col min="6" max="6" width="12.44140625" bestFit="1" customWidth="1"/>
  </cols>
  <sheetData>
    <row r="1" spans="1:6" x14ac:dyDescent="0.3">
      <c r="A1" s="17" t="s">
        <v>0</v>
      </c>
      <c r="B1" s="17" t="s">
        <v>29</v>
      </c>
      <c r="C1" s="17" t="s">
        <v>1</v>
      </c>
      <c r="D1" s="18" t="s">
        <v>2</v>
      </c>
      <c r="E1" s="17" t="s">
        <v>3</v>
      </c>
      <c r="F1" s="17" t="s">
        <v>4</v>
      </c>
    </row>
    <row r="2" spans="1:6" x14ac:dyDescent="0.3">
      <c r="A2" s="25" t="s">
        <v>5</v>
      </c>
      <c r="B2" s="24" t="s">
        <v>37</v>
      </c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24" t="s">
        <v>16</v>
      </c>
      <c r="C8" s="4"/>
      <c r="D8" s="4"/>
      <c r="E8" s="4"/>
      <c r="F8" s="4"/>
    </row>
    <row r="9" spans="1:6" x14ac:dyDescent="0.3">
      <c r="A9" s="10">
        <v>2</v>
      </c>
      <c r="B9" s="7" t="s">
        <v>12</v>
      </c>
      <c r="C9" s="7"/>
      <c r="D9" s="10"/>
      <c r="E9" s="7"/>
      <c r="F9" s="7"/>
    </row>
    <row r="10" spans="1:6" x14ac:dyDescent="0.3">
      <c r="A10" s="14" t="s">
        <v>9</v>
      </c>
      <c r="B10" s="15" t="s">
        <v>21</v>
      </c>
      <c r="C10" s="2" t="s">
        <v>10</v>
      </c>
      <c r="D10" s="2">
        <v>1</v>
      </c>
      <c r="E10" s="16">
        <v>350</v>
      </c>
      <c r="F10" s="11">
        <f>D10*E10</f>
        <v>350</v>
      </c>
    </row>
    <row r="11" spans="1:6" x14ac:dyDescent="0.3">
      <c r="A11" s="10" t="s">
        <v>8</v>
      </c>
      <c r="B11" s="7" t="s">
        <v>6</v>
      </c>
      <c r="C11" s="7"/>
      <c r="D11" s="10"/>
      <c r="E11" s="7"/>
      <c r="F11" s="7"/>
    </row>
    <row r="12" spans="1:6" x14ac:dyDescent="0.3">
      <c r="A12" s="3" t="s">
        <v>9</v>
      </c>
      <c r="B12" s="4" t="s">
        <v>30</v>
      </c>
      <c r="C12" s="6" t="s">
        <v>7</v>
      </c>
      <c r="D12" s="3">
        <v>1</v>
      </c>
      <c r="E12" s="5">
        <v>250</v>
      </c>
      <c r="F12" s="11">
        <f t="shared" ref="F12:F15" si="0">D12*E12</f>
        <v>250</v>
      </c>
    </row>
    <row r="13" spans="1:6" x14ac:dyDescent="0.3">
      <c r="A13" s="3" t="s">
        <v>19</v>
      </c>
      <c r="B13" s="4" t="s">
        <v>17</v>
      </c>
      <c r="C13" s="6" t="s">
        <v>25</v>
      </c>
      <c r="D13" s="3">
        <v>4</v>
      </c>
      <c r="E13" s="5">
        <v>250</v>
      </c>
      <c r="F13" s="11">
        <f t="shared" si="0"/>
        <v>1000</v>
      </c>
    </row>
    <row r="14" spans="1:6" x14ac:dyDescent="0.3">
      <c r="A14" s="3" t="s">
        <v>20</v>
      </c>
      <c r="B14" s="4" t="s">
        <v>18</v>
      </c>
      <c r="C14" s="3" t="s">
        <v>25</v>
      </c>
      <c r="D14" s="3">
        <v>1</v>
      </c>
      <c r="E14" s="5">
        <v>250</v>
      </c>
      <c r="F14" s="11">
        <f t="shared" si="0"/>
        <v>250</v>
      </c>
    </row>
    <row r="15" spans="1:6" x14ac:dyDescent="0.3">
      <c r="A15" s="3" t="s">
        <v>31</v>
      </c>
      <c r="B15" s="4" t="s">
        <v>33</v>
      </c>
      <c r="C15" s="6" t="s">
        <v>32</v>
      </c>
      <c r="D15" s="2">
        <v>1</v>
      </c>
      <c r="E15" s="5">
        <v>250</v>
      </c>
      <c r="F15" s="11">
        <f t="shared" si="0"/>
        <v>250</v>
      </c>
    </row>
    <row r="16" spans="1:6" x14ac:dyDescent="0.3">
      <c r="A16" s="10" t="s">
        <v>13</v>
      </c>
      <c r="B16" s="7" t="s">
        <v>15</v>
      </c>
      <c r="C16" s="8"/>
      <c r="D16" s="9"/>
      <c r="E16" s="8"/>
      <c r="F16" s="8"/>
    </row>
    <row r="17" spans="1:6" ht="43.2" x14ac:dyDescent="0.3">
      <c r="A17" s="3">
        <v>3.1</v>
      </c>
      <c r="B17" s="1" t="s">
        <v>22</v>
      </c>
      <c r="C17" s="3" t="s">
        <v>24</v>
      </c>
      <c r="D17" s="3">
        <v>77</v>
      </c>
      <c r="E17" s="21">
        <v>35</v>
      </c>
      <c r="F17" s="22">
        <f>D17*E17</f>
        <v>2695</v>
      </c>
    </row>
    <row r="18" spans="1:6" x14ac:dyDescent="0.3">
      <c r="A18" s="3" t="s">
        <v>14</v>
      </c>
      <c r="B18" s="1" t="s">
        <v>26</v>
      </c>
      <c r="C18" s="3" t="s">
        <v>25</v>
      </c>
      <c r="D18" s="3">
        <v>31</v>
      </c>
      <c r="E18" s="21">
        <v>25</v>
      </c>
      <c r="F18" s="22">
        <f>D18*E18</f>
        <v>775</v>
      </c>
    </row>
    <row r="19" spans="1:6" x14ac:dyDescent="0.3">
      <c r="A19" s="3" t="s">
        <v>34</v>
      </c>
      <c r="B19" s="1" t="s">
        <v>23</v>
      </c>
      <c r="C19" s="3" t="s">
        <v>25</v>
      </c>
      <c r="D19" s="3">
        <v>4</v>
      </c>
      <c r="E19" s="21">
        <v>250</v>
      </c>
      <c r="F19" s="22">
        <f>D19*E19</f>
        <v>1000</v>
      </c>
    </row>
    <row r="20" spans="1:6" x14ac:dyDescent="0.3">
      <c r="A20" s="3" t="s">
        <v>35</v>
      </c>
      <c r="B20" s="1" t="s">
        <v>27</v>
      </c>
      <c r="C20" s="3" t="s">
        <v>25</v>
      </c>
      <c r="D20" s="3">
        <v>4</v>
      </c>
      <c r="E20" s="5">
        <v>500</v>
      </c>
      <c r="F20" s="11">
        <f>D20*E20</f>
        <v>2000</v>
      </c>
    </row>
    <row r="21" spans="1:6" x14ac:dyDescent="0.3">
      <c r="A21" s="3" t="s">
        <v>36</v>
      </c>
      <c r="B21" s="1" t="s">
        <v>28</v>
      </c>
      <c r="C21" s="3" t="s">
        <v>25</v>
      </c>
      <c r="D21" s="3">
        <v>1</v>
      </c>
      <c r="E21" s="5">
        <v>250</v>
      </c>
      <c r="F21" s="11">
        <f>D21*E21</f>
        <v>250</v>
      </c>
    </row>
    <row r="22" spans="1:6" x14ac:dyDescent="0.3">
      <c r="A22" s="19"/>
      <c r="B22" s="23" t="s">
        <v>11</v>
      </c>
      <c r="C22" s="23"/>
      <c r="D22" s="23"/>
      <c r="E22" s="23"/>
      <c r="F22" s="20">
        <f>SUM(F12:F21)</f>
        <v>8470</v>
      </c>
    </row>
    <row r="23" spans="1:6" x14ac:dyDescent="0.3">
      <c r="B23" s="13"/>
      <c r="C23" s="13"/>
      <c r="D23" s="12"/>
      <c r="E23" s="13"/>
      <c r="F23" s="13"/>
    </row>
  </sheetData>
  <mergeCells count="1">
    <mergeCell ref="B22:E2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0FD2-5EFD-48F3-B363-32D636A31DE0}">
  <dimension ref="A1:F19"/>
  <sheetViews>
    <sheetView tabSelected="1" workbookViewId="0">
      <selection activeCell="B21" sqref="B21"/>
    </sheetView>
  </sheetViews>
  <sheetFormatPr defaultRowHeight="14.4" x14ac:dyDescent="0.3"/>
  <cols>
    <col min="2" max="2" width="80.6640625" customWidth="1"/>
    <col min="3" max="3" width="10.44140625" customWidth="1"/>
    <col min="4" max="4" width="8.88671875" style="2"/>
    <col min="5" max="5" width="15.6640625" bestFit="1" customWidth="1"/>
    <col min="6" max="6" width="12.44140625" bestFit="1" customWidth="1"/>
  </cols>
  <sheetData>
    <row r="1" spans="1:6" x14ac:dyDescent="0.3">
      <c r="A1" s="17" t="s">
        <v>0</v>
      </c>
      <c r="B1" s="17" t="s">
        <v>29</v>
      </c>
      <c r="C1" s="17" t="s">
        <v>1</v>
      </c>
      <c r="D1" s="18" t="s">
        <v>2</v>
      </c>
      <c r="E1" s="17" t="s">
        <v>3</v>
      </c>
      <c r="F1" s="17" t="s">
        <v>4</v>
      </c>
    </row>
    <row r="2" spans="1:6" x14ac:dyDescent="0.3">
      <c r="A2" s="25" t="s">
        <v>5</v>
      </c>
      <c r="B2" s="24" t="s">
        <v>37</v>
      </c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24" t="s">
        <v>16</v>
      </c>
      <c r="C8" s="4"/>
      <c r="D8" s="4"/>
      <c r="E8" s="4"/>
      <c r="F8" s="4"/>
    </row>
    <row r="9" spans="1:6" x14ac:dyDescent="0.3">
      <c r="A9" s="10">
        <v>2</v>
      </c>
      <c r="B9" s="7" t="s">
        <v>12</v>
      </c>
      <c r="C9" s="7"/>
      <c r="D9" s="10"/>
      <c r="E9" s="7"/>
      <c r="F9" s="7"/>
    </row>
    <row r="10" spans="1:6" x14ac:dyDescent="0.3">
      <c r="A10" s="14" t="s">
        <v>9</v>
      </c>
      <c r="B10" s="15" t="s">
        <v>21</v>
      </c>
      <c r="C10" s="2" t="s">
        <v>10</v>
      </c>
      <c r="D10" s="2">
        <v>1</v>
      </c>
      <c r="E10" s="16">
        <v>350</v>
      </c>
      <c r="F10" s="11">
        <f>D10*E10</f>
        <v>350</v>
      </c>
    </row>
    <row r="11" spans="1:6" x14ac:dyDescent="0.3">
      <c r="A11" s="10" t="s">
        <v>8</v>
      </c>
      <c r="B11" s="7" t="s">
        <v>6</v>
      </c>
      <c r="C11" s="7"/>
      <c r="D11" s="10"/>
      <c r="E11" s="7"/>
      <c r="F11" s="7"/>
    </row>
    <row r="12" spans="1:6" x14ac:dyDescent="0.3">
      <c r="A12" s="3" t="s">
        <v>9</v>
      </c>
      <c r="B12" s="4" t="s">
        <v>30</v>
      </c>
      <c r="C12" s="6" t="s">
        <v>7</v>
      </c>
      <c r="D12" s="3">
        <v>1</v>
      </c>
      <c r="E12" s="5">
        <v>450</v>
      </c>
      <c r="F12" s="11">
        <f t="shared" ref="F12:F14" si="0">D12*E12</f>
        <v>450</v>
      </c>
    </row>
    <row r="13" spans="1:6" x14ac:dyDescent="0.3">
      <c r="A13" s="3" t="s">
        <v>19</v>
      </c>
      <c r="B13" s="4" t="s">
        <v>38</v>
      </c>
      <c r="C13" s="6" t="s">
        <v>25</v>
      </c>
      <c r="D13" s="3">
        <v>4</v>
      </c>
      <c r="E13" s="5">
        <v>250</v>
      </c>
      <c r="F13" s="11">
        <f t="shared" si="0"/>
        <v>1000</v>
      </c>
    </row>
    <row r="14" spans="1:6" x14ac:dyDescent="0.3">
      <c r="A14" s="3" t="s">
        <v>20</v>
      </c>
      <c r="B14" s="4" t="s">
        <v>18</v>
      </c>
      <c r="C14" s="3" t="s">
        <v>25</v>
      </c>
      <c r="D14" s="3">
        <v>1</v>
      </c>
      <c r="E14" s="5">
        <v>250</v>
      </c>
      <c r="F14" s="11">
        <f t="shared" si="0"/>
        <v>250</v>
      </c>
    </row>
    <row r="15" spans="1:6" x14ac:dyDescent="0.3">
      <c r="A15" s="10" t="s">
        <v>13</v>
      </c>
      <c r="B15" s="7" t="s">
        <v>15</v>
      </c>
      <c r="C15" s="8"/>
      <c r="D15" s="9"/>
      <c r="E15" s="8"/>
      <c r="F15" s="8"/>
    </row>
    <row r="16" spans="1:6" ht="43.2" x14ac:dyDescent="0.3">
      <c r="A16" s="3">
        <v>3.1</v>
      </c>
      <c r="B16" s="1" t="s">
        <v>22</v>
      </c>
      <c r="C16" s="3" t="s">
        <v>39</v>
      </c>
      <c r="D16" s="3">
        <v>1</v>
      </c>
      <c r="E16" s="21">
        <v>600</v>
      </c>
      <c r="F16" s="22">
        <f>D16*E16</f>
        <v>600</v>
      </c>
    </row>
    <row r="17" spans="1:6" x14ac:dyDescent="0.3">
      <c r="A17" s="3" t="s">
        <v>36</v>
      </c>
      <c r="B17" s="1" t="s">
        <v>28</v>
      </c>
      <c r="C17" s="3" t="s">
        <v>25</v>
      </c>
      <c r="D17" s="3">
        <v>1</v>
      </c>
      <c r="E17" s="5">
        <v>250</v>
      </c>
      <c r="F17" s="11">
        <f>D17*E17</f>
        <v>250</v>
      </c>
    </row>
    <row r="18" spans="1:6" x14ac:dyDescent="0.3">
      <c r="A18" s="19"/>
      <c r="B18" s="23" t="s">
        <v>11</v>
      </c>
      <c r="C18" s="23"/>
      <c r="D18" s="23"/>
      <c r="E18" s="23"/>
      <c r="F18" s="20">
        <f>SUM(F12:F17)</f>
        <v>2550</v>
      </c>
    </row>
    <row r="19" spans="1:6" x14ac:dyDescent="0.3">
      <c r="B19" s="13"/>
      <c r="C19" s="13"/>
      <c r="D19" s="12"/>
      <c r="E19" s="13"/>
      <c r="F19" s="13"/>
    </row>
  </sheetData>
  <mergeCells count="1">
    <mergeCell ref="B18:E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IMÓVEIS PAUDALHO</vt:lpstr>
      <vt:lpstr>IMÓVEIS LIMOEIRO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2023-04-23T13:43:51Z</dcterms:created>
  <dcterms:modified xsi:type="dcterms:W3CDTF">2023-10-05T14:12:53Z</dcterms:modified>
  <cp:category/>
  <cp:contentStatus/>
</cp:coreProperties>
</file>