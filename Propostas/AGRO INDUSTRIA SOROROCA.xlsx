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" documentId="8_{091F1056-484A-473D-90CE-817815FB501E}" xr6:coauthVersionLast="47" xr6:coauthVersionMax="47" xr10:uidLastSave="{A8ADC182-DB34-4DB5-8C4A-F284C3331AEB}"/>
  <bookViews>
    <workbookView minimized="1" xWindow="3660" yWindow="3660" windowWidth="17280" windowHeight="888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24" i="1"/>
  <c r="F16" i="1"/>
  <c r="F15" i="1"/>
  <c r="F14" i="1"/>
  <c r="F12" i="1"/>
  <c r="F6" i="1"/>
  <c r="F8" i="1" s="1"/>
  <c r="F11" i="1"/>
  <c r="F10" i="1"/>
  <c r="F5" i="1"/>
  <c r="F3" i="1"/>
  <c r="F18" i="1" l="1"/>
</calcChain>
</file>

<file path=xl/sharedStrings.xml><?xml version="1.0" encoding="utf-8"?>
<sst xmlns="http://schemas.openxmlformats.org/spreadsheetml/2006/main" count="53" uniqueCount="46">
  <si>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</si>
  <si>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</si>
  <si>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</si>
  <si>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</si>
  <si>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</si>
  <si>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</si>
  <si>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</si>
  <si>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</si>
  <si>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</si>
  <si>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</si>
  <si>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</si>
  <si>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</si>
  <si>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</si>
  <si>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</si>
  <si>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>ESCRITÓRIO</t>
  </si>
  <si>
    <t>3.1</t>
  </si>
  <si>
    <t>LEVANTAMENTO TOPOGRÁFICO E INSUMOS DE CAMPO</t>
  </si>
  <si>
    <t>2.2</t>
  </si>
  <si>
    <t>Und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</si>
  <si>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</si>
  <si>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Implantação de Marcos Padrão INCRA  com codificação dos vertices e do credenciado</t>
  </si>
  <si>
    <t>Aerolevantamento  com ou sem pontos de apoio e check com as devidas autorizaçõaes da ANAC, DECEA. Para  apoio nos trabalhos de identificação de feições  para cadastro e geração de Modelos Digital de elevação (MDT)</t>
  </si>
  <si>
    <t>3.0</t>
  </si>
  <si>
    <t>Elaboração de plantas e peças técnicas em CAD e calculos e memoriais descritivos  necessários com impressão em formato ABNT em 3 vias com a elaboração do memorial descritivo, com Anotação de Responsabilidade Técnica - ART</t>
  </si>
  <si>
    <t>AEROLEVANTAMENTO COM DRONE</t>
  </si>
  <si>
    <t>Elaboração e Registro do Imóvel no Cadastro Ambiental Rural - CAR no SICAR</t>
  </si>
  <si>
    <t>Criação e Registro do Sistma Nacional de Cadastro de Imóvel Rural SNCR para Emissão anual de CCIR ( Area  Geral, Remanescente e Desmebrada)</t>
  </si>
  <si>
    <t xml:space="preserve">Criação e Registro do Cadastro de Imóvel do Brasil - CIB na Receita Federal do Brasil </t>
  </si>
  <si>
    <t>Regularição o Imposto Territorial Rural - ITR e necessidade de Despachante</t>
  </si>
  <si>
    <t>hectares</t>
  </si>
  <si>
    <t>Elaboração de Planilha ODS para inserção no SIGEF com a Devida Responsabilidade Técnica conforme MTGIR 2° Edição e Lançamento no SIGEF</t>
  </si>
  <si>
    <t>SERVIÇOS DE DESPACHANTE IMOBILIÁRIO</t>
  </si>
  <si>
    <t>4.0</t>
  </si>
  <si>
    <t>4.1</t>
  </si>
  <si>
    <t>4.2</t>
  </si>
  <si>
    <t>4.3</t>
  </si>
  <si>
    <t>5.0</t>
  </si>
  <si>
    <t>5.1</t>
  </si>
  <si>
    <t>5.2</t>
  </si>
  <si>
    <t>5.3</t>
  </si>
  <si>
    <t>DESPESAS:</t>
  </si>
  <si>
    <t xml:space="preserve">Marcos </t>
  </si>
  <si>
    <t>Ajudante</t>
  </si>
  <si>
    <t>Alimentação</t>
  </si>
  <si>
    <t xml:space="preserve">combustivel </t>
  </si>
  <si>
    <t>Voo de Drone  com Processamento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</si>
</sst>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0" fillId="0" borderId="0" xfId="0" applyNumberFormat="1"/>
    <xf numFmtId="8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2" fillId="2" borderId="2" xfId="0" applyFont="1" applyFill="1" applyBorder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28"/>
  <sheetViews>
    <sheetView tabSelected="1" topLeftCell="A9" zoomScale="130" zoomScaleNormal="130" workbookViewId="0">
      <selection activeCell="E16" sqref="E16"/>
    </sheetView>
  </sheetViews>
  <sheetFormatPr defaultRowHeight="14.4" x14ac:dyDescent="0.3"/>
  <cols>
    <col min="1" max="1" width="6" customWidth="1"/>
    <col min="2" max="2" width="30.6640625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6" s="5" customFormat="1" x14ac:dyDescent="0.3">
      <c r="A2" s="27" t="s">
        <v>7</v>
      </c>
      <c r="B2" s="12" t="s">
        <v>8</v>
      </c>
      <c r="C2" s="13"/>
      <c r="D2" s="13"/>
      <c r="E2" s="13"/>
      <c r="F2" s="13"/>
    </row>
    <row r="3" spans="1:6" s="5" customFormat="1" ht="24" x14ac:dyDescent="0.3">
      <c r="A3" s="10" t="s">
        <v>9</v>
      </c>
      <c r="B3" s="17" t="s">
        <v>10</v>
      </c>
      <c r="C3" s="9" t="s">
        <v>11</v>
      </c>
      <c r="D3" s="10">
        <v>1</v>
      </c>
      <c r="E3" s="11">
        <v>650</v>
      </c>
      <c r="F3" s="11">
        <f>D3*E3</f>
        <v>650</v>
      </c>
    </row>
    <row r="4" spans="1:6" s="5" customFormat="1" x14ac:dyDescent="0.25">
      <c r="A4" s="28" t="s">
        <v>12</v>
      </c>
      <c r="B4" s="15" t="s">
        <v>16</v>
      </c>
      <c r="C4" s="14"/>
      <c r="D4" s="14"/>
      <c r="E4" s="14"/>
      <c r="F4" s="16"/>
    </row>
    <row r="5" spans="1:6" s="5" customFormat="1" ht="119.4" customHeight="1" x14ac:dyDescent="0.3">
      <c r="A5" s="9" t="s">
        <v>13</v>
      </c>
      <c r="B5" s="17" t="s">
        <v>19</v>
      </c>
      <c r="C5" s="9" t="s">
        <v>29</v>
      </c>
      <c r="D5" s="9">
        <v>45</v>
      </c>
      <c r="E5" s="18">
        <v>35</v>
      </c>
      <c r="F5" s="18">
        <f>D5*E5</f>
        <v>1575</v>
      </c>
    </row>
    <row r="6" spans="1:6" s="5" customFormat="1" ht="26.4" customHeight="1" x14ac:dyDescent="0.3">
      <c r="A6" s="9" t="s">
        <v>17</v>
      </c>
      <c r="B6" s="17" t="s">
        <v>20</v>
      </c>
      <c r="C6" s="9" t="s">
        <v>18</v>
      </c>
      <c r="D6" s="9">
        <v>2</v>
      </c>
      <c r="E6" s="18">
        <v>150</v>
      </c>
      <c r="F6" s="18">
        <f>D6*E6</f>
        <v>300</v>
      </c>
    </row>
    <row r="7" spans="1:6" s="5" customFormat="1" ht="26.4" customHeight="1" x14ac:dyDescent="0.25">
      <c r="A7" s="28" t="s">
        <v>22</v>
      </c>
      <c r="B7" s="15" t="s">
        <v>24</v>
      </c>
      <c r="C7" s="14"/>
      <c r="D7" s="14"/>
      <c r="E7" s="14"/>
      <c r="F7" s="16"/>
    </row>
    <row r="8" spans="1:6" s="5" customFormat="1" ht="72" x14ac:dyDescent="0.3">
      <c r="A8" s="9" t="s">
        <v>15</v>
      </c>
      <c r="B8" s="17" t="s">
        <v>21</v>
      </c>
      <c r="C8" s="9" t="s">
        <v>11</v>
      </c>
      <c r="D8" s="9">
        <v>1</v>
      </c>
      <c r="E8" s="18">
        <v>1200</v>
      </c>
      <c r="F8" s="18">
        <f>F6</f>
        <v>300</v>
      </c>
    </row>
    <row r="9" spans="1:6" s="5" customFormat="1" x14ac:dyDescent="0.25">
      <c r="A9" s="28" t="s">
        <v>32</v>
      </c>
      <c r="B9" s="15" t="s">
        <v>14</v>
      </c>
      <c r="C9" s="14"/>
      <c r="D9" s="14"/>
      <c r="E9" s="14"/>
      <c r="F9" s="19"/>
    </row>
    <row r="10" spans="1:6" s="5" customFormat="1" ht="72" x14ac:dyDescent="0.25">
      <c r="A10" s="9" t="s">
        <v>33</v>
      </c>
      <c r="B10" s="20" t="s">
        <v>23</v>
      </c>
      <c r="C10" s="9" t="s">
        <v>11</v>
      </c>
      <c r="D10" s="9">
        <v>3</v>
      </c>
      <c r="E10" s="18">
        <v>700</v>
      </c>
      <c r="F10" s="18">
        <f>D10*E10</f>
        <v>2100</v>
      </c>
    </row>
    <row r="11" spans="1:6" s="5" customFormat="1" ht="48" x14ac:dyDescent="0.25">
      <c r="A11" s="9" t="s">
        <v>34</v>
      </c>
      <c r="B11" s="20" t="s">
        <v>30</v>
      </c>
      <c r="C11" s="9" t="s">
        <v>11</v>
      </c>
      <c r="D11" s="9">
        <v>3</v>
      </c>
      <c r="E11" s="18">
        <v>500</v>
      </c>
      <c r="F11" s="18">
        <f>D11*E11</f>
        <v>1500</v>
      </c>
    </row>
    <row r="12" spans="1:6" s="5" customFormat="1" ht="24" x14ac:dyDescent="0.25">
      <c r="A12" s="9" t="s">
        <v>35</v>
      </c>
      <c r="B12" s="20" t="s">
        <v>25</v>
      </c>
      <c r="C12" s="9" t="s">
        <v>11</v>
      </c>
      <c r="D12" s="9">
        <v>3</v>
      </c>
      <c r="E12" s="18">
        <v>400</v>
      </c>
      <c r="F12" s="18">
        <f>D12*E12</f>
        <v>1200</v>
      </c>
    </row>
    <row r="13" spans="1:6" s="5" customFormat="1" x14ac:dyDescent="0.25">
      <c r="A13" s="28" t="s">
        <v>36</v>
      </c>
      <c r="B13" s="15" t="s">
        <v>31</v>
      </c>
      <c r="C13" s="14"/>
      <c r="D13" s="14"/>
      <c r="E13" s="14"/>
      <c r="F13" s="19"/>
    </row>
    <row r="14" spans="1:6" s="5" customFormat="1" ht="48" x14ac:dyDescent="0.25">
      <c r="A14" s="9" t="s">
        <v>37</v>
      </c>
      <c r="B14" s="20" t="s">
        <v>26</v>
      </c>
      <c r="C14" s="9" t="s">
        <v>11</v>
      </c>
      <c r="D14" s="9">
        <v>3</v>
      </c>
      <c r="E14" s="18">
        <v>600</v>
      </c>
      <c r="F14" s="18">
        <f>D14*E14</f>
        <v>1800</v>
      </c>
    </row>
    <row r="15" spans="1:6" s="5" customFormat="1" ht="24" x14ac:dyDescent="0.25">
      <c r="A15" s="9" t="s">
        <v>38</v>
      </c>
      <c r="B15" s="20" t="s">
        <v>27</v>
      </c>
      <c r="C15" s="9" t="s">
        <v>11</v>
      </c>
      <c r="D15" s="9">
        <v>3</v>
      </c>
      <c r="E15" s="18">
        <v>500</v>
      </c>
      <c r="F15" s="18">
        <f>D15*E15</f>
        <v>1500</v>
      </c>
    </row>
    <row r="16" spans="1:6" s="5" customFormat="1" ht="24" x14ac:dyDescent="0.25">
      <c r="A16" s="9" t="s">
        <v>39</v>
      </c>
      <c r="B16" s="20" t="s">
        <v>28</v>
      </c>
      <c r="C16" s="9" t="s">
        <v>11</v>
      </c>
      <c r="D16" s="9">
        <v>3</v>
      </c>
      <c r="E16" s="18">
        <v>400</v>
      </c>
      <c r="F16" s="18">
        <f>D16*E16</f>
        <v>1200</v>
      </c>
    </row>
    <row r="17" spans="1:8" s="5" customFormat="1" x14ac:dyDescent="0.25">
      <c r="A17" s="9"/>
      <c r="B17" s="20"/>
      <c r="C17" s="9"/>
      <c r="D17" s="9"/>
      <c r="E17" s="18"/>
      <c r="F17" s="18"/>
    </row>
    <row r="18" spans="1:8" s="5" customFormat="1" x14ac:dyDescent="0.3">
      <c r="A18" s="21"/>
      <c r="B18" s="22" t="s">
        <v>0</v>
      </c>
      <c r="C18" s="21"/>
      <c r="D18" s="21"/>
      <c r="E18" s="21"/>
      <c r="F18" s="23">
        <f>SUM(F2:F17)</f>
        <v>12125</v>
      </c>
    </row>
    <row r="19" spans="1:8" s="5" customFormat="1" x14ac:dyDescent="0.3">
      <c r="A19" s="2"/>
      <c r="B19" s="3"/>
      <c r="C19" s="2"/>
      <c r="D19" s="6"/>
      <c r="E19" s="7"/>
      <c r="H19" s="26"/>
    </row>
    <row r="20" spans="1:8" s="5" customFormat="1" x14ac:dyDescent="0.3">
      <c r="A20" s="2"/>
      <c r="B20" s="3"/>
      <c r="C20" s="2"/>
      <c r="D20" s="6"/>
      <c r="E20" s="7"/>
      <c r="F20" s="25"/>
    </row>
    <row r="21" spans="1:8" x14ac:dyDescent="0.3">
      <c r="D21" s="1"/>
      <c r="E21" s="4"/>
    </row>
    <row r="22" spans="1:8" x14ac:dyDescent="0.3">
      <c r="A22" s="33"/>
      <c r="B22" s="33" t="s">
        <v>40</v>
      </c>
      <c r="C22" s="33"/>
    </row>
    <row r="23" spans="1:8" x14ac:dyDescent="0.3">
      <c r="B23" t="s">
        <v>41</v>
      </c>
      <c r="C23" s="29">
        <v>150</v>
      </c>
    </row>
    <row r="24" spans="1:8" x14ac:dyDescent="0.3">
      <c r="B24" t="s">
        <v>42</v>
      </c>
      <c r="C24" s="30">
        <f>180*3</f>
        <v>540</v>
      </c>
    </row>
    <row r="25" spans="1:8" x14ac:dyDescent="0.3">
      <c r="B25" t="s">
        <v>43</v>
      </c>
      <c r="C25" s="30">
        <v>80</v>
      </c>
    </row>
    <row r="26" spans="1:8" x14ac:dyDescent="0.3">
      <c r="B26" t="s">
        <v>44</v>
      </c>
      <c r="C26" s="30">
        <v>50</v>
      </c>
    </row>
    <row r="27" spans="1:8" x14ac:dyDescent="0.3">
      <c r="B27" t="s">
        <v>45</v>
      </c>
      <c r="C27" s="30">
        <v>1200</v>
      </c>
    </row>
    <row r="28" spans="1:8" x14ac:dyDescent="0.3">
      <c r="A28" s="31"/>
      <c r="B28" s="31"/>
      <c r="C28" s="32">
        <f>SUM(C23:C27)</f>
        <v>2020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2025-08-20T03:44:07Z</dcterms:modified>
  <cp:category/>
  <cp:contentStatus/>
</cp:coreProperties>
</file>