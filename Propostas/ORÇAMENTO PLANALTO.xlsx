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0" documentId="14_{6D809487-1156-42F5-B26A-F715099689A6}" xr6:coauthVersionLast="47" xr6:coauthVersionMax="47" xr10:uidLastSave="{00000000-0000-0000-0000-000000000000}"/>
  <bookViews>
    <workbookView xWindow="-108" yWindow="-108" windowWidth="23256" windowHeight="12456" firstSheet="5" activeTab="5" xr2:uid="{ABE604CE-D4D9-4F4B-8934-5F52481253C7}"/>
  </bookViews>
  <sheets>
    <sheet name="VÍZINHO DE MAURÍCIO" sheetId="1" r:id="rId1"/>
    <sheet name="MALTA 4" sheetId="2" r:id="rId2"/>
    <sheet name="MALTA 0" sheetId="3" r:id="rId3"/>
    <sheet name="MALTA 7" sheetId="4" r:id="rId4"/>
    <sheet name="MALTA 6" sheetId="5" r:id="rId5"/>
    <sheet name="PLANILHA TOTAL" sheetId="6" r:id="rId6"/>
  </sheets>
  <externalReferences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6" l="1"/>
  <c r="D6" i="6"/>
  <c r="D5" i="6"/>
  <c r="D4" i="6"/>
  <c r="D3" i="6"/>
  <c r="D2" i="6"/>
  <c r="J10" i="5"/>
  <c r="I10" i="5"/>
  <c r="G12" i="5" s="1"/>
  <c r="J10" i="4"/>
  <c r="I10" i="4"/>
  <c r="G12" i="4" s="1"/>
  <c r="J10" i="3"/>
  <c r="I10" i="3"/>
  <c r="G12" i="3" s="1"/>
  <c r="J10" i="2"/>
  <c r="I10" i="2"/>
  <c r="G12" i="2" s="1"/>
  <c r="G12" i="1"/>
  <c r="J10" i="1"/>
  <c r="I10" i="1"/>
  <c r="E3" i="6"/>
  <c r="E2" i="6"/>
  <c r="C6" i="6"/>
  <c r="E6" i="6" s="1"/>
  <c r="C5" i="6"/>
  <c r="E5" i="6" s="1"/>
  <c r="C4" i="6"/>
  <c r="E4" i="6" s="1"/>
  <c r="C3" i="6"/>
  <c r="C2" i="6"/>
  <c r="E9" i="5"/>
  <c r="F9" i="5" s="1"/>
  <c r="B9" i="5"/>
  <c r="E8" i="5"/>
  <c r="F8" i="5" s="1"/>
  <c r="B8" i="5"/>
  <c r="F7" i="5"/>
  <c r="E7" i="5"/>
  <c r="B7" i="5"/>
  <c r="F6" i="5"/>
  <c r="B6" i="5"/>
  <c r="E4" i="5"/>
  <c r="F4" i="5" s="1"/>
  <c r="B4" i="5"/>
  <c r="E9" i="4"/>
  <c r="F9" i="4" s="1"/>
  <c r="B9" i="4"/>
  <c r="F8" i="4"/>
  <c r="E8" i="4"/>
  <c r="B8" i="4"/>
  <c r="F7" i="4"/>
  <c r="E7" i="4"/>
  <c r="B7" i="4"/>
  <c r="F6" i="4"/>
  <c r="B6" i="4"/>
  <c r="F4" i="4"/>
  <c r="E4" i="4"/>
  <c r="B4" i="4"/>
  <c r="E9" i="3"/>
  <c r="F9" i="3" s="1"/>
  <c r="B9" i="3"/>
  <c r="E8" i="3"/>
  <c r="F8" i="3" s="1"/>
  <c r="B8" i="3"/>
  <c r="F7" i="3"/>
  <c r="E7" i="3"/>
  <c r="B7" i="3"/>
  <c r="F6" i="3"/>
  <c r="B6" i="3"/>
  <c r="E4" i="3"/>
  <c r="F4" i="3" s="1"/>
  <c r="B4" i="3"/>
  <c r="E9" i="2"/>
  <c r="F9" i="2" s="1"/>
  <c r="B9" i="2"/>
  <c r="E8" i="2"/>
  <c r="F8" i="2" s="1"/>
  <c r="B8" i="2"/>
  <c r="F7" i="2"/>
  <c r="E7" i="2"/>
  <c r="B7" i="2"/>
  <c r="F6" i="2"/>
  <c r="B6" i="2"/>
  <c r="E4" i="2"/>
  <c r="F4" i="2" s="1"/>
  <c r="B4" i="2"/>
  <c r="E9" i="1"/>
  <c r="F9" i="1" s="1"/>
  <c r="B9" i="1"/>
  <c r="E8" i="1"/>
  <c r="F8" i="1" s="1"/>
  <c r="B8" i="1"/>
  <c r="F7" i="1"/>
  <c r="E7" i="1"/>
  <c r="B7" i="1"/>
  <c r="F6" i="1"/>
  <c r="B6" i="1"/>
  <c r="E4" i="1"/>
  <c r="F4" i="1" s="1"/>
  <c r="B4" i="1"/>
  <c r="E7" i="6" l="1"/>
  <c r="C7" i="6"/>
  <c r="F10" i="5"/>
  <c r="F10" i="4"/>
  <c r="F10" i="3"/>
  <c r="F10" i="2"/>
  <c r="F10" i="1"/>
  <c r="G13" i="6" l="1"/>
  <c r="G15" i="6" s="1"/>
  <c r="C10" i="6"/>
</calcChain>
</file>

<file path=xl/sharedStrings.xml><?xml version="1.0" encoding="utf-8"?>
<sst xmlns="http://schemas.openxmlformats.org/spreadsheetml/2006/main" count="133" uniqueCount="35">
  <si>
    <r>
      <t>ITENS</t>
    </r>
    <r>
      <rPr>
        <sz val="6"/>
        <color rgb="FF000000"/>
        <rFont val="Calibri"/>
        <family val="2"/>
      </rPr>
      <t> </t>
    </r>
  </si>
  <si>
    <r>
      <t>DESCRIÇÃO</t>
    </r>
    <r>
      <rPr>
        <sz val="6"/>
        <color rgb="FF000000"/>
        <rFont val="Calibri"/>
        <family val="2"/>
      </rPr>
      <t> </t>
    </r>
  </si>
  <si>
    <r>
      <t>UND</t>
    </r>
    <r>
      <rPr>
        <sz val="6"/>
        <color rgb="FF000000"/>
        <rFont val="Calibri"/>
        <family val="2"/>
      </rPr>
      <t> </t>
    </r>
  </si>
  <si>
    <r>
      <t>QUANT.</t>
    </r>
    <r>
      <rPr>
        <sz val="6"/>
        <color rgb="FF000000"/>
        <rFont val="Calibri"/>
        <family val="2"/>
      </rPr>
      <t> </t>
    </r>
  </si>
  <si>
    <r>
      <t>PREÇO </t>
    </r>
    <r>
      <rPr>
        <sz val="6"/>
        <color rgb="FF000000"/>
        <rFont val="Calibri"/>
        <family val="2"/>
      </rPr>
      <t> </t>
    </r>
  </si>
  <si>
    <t>VALOR</t>
  </si>
  <si>
    <r>
      <t>UNITÁRIIO</t>
    </r>
    <r>
      <rPr>
        <sz val="6"/>
        <color rgb="FF000000"/>
        <rFont val="Calibri"/>
        <family val="2"/>
      </rPr>
      <t> </t>
    </r>
  </si>
  <si>
    <r>
      <t>1.0</t>
    </r>
    <r>
      <rPr>
        <sz val="6"/>
        <color rgb="FF000000"/>
        <rFont val="Calibri"/>
        <family val="2"/>
      </rPr>
      <t> </t>
    </r>
  </si>
  <si>
    <t>MOBILIZAÇÃO</t>
  </si>
  <si>
    <t>1.1 </t>
  </si>
  <si>
    <t>km</t>
  </si>
  <si>
    <t>2.0</t>
  </si>
  <si>
    <t>LEVNTAMENTO CADASTRAL TERRITORIAL</t>
  </si>
  <si>
    <t>hectares </t>
  </si>
  <si>
    <t>2.2</t>
  </si>
  <si>
    <t>UNID </t>
  </si>
  <si>
    <t>2.3</t>
  </si>
  <si>
    <t>2.4</t>
  </si>
  <si>
    <t>unid </t>
  </si>
  <si>
    <t>CUSTO</t>
  </si>
  <si>
    <t>MARCOS</t>
  </si>
  <si>
    <t>DESPESAS TOTAL</t>
  </si>
  <si>
    <t>DESPACHANTE</t>
  </si>
  <si>
    <t>RESTANTE</t>
  </si>
  <si>
    <t>ITENS</t>
  </si>
  <si>
    <t>PROPRIEDADE</t>
  </si>
  <si>
    <t>PREÇO</t>
  </si>
  <si>
    <t>DESPESAS</t>
  </si>
  <si>
    <t>VIZINHO DE MAURÍCIO</t>
  </si>
  <si>
    <t>MALTA 4</t>
  </si>
  <si>
    <t>MALTA 0</t>
  </si>
  <si>
    <t>MALTA 7</t>
  </si>
  <si>
    <t>MALTA 6</t>
  </si>
  <si>
    <t>TOTAL</t>
  </si>
  <si>
    <t>ESCRITÓRIO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</si>
</sst>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"/>
      <color rgb="FF000000"/>
      <name val="Calibri"/>
      <family val="2"/>
    </font>
    <font>
      <sz val="6"/>
      <color rgb="FF000000"/>
      <name val="Calibri"/>
      <family val="2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5" fillId="3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justify" vertical="center" wrapText="1"/>
    </xf>
    <xf numFmtId="44" fontId="4" fillId="0" borderId="12" xfId="1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left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44" fontId="3" fillId="2" borderId="1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4" fontId="0" fillId="0" borderId="0" xfId="0" applyNumberFormat="1"/>
    <xf numFmtId="44" fontId="2" fillId="0" borderId="0" xfId="0" applyNumberFormat="1" applyFont="1"/>
    <xf numFmtId="44" fontId="0" fillId="4" borderId="0" xfId="0" applyNumberFormat="1" applyFill="1"/>
    <xf numFmtId="44" fontId="3" fillId="4" borderId="16" xfId="0" applyNumberFormat="1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5" borderId="0" xfId="0" applyFill="1"/>
    <xf numFmtId="0" fontId="2" fillId="5" borderId="0" xfId="0" applyFont="1" applyFill="1" applyAlignment="1">
      <alignment horizontal="center"/>
    </xf>
    <xf numFmtId="44" fontId="2" fillId="5" borderId="0" xfId="0" applyNumberFormat="1" applyFont="1" applyFill="1"/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e16e4d501a0b833/Documentos/OR&#199;AMENTO%20-ITABORA&#205;.xlsx" TargetMode="External"/><Relationship Id="rId1" Type="http://schemas.openxmlformats.org/officeDocument/2006/relationships/externalLinkPath" Target="/6e16e4d501a0b833/Documentos/OR&#199;AMENTO%20-ITABORA&#2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DADE 12"/>
      <sheetName val="CAMPO"/>
      <sheetName val="MALTA 9"/>
      <sheetName val="JOSIAS"/>
      <sheetName val="VÁLERIA"/>
      <sheetName val="CERCADO DE DONA NENA"/>
      <sheetName val="ZÉ DO GÁS"/>
      <sheetName val="PLANILHA TOTAL"/>
    </sheetNames>
    <sheetDataSet>
      <sheetData sheetId="0">
        <row r="4">
          <cell r="B4" t="str">
            <v>Mobilização de equipamentos e pessoas para realização do levantamento para adquação do levantamento para atender as especificações do Manual de Georreferenciamento (MTGIR, 2022) </v>
          </cell>
        </row>
        <row r="6">
          <cell r="B6" t="str">
            <v>Serviços de campo  com o Registro de ART junto ao CREA, Honorários de responsabilidade técnica e consultoria de profissional habilitado e credenciado no INCRA para medição e Georreferenciamento dos vértices definidores do perímetro total conforme estabelece o Manual Técnico de Georrferenciamendo Imóveis Rurais 2022.</v>
          </cell>
        </row>
        <row r="7">
          <cell r="B7" t="str">
            <v>Confecção e Implantação  de Marcos e plaquetas Padrão INCRA. </v>
          </cell>
        </row>
        <row r="8">
          <cell r="B8" t="str">
            <v>Serviços de Gabinete: Processamento de Dados GNSS  e analise de dados, elaboração de planilhas eletrônicas, relatórios, cálculos, criação de Requerimentos no SIGEF</v>
          </cell>
        </row>
        <row r="9">
          <cell r="B9" t="str">
            <v>Serviço de Gabinete: Elaboração de peças técnicas para subsidiar o processo de usocapião  como:  Elaboração de plantas Topográficas em CAD e calculos necessários com impressão em formato ABNT em 3 vias com a elaboração do memorial descritivo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AE8CB-C231-4AF6-9A35-BCC1BB1CB08B}">
  <sheetPr>
    <tabColor rgb="FFFFC000"/>
  </sheetPr>
  <dimension ref="A1:J12"/>
  <sheetViews>
    <sheetView topLeftCell="A5" zoomScale="148" zoomScaleNormal="148" workbookViewId="0">
      <selection activeCell="G9" sqref="G9:J12"/>
    </sheetView>
  </sheetViews>
  <sheetFormatPr defaultRowHeight="14.45"/>
  <cols>
    <col min="1" max="1" width="10.7109375" customWidth="1"/>
    <col min="2" max="2" width="35.28515625" customWidth="1"/>
    <col min="6" max="6" width="10.28515625" customWidth="1"/>
    <col min="7" max="7" width="12" bestFit="1" customWidth="1"/>
    <col min="8" max="8" width="10.42578125" bestFit="1" customWidth="1"/>
    <col min="9" max="10" width="12" customWidth="1"/>
  </cols>
  <sheetData>
    <row r="1" spans="1:10">
      <c r="A1" s="28" t="s">
        <v>0</v>
      </c>
      <c r="B1" s="30" t="s">
        <v>1</v>
      </c>
      <c r="C1" s="30" t="s">
        <v>2</v>
      </c>
      <c r="D1" s="30" t="s">
        <v>3</v>
      </c>
      <c r="E1" s="1" t="s">
        <v>4</v>
      </c>
      <c r="F1" s="32" t="s">
        <v>5</v>
      </c>
    </row>
    <row r="2" spans="1:10" ht="15" thickBot="1">
      <c r="A2" s="29"/>
      <c r="B2" s="31"/>
      <c r="C2" s="31"/>
      <c r="D2" s="31"/>
      <c r="E2" s="2" t="s">
        <v>6</v>
      </c>
      <c r="F2" s="33"/>
    </row>
    <row r="3" spans="1:10" ht="15.6">
      <c r="A3" s="3" t="s">
        <v>7</v>
      </c>
      <c r="B3" s="4" t="s">
        <v>8</v>
      </c>
      <c r="C3" s="5"/>
      <c r="D3" s="5"/>
      <c r="E3" s="5"/>
      <c r="F3" s="6"/>
    </row>
    <row r="4" spans="1:10" ht="31.15">
      <c r="A4" s="7" t="s">
        <v>9</v>
      </c>
      <c r="B4" s="8" t="str">
        <f>'[1]UNIDADE 12'!B4</f>
        <v>Mobilização de equipamentos e pessoas para realização do levantamento para adquação do levantamento para atender as especificações do Manual de Georreferenciamento (MTGIR, 2022) </v>
      </c>
      <c r="C4" s="7" t="s">
        <v>10</v>
      </c>
      <c r="D4" s="7">
        <v>10</v>
      </c>
      <c r="E4" s="9">
        <f>60*1.1</f>
        <v>66</v>
      </c>
      <c r="F4" s="9">
        <f>D4*E4</f>
        <v>660</v>
      </c>
    </row>
    <row r="5" spans="1:10" ht="15.6">
      <c r="A5" s="10" t="s">
        <v>11</v>
      </c>
      <c r="B5" s="11" t="s">
        <v>12</v>
      </c>
      <c r="C5" s="12"/>
      <c r="D5" s="12"/>
      <c r="E5" s="12"/>
      <c r="F5" s="12"/>
    </row>
    <row r="6" spans="1:10" ht="46.9">
      <c r="A6" s="7">
        <v>2.1</v>
      </c>
      <c r="B6" s="8" t="str">
        <f>'[1]UNIDADE 12'!B6</f>
        <v>Serviços de campo  com o Registro de ART junto ao CREA, Honorários de responsabilidade técnica e consultoria de profissional habilitado e credenciado no INCRA para medição e Georreferenciamento dos vértices definidores do perímetro total conforme estabelece o Manual Técnico de Georrferenciamendo Imóveis Rurais 2022.</v>
      </c>
      <c r="C6" s="7" t="s">
        <v>13</v>
      </c>
      <c r="D6" s="7">
        <v>59.73</v>
      </c>
      <c r="E6" s="9">
        <v>50</v>
      </c>
      <c r="F6" s="9">
        <f t="shared" ref="F6:F9" si="0">D6*E6</f>
        <v>2986.5</v>
      </c>
    </row>
    <row r="7" spans="1:10">
      <c r="A7" s="7" t="s">
        <v>14</v>
      </c>
      <c r="B7" s="8" t="str">
        <f>'[1]UNIDADE 12'!B7</f>
        <v>Confecção e Implantação  de Marcos e plaquetas Padrão INCRA. </v>
      </c>
      <c r="C7" s="7" t="s">
        <v>15</v>
      </c>
      <c r="D7" s="7">
        <v>15</v>
      </c>
      <c r="E7" s="9">
        <f>25*1.1</f>
        <v>27.500000000000004</v>
      </c>
      <c r="F7" s="9">
        <f t="shared" si="0"/>
        <v>412.50000000000006</v>
      </c>
    </row>
    <row r="8" spans="1:10" ht="23.45">
      <c r="A8" s="7" t="s">
        <v>16</v>
      </c>
      <c r="B8" s="8" t="str">
        <f>'[1]UNIDADE 12'!B8</f>
        <v>Serviços de Gabinete: Processamento de Dados GNSS  e analise de dados, elaboração de planilhas eletrônicas, relatórios, cálculos, criação de Requerimentos no SIGEF</v>
      </c>
      <c r="C8" s="7" t="s">
        <v>13</v>
      </c>
      <c r="D8" s="7">
        <v>59.73</v>
      </c>
      <c r="E8" s="9">
        <f>10*1.1</f>
        <v>11</v>
      </c>
      <c r="F8" s="9">
        <f t="shared" si="0"/>
        <v>657.03</v>
      </c>
    </row>
    <row r="9" spans="1:10" ht="31.15">
      <c r="A9" s="7" t="s">
        <v>17</v>
      </c>
      <c r="B9" s="13" t="str">
        <f>'[1]UNIDADE 12'!B9</f>
        <v>Serviço de Gabinete: Elaboração de peças técnicas para subsidiar o processo de usocapião  como:  Elaboração de plantas Topográficas em CAD e calculos necessários com impressão em formato ABNT em 3 vias com a elaboração do memorial descritivo</v>
      </c>
      <c r="C9" s="7" t="s">
        <v>18</v>
      </c>
      <c r="D9" s="7">
        <v>5</v>
      </c>
      <c r="E9" s="9">
        <f>15*1.1</f>
        <v>16.5</v>
      </c>
      <c r="F9" s="9">
        <f t="shared" si="0"/>
        <v>82.5</v>
      </c>
      <c r="G9" s="7" t="s">
        <v>19</v>
      </c>
      <c r="H9" s="7" t="s">
        <v>20</v>
      </c>
      <c r="I9" s="7" t="s">
        <v>21</v>
      </c>
      <c r="J9" s="7" t="s">
        <v>22</v>
      </c>
    </row>
    <row r="10" spans="1:10" ht="15.6">
      <c r="A10" s="14"/>
      <c r="B10" s="15"/>
      <c r="C10" s="16"/>
      <c r="D10" s="16"/>
      <c r="E10" s="17"/>
      <c r="F10" s="18">
        <f>SUM(F4:F9)</f>
        <v>4798.53</v>
      </c>
      <c r="G10" s="23">
        <v>1200</v>
      </c>
      <c r="H10" s="23">
        <v>450</v>
      </c>
      <c r="I10" s="23">
        <f>SUM(G10:H10)</f>
        <v>1650</v>
      </c>
      <c r="J10" s="23">
        <f>F10*0.1</f>
        <v>479.85300000000001</v>
      </c>
    </row>
    <row r="12" spans="1:10">
      <c r="F12" t="s">
        <v>23</v>
      </c>
      <c r="G12" s="22">
        <f>F10-I10-J10</f>
        <v>2668.6769999999997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62CF0-E10D-45CF-B37E-51D6B0CD6BEA}">
  <sheetPr>
    <tabColor rgb="FFFFC000"/>
  </sheetPr>
  <dimension ref="A1:J12"/>
  <sheetViews>
    <sheetView topLeftCell="A3" zoomScale="138" zoomScaleNormal="138" workbookViewId="0">
      <selection activeCell="G9" sqref="G9:J12"/>
    </sheetView>
  </sheetViews>
  <sheetFormatPr defaultRowHeight="14.45"/>
  <cols>
    <col min="1" max="1" width="10.7109375" customWidth="1"/>
    <col min="2" max="2" width="35.28515625" customWidth="1"/>
    <col min="7" max="7" width="12.140625" bestFit="1" customWidth="1"/>
  </cols>
  <sheetData>
    <row r="1" spans="1:10">
      <c r="A1" s="28" t="s">
        <v>0</v>
      </c>
      <c r="B1" s="30" t="s">
        <v>1</v>
      </c>
      <c r="C1" s="30" t="s">
        <v>2</v>
      </c>
      <c r="D1" s="30" t="s">
        <v>3</v>
      </c>
      <c r="E1" s="1" t="s">
        <v>4</v>
      </c>
      <c r="F1" s="32" t="s">
        <v>5</v>
      </c>
    </row>
    <row r="2" spans="1:10" ht="15" thickBot="1">
      <c r="A2" s="29"/>
      <c r="B2" s="31"/>
      <c r="C2" s="31"/>
      <c r="D2" s="31"/>
      <c r="E2" s="2" t="s">
        <v>6</v>
      </c>
      <c r="F2" s="33"/>
    </row>
    <row r="3" spans="1:10" ht="15.6">
      <c r="A3" s="3" t="s">
        <v>7</v>
      </c>
      <c r="B3" s="4" t="s">
        <v>8</v>
      </c>
      <c r="C3" s="5"/>
      <c r="D3" s="5"/>
      <c r="E3" s="5"/>
      <c r="F3" s="6"/>
    </row>
    <row r="4" spans="1:10" ht="31.15">
      <c r="A4" s="7" t="s">
        <v>9</v>
      </c>
      <c r="B4" s="8" t="str">
        <f>'[1]UNIDADE 12'!B4</f>
        <v>Mobilização de equipamentos e pessoas para realização do levantamento para adquação do levantamento para atender as especificações do Manual de Georreferenciamento (MTGIR, 2022) </v>
      </c>
      <c r="C4" s="7" t="s">
        <v>10</v>
      </c>
      <c r="D4" s="7">
        <v>10</v>
      </c>
      <c r="E4" s="9">
        <f>60*1.1</f>
        <v>66</v>
      </c>
      <c r="F4" s="9">
        <f>D4*E4</f>
        <v>660</v>
      </c>
    </row>
    <row r="5" spans="1:10" ht="15.6">
      <c r="A5" s="10" t="s">
        <v>11</v>
      </c>
      <c r="B5" s="11" t="s">
        <v>12</v>
      </c>
      <c r="C5" s="12"/>
      <c r="D5" s="12"/>
      <c r="E5" s="12"/>
      <c r="F5" s="12"/>
    </row>
    <row r="6" spans="1:10" ht="46.9">
      <c r="A6" s="7">
        <v>2.1</v>
      </c>
      <c r="B6" s="8" t="str">
        <f>'[1]UNIDADE 12'!B6</f>
        <v>Serviços de campo  com o Registro de ART junto ao CREA, Honorários de responsabilidade técnica e consultoria de profissional habilitado e credenciado no INCRA para medição e Georreferenciamento dos vértices definidores do perímetro total conforme estabelece o Manual Técnico de Georrferenciamendo Imóveis Rurais 2022.</v>
      </c>
      <c r="C6" s="7" t="s">
        <v>13</v>
      </c>
      <c r="D6" s="7">
        <v>51.2</v>
      </c>
      <c r="E6" s="9">
        <v>50</v>
      </c>
      <c r="F6" s="9">
        <f t="shared" ref="F6:F9" si="0">D6*E6</f>
        <v>2560</v>
      </c>
    </row>
    <row r="7" spans="1:10">
      <c r="A7" s="7" t="s">
        <v>14</v>
      </c>
      <c r="B7" s="8" t="str">
        <f>'[1]UNIDADE 12'!B7</f>
        <v>Confecção e Implantação  de Marcos e plaquetas Padrão INCRA. </v>
      </c>
      <c r="C7" s="7" t="s">
        <v>15</v>
      </c>
      <c r="D7" s="7">
        <v>15</v>
      </c>
      <c r="E7" s="9">
        <f>25*1.1</f>
        <v>27.500000000000004</v>
      </c>
      <c r="F7" s="9">
        <f t="shared" si="0"/>
        <v>412.50000000000006</v>
      </c>
    </row>
    <row r="8" spans="1:10" ht="23.45">
      <c r="A8" s="7" t="s">
        <v>16</v>
      </c>
      <c r="B8" s="8" t="str">
        <f>'[1]UNIDADE 12'!B8</f>
        <v>Serviços de Gabinete: Processamento de Dados GNSS  e analise de dados, elaboração de planilhas eletrônicas, relatórios, cálculos, criação de Requerimentos no SIGEF</v>
      </c>
      <c r="C8" s="7" t="s">
        <v>13</v>
      </c>
      <c r="D8" s="7">
        <v>51.2</v>
      </c>
      <c r="E8" s="9">
        <f>10*1.1</f>
        <v>11</v>
      </c>
      <c r="F8" s="9">
        <f t="shared" si="0"/>
        <v>563.20000000000005</v>
      </c>
    </row>
    <row r="9" spans="1:10" ht="31.15">
      <c r="A9" s="7" t="s">
        <v>17</v>
      </c>
      <c r="B9" s="13" t="str">
        <f>'[1]UNIDADE 12'!B9</f>
        <v>Serviço de Gabinete: Elaboração de peças técnicas para subsidiar o processo de usocapião  como:  Elaboração de plantas Topográficas em CAD e calculos necessários com impressão em formato ABNT em 3 vias com a elaboração do memorial descritivo</v>
      </c>
      <c r="C9" s="7" t="s">
        <v>18</v>
      </c>
      <c r="D9" s="7">
        <v>5</v>
      </c>
      <c r="E9" s="9">
        <f>15*1.1</f>
        <v>16.5</v>
      </c>
      <c r="F9" s="9">
        <f t="shared" si="0"/>
        <v>82.5</v>
      </c>
      <c r="G9" s="7" t="s">
        <v>19</v>
      </c>
      <c r="H9" s="7" t="s">
        <v>20</v>
      </c>
      <c r="I9" s="7" t="s">
        <v>21</v>
      </c>
      <c r="J9" s="7" t="s">
        <v>22</v>
      </c>
    </row>
    <row r="10" spans="1:10" ht="15.6">
      <c r="A10" s="14"/>
      <c r="B10" s="15"/>
      <c r="C10" s="16"/>
      <c r="D10" s="16"/>
      <c r="E10" s="17"/>
      <c r="F10" s="18">
        <f>SUM(F4:F9)</f>
        <v>4278.2</v>
      </c>
      <c r="G10" s="23">
        <v>1600</v>
      </c>
      <c r="H10" s="23">
        <v>450</v>
      </c>
      <c r="I10" s="23">
        <f>SUM(G10:H10)</f>
        <v>2050</v>
      </c>
      <c r="J10" s="23">
        <f>F10*0.1</f>
        <v>427.82</v>
      </c>
    </row>
    <row r="12" spans="1:10">
      <c r="G12" s="22">
        <f>F10-I10-J10</f>
        <v>1800.3799999999999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B2EB-F301-427E-8229-CF1B48D4CD89}">
  <sheetPr>
    <tabColor rgb="FFFFC000"/>
  </sheetPr>
  <dimension ref="A1:J12"/>
  <sheetViews>
    <sheetView topLeftCell="A5" zoomScale="138" zoomScaleNormal="138" workbookViewId="0">
      <selection activeCell="G9" sqref="G9:J12"/>
    </sheetView>
  </sheetViews>
  <sheetFormatPr defaultRowHeight="14.45"/>
  <cols>
    <col min="1" max="1" width="10.7109375" customWidth="1"/>
    <col min="2" max="2" width="35.28515625" customWidth="1"/>
    <col min="7" max="7" width="10.5703125" bestFit="1" customWidth="1"/>
  </cols>
  <sheetData>
    <row r="1" spans="1:10">
      <c r="A1" s="28" t="s">
        <v>0</v>
      </c>
      <c r="B1" s="30" t="s">
        <v>1</v>
      </c>
      <c r="C1" s="30" t="s">
        <v>2</v>
      </c>
      <c r="D1" s="30" t="s">
        <v>3</v>
      </c>
      <c r="E1" s="1" t="s">
        <v>4</v>
      </c>
      <c r="F1" s="32" t="s">
        <v>5</v>
      </c>
    </row>
    <row r="2" spans="1:10" ht="15" thickBot="1">
      <c r="A2" s="29"/>
      <c r="B2" s="31"/>
      <c r="C2" s="31"/>
      <c r="D2" s="31"/>
      <c r="E2" s="2" t="s">
        <v>6</v>
      </c>
      <c r="F2" s="33"/>
    </row>
    <row r="3" spans="1:10" ht="15.6">
      <c r="A3" s="3" t="s">
        <v>7</v>
      </c>
      <c r="B3" s="4" t="s">
        <v>8</v>
      </c>
      <c r="C3" s="5"/>
      <c r="D3" s="5"/>
      <c r="E3" s="5"/>
      <c r="F3" s="6"/>
    </row>
    <row r="4" spans="1:10" ht="31.15">
      <c r="A4" s="7" t="s">
        <v>9</v>
      </c>
      <c r="B4" s="8" t="str">
        <f>'[1]UNIDADE 12'!B4</f>
        <v>Mobilização de equipamentos e pessoas para realização do levantamento para adquação do levantamento para atender as especificações do Manual de Georreferenciamento (MTGIR, 2022) </v>
      </c>
      <c r="C4" s="7" t="s">
        <v>10</v>
      </c>
      <c r="D4" s="7">
        <v>10</v>
      </c>
      <c r="E4" s="9">
        <f>60*1.1</f>
        <v>66</v>
      </c>
      <c r="F4" s="9">
        <f>D4*E4</f>
        <v>660</v>
      </c>
    </row>
    <row r="5" spans="1:10" ht="15.6">
      <c r="A5" s="10" t="s">
        <v>11</v>
      </c>
      <c r="B5" s="11" t="s">
        <v>12</v>
      </c>
      <c r="C5" s="12"/>
      <c r="D5" s="12"/>
      <c r="E5" s="12"/>
      <c r="F5" s="12"/>
    </row>
    <row r="6" spans="1:10" ht="46.9">
      <c r="A6" s="7">
        <v>2.1</v>
      </c>
      <c r="B6" s="8" t="str">
        <f>'[1]UNIDADE 12'!B6</f>
        <v>Serviços de campo  com o Registro de ART junto ao CREA, Honorários de responsabilidade técnica e consultoria de profissional habilitado e credenciado no INCRA para medição e Georreferenciamento dos vértices definidores do perímetro total conforme estabelece o Manual Técnico de Georrferenciamendo Imóveis Rurais 2022.</v>
      </c>
      <c r="C6" s="7" t="s">
        <v>13</v>
      </c>
      <c r="D6" s="7">
        <v>6.98</v>
      </c>
      <c r="E6" s="9">
        <v>50</v>
      </c>
      <c r="F6" s="9">
        <f t="shared" ref="F6:F9" si="0">D6*E6</f>
        <v>349</v>
      </c>
    </row>
    <row r="7" spans="1:10">
      <c r="A7" s="7" t="s">
        <v>14</v>
      </c>
      <c r="B7" s="8" t="str">
        <f>'[1]UNIDADE 12'!B7</f>
        <v>Confecção e Implantação  de Marcos e plaquetas Padrão INCRA. </v>
      </c>
      <c r="C7" s="7" t="s">
        <v>15</v>
      </c>
      <c r="D7" s="7">
        <v>5</v>
      </c>
      <c r="E7" s="9">
        <f>25*1.1</f>
        <v>27.500000000000004</v>
      </c>
      <c r="F7" s="9">
        <f t="shared" si="0"/>
        <v>137.50000000000003</v>
      </c>
    </row>
    <row r="8" spans="1:10" ht="23.45">
      <c r="A8" s="7" t="s">
        <v>16</v>
      </c>
      <c r="B8" s="8" t="str">
        <f>'[1]UNIDADE 12'!B8</f>
        <v>Serviços de Gabinete: Processamento de Dados GNSS  e analise de dados, elaboração de planilhas eletrônicas, relatórios, cálculos, criação de Requerimentos no SIGEF</v>
      </c>
      <c r="C8" s="7" t="s">
        <v>13</v>
      </c>
      <c r="D8" s="7">
        <v>6.98</v>
      </c>
      <c r="E8" s="9">
        <f>10*1.1</f>
        <v>11</v>
      </c>
      <c r="F8" s="9">
        <f t="shared" si="0"/>
        <v>76.78</v>
      </c>
    </row>
    <row r="9" spans="1:10" ht="31.15">
      <c r="A9" s="7" t="s">
        <v>17</v>
      </c>
      <c r="B9" s="13" t="str">
        <f>'[1]UNIDADE 12'!B9</f>
        <v>Serviço de Gabinete: Elaboração de peças técnicas para subsidiar o processo de usocapião  como:  Elaboração de plantas Topográficas em CAD e calculos necessários com impressão em formato ABNT em 3 vias com a elaboração do memorial descritivo</v>
      </c>
      <c r="C9" s="7" t="s">
        <v>18</v>
      </c>
      <c r="D9" s="7">
        <v>5</v>
      </c>
      <c r="E9" s="9">
        <f>15*1.1</f>
        <v>16.5</v>
      </c>
      <c r="F9" s="9">
        <f t="shared" si="0"/>
        <v>82.5</v>
      </c>
      <c r="G9" s="7" t="s">
        <v>19</v>
      </c>
      <c r="H9" s="7" t="s">
        <v>20</v>
      </c>
      <c r="I9" s="7" t="s">
        <v>21</v>
      </c>
      <c r="J9" s="7" t="s">
        <v>22</v>
      </c>
    </row>
    <row r="10" spans="1:10" ht="15.6">
      <c r="A10" s="14"/>
      <c r="B10" s="15"/>
      <c r="C10" s="16"/>
      <c r="D10" s="16"/>
      <c r="E10" s="17"/>
      <c r="F10" s="18">
        <f>SUM(F4:F9)</f>
        <v>1305.78</v>
      </c>
      <c r="G10" s="23">
        <v>500</v>
      </c>
      <c r="H10" s="23">
        <v>450</v>
      </c>
      <c r="I10" s="23">
        <f>SUM(G10:H10)</f>
        <v>950</v>
      </c>
      <c r="J10" s="23">
        <f>F10*0.1</f>
        <v>130.578</v>
      </c>
    </row>
    <row r="12" spans="1:10">
      <c r="G12" s="22">
        <f>F10-I10-J10</f>
        <v>225.20199999999997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95141-4B6B-4DD4-BA17-2F586F49A30A}">
  <sheetPr>
    <tabColor rgb="FFFFC000"/>
  </sheetPr>
  <dimension ref="A1:J12"/>
  <sheetViews>
    <sheetView topLeftCell="B6" zoomScale="177" zoomScaleNormal="177" workbookViewId="0">
      <selection activeCell="G9" sqref="G9:J12"/>
    </sheetView>
  </sheetViews>
  <sheetFormatPr defaultRowHeight="14.45"/>
  <cols>
    <col min="1" max="1" width="10.7109375" customWidth="1"/>
    <col min="2" max="2" width="35.28515625" customWidth="1"/>
    <col min="7" max="7" width="11.85546875" bestFit="1" customWidth="1"/>
  </cols>
  <sheetData>
    <row r="1" spans="1:10">
      <c r="A1" s="28" t="s">
        <v>0</v>
      </c>
      <c r="B1" s="30" t="s">
        <v>1</v>
      </c>
      <c r="C1" s="30" t="s">
        <v>2</v>
      </c>
      <c r="D1" s="30" t="s">
        <v>3</v>
      </c>
      <c r="E1" s="1" t="s">
        <v>4</v>
      </c>
      <c r="F1" s="32" t="s">
        <v>5</v>
      </c>
    </row>
    <row r="2" spans="1:10" ht="15" thickBot="1">
      <c r="A2" s="29"/>
      <c r="B2" s="31"/>
      <c r="C2" s="31"/>
      <c r="D2" s="31"/>
      <c r="E2" s="2" t="s">
        <v>6</v>
      </c>
      <c r="F2" s="33"/>
    </row>
    <row r="3" spans="1:10" ht="15.6">
      <c r="A3" s="3" t="s">
        <v>7</v>
      </c>
      <c r="B3" s="4" t="s">
        <v>8</v>
      </c>
      <c r="C3" s="5"/>
      <c r="D3" s="5"/>
      <c r="E3" s="5"/>
      <c r="F3" s="6"/>
    </row>
    <row r="4" spans="1:10" ht="31.15">
      <c r="A4" s="7" t="s">
        <v>9</v>
      </c>
      <c r="B4" s="8" t="str">
        <f>'[1]UNIDADE 12'!B4</f>
        <v>Mobilização de equipamentos e pessoas para realização do levantamento para adquação do levantamento para atender as especificações do Manual de Georreferenciamento (MTGIR, 2022) </v>
      </c>
      <c r="C4" s="7" t="s">
        <v>10</v>
      </c>
      <c r="D4" s="7">
        <v>10</v>
      </c>
      <c r="E4" s="9">
        <f>60*1.1</f>
        <v>66</v>
      </c>
      <c r="F4" s="9">
        <f>D4*E4</f>
        <v>660</v>
      </c>
    </row>
    <row r="5" spans="1:10" ht="15.6">
      <c r="A5" s="10" t="s">
        <v>11</v>
      </c>
      <c r="B5" s="11" t="s">
        <v>12</v>
      </c>
      <c r="C5" s="12"/>
      <c r="D5" s="12"/>
      <c r="E5" s="12"/>
      <c r="F5" s="12"/>
    </row>
    <row r="6" spans="1:10" ht="46.9">
      <c r="A6" s="7">
        <v>2.1</v>
      </c>
      <c r="B6" s="8" t="str">
        <f>'[1]UNIDADE 12'!B6</f>
        <v>Serviços de campo  com o Registro de ART junto ao CREA, Honorários de responsabilidade técnica e consultoria de profissional habilitado e credenciado no INCRA para medição e Georreferenciamento dos vértices definidores do perímetro total conforme estabelece o Manual Técnico de Georrferenciamendo Imóveis Rurais 2022.</v>
      </c>
      <c r="C6" s="7" t="s">
        <v>13</v>
      </c>
      <c r="D6" s="7">
        <v>39.700000000000003</v>
      </c>
      <c r="E6" s="9">
        <v>50</v>
      </c>
      <c r="F6" s="9">
        <f t="shared" ref="F6:F9" si="0">D6*E6</f>
        <v>1985.0000000000002</v>
      </c>
    </row>
    <row r="7" spans="1:10">
      <c r="A7" s="7" t="s">
        <v>14</v>
      </c>
      <c r="B7" s="8" t="str">
        <f>'[1]UNIDADE 12'!B7</f>
        <v>Confecção e Implantação  de Marcos e plaquetas Padrão INCRA. </v>
      </c>
      <c r="C7" s="7" t="s">
        <v>15</v>
      </c>
      <c r="D7" s="7">
        <v>10</v>
      </c>
      <c r="E7" s="9">
        <f>25*1.1</f>
        <v>27.500000000000004</v>
      </c>
      <c r="F7" s="9">
        <f t="shared" si="0"/>
        <v>275.00000000000006</v>
      </c>
    </row>
    <row r="8" spans="1:10" ht="23.45">
      <c r="A8" s="7" t="s">
        <v>16</v>
      </c>
      <c r="B8" s="8" t="str">
        <f>'[1]UNIDADE 12'!B8</f>
        <v>Serviços de Gabinete: Processamento de Dados GNSS  e analise de dados, elaboração de planilhas eletrônicas, relatórios, cálculos, criação de Requerimentos no SIGEF</v>
      </c>
      <c r="C8" s="7" t="s">
        <v>13</v>
      </c>
      <c r="D8" s="7">
        <v>39.700000000000003</v>
      </c>
      <c r="E8" s="9">
        <f>10*1.1</f>
        <v>11</v>
      </c>
      <c r="F8" s="9">
        <f t="shared" si="0"/>
        <v>436.70000000000005</v>
      </c>
    </row>
    <row r="9" spans="1:10" ht="31.15">
      <c r="A9" s="7" t="s">
        <v>17</v>
      </c>
      <c r="B9" s="13" t="str">
        <f>'[1]UNIDADE 12'!B9</f>
        <v>Serviço de Gabinete: Elaboração de peças técnicas para subsidiar o processo de usocapião  como:  Elaboração de plantas Topográficas em CAD e calculos necessários com impressão em formato ABNT em 3 vias com a elaboração do memorial descritivo</v>
      </c>
      <c r="C9" s="7" t="s">
        <v>18</v>
      </c>
      <c r="D9" s="7">
        <v>5</v>
      </c>
      <c r="E9" s="9">
        <f>15*1.1</f>
        <v>16.5</v>
      </c>
      <c r="F9" s="9">
        <f t="shared" si="0"/>
        <v>82.5</v>
      </c>
      <c r="G9" s="24" t="s">
        <v>19</v>
      </c>
      <c r="H9" s="24" t="s">
        <v>20</v>
      </c>
      <c r="I9" s="24" t="s">
        <v>21</v>
      </c>
      <c r="J9" s="24" t="s">
        <v>22</v>
      </c>
    </row>
    <row r="10" spans="1:10" ht="15.6">
      <c r="A10" s="14"/>
      <c r="B10" s="15"/>
      <c r="C10" s="16"/>
      <c r="D10" s="16"/>
      <c r="E10" s="17"/>
      <c r="F10" s="18">
        <f>SUM(F4:F9)</f>
        <v>3439.2</v>
      </c>
      <c r="G10" s="23">
        <v>1200</v>
      </c>
      <c r="H10" s="23">
        <v>450</v>
      </c>
      <c r="I10" s="23">
        <f>SUM(G10:H10)</f>
        <v>1650</v>
      </c>
      <c r="J10" s="23">
        <f>F10*0.1</f>
        <v>343.92</v>
      </c>
    </row>
    <row r="12" spans="1:10">
      <c r="G12" s="22">
        <f>F10-I10-J10</f>
        <v>1445.2799999999997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304F-9572-404E-B4E0-FA8139CA012A}">
  <sheetPr>
    <tabColor rgb="FFFFC000"/>
  </sheetPr>
  <dimension ref="A1:J12"/>
  <sheetViews>
    <sheetView topLeftCell="A3" zoomScale="146" zoomScaleNormal="146" workbookViewId="0">
      <selection activeCell="G14" sqref="G14"/>
    </sheetView>
  </sheetViews>
  <sheetFormatPr defaultRowHeight="14.45"/>
  <cols>
    <col min="1" max="1" width="10.7109375" customWidth="1"/>
    <col min="2" max="2" width="35.28515625" customWidth="1"/>
    <col min="7" max="7" width="12.28515625" bestFit="1" customWidth="1"/>
  </cols>
  <sheetData>
    <row r="1" spans="1:10">
      <c r="A1" s="28" t="s">
        <v>0</v>
      </c>
      <c r="B1" s="30" t="s">
        <v>1</v>
      </c>
      <c r="C1" s="30" t="s">
        <v>2</v>
      </c>
      <c r="D1" s="30" t="s">
        <v>3</v>
      </c>
      <c r="E1" s="1" t="s">
        <v>4</v>
      </c>
      <c r="F1" s="32" t="s">
        <v>5</v>
      </c>
    </row>
    <row r="2" spans="1:10" ht="15" thickBot="1">
      <c r="A2" s="29"/>
      <c r="B2" s="31"/>
      <c r="C2" s="31"/>
      <c r="D2" s="31"/>
      <c r="E2" s="2" t="s">
        <v>6</v>
      </c>
      <c r="F2" s="33"/>
    </row>
    <row r="3" spans="1:10" ht="15.6">
      <c r="A3" s="3" t="s">
        <v>7</v>
      </c>
      <c r="B3" s="4" t="s">
        <v>8</v>
      </c>
      <c r="C3" s="5"/>
      <c r="D3" s="5"/>
      <c r="E3" s="5"/>
      <c r="F3" s="6"/>
    </row>
    <row r="4" spans="1:10" ht="31.15">
      <c r="A4" s="7" t="s">
        <v>9</v>
      </c>
      <c r="B4" s="8" t="str">
        <f>'[1]UNIDADE 12'!B4</f>
        <v>Mobilização de equipamentos e pessoas para realização do levantamento para adquação do levantamento para atender as especificações do Manual de Georreferenciamento (MTGIR, 2022) </v>
      </c>
      <c r="C4" s="7" t="s">
        <v>10</v>
      </c>
      <c r="D4" s="7">
        <v>10</v>
      </c>
      <c r="E4" s="9">
        <f>60*1.1</f>
        <v>66</v>
      </c>
      <c r="F4" s="9">
        <f>D4*E4</f>
        <v>660</v>
      </c>
    </row>
    <row r="5" spans="1:10" ht="15.6">
      <c r="A5" s="10" t="s">
        <v>11</v>
      </c>
      <c r="B5" s="11" t="s">
        <v>12</v>
      </c>
      <c r="C5" s="12"/>
      <c r="D5" s="12"/>
      <c r="E5" s="12"/>
      <c r="F5" s="12"/>
    </row>
    <row r="6" spans="1:10" ht="46.9">
      <c r="A6" s="7">
        <v>2.1</v>
      </c>
      <c r="B6" s="8" t="str">
        <f>'[1]UNIDADE 12'!B6</f>
        <v>Serviços de campo  com o Registro de ART junto ao CREA, Honorários de responsabilidade técnica e consultoria de profissional habilitado e credenciado no INCRA para medição e Georreferenciamento dos vértices definidores do perímetro total conforme estabelece o Manual Técnico de Georrferenciamendo Imóveis Rurais 2022.</v>
      </c>
      <c r="C6" s="7" t="s">
        <v>13</v>
      </c>
      <c r="D6" s="7">
        <v>67.540000000000006</v>
      </c>
      <c r="E6" s="9">
        <v>50</v>
      </c>
      <c r="F6" s="9">
        <f t="shared" ref="F6:F9" si="0">D6*E6</f>
        <v>3377.0000000000005</v>
      </c>
    </row>
    <row r="7" spans="1:10">
      <c r="A7" s="7" t="s">
        <v>14</v>
      </c>
      <c r="B7" s="8" t="str">
        <f>'[1]UNIDADE 12'!B7</f>
        <v>Confecção e Implantação  de Marcos e plaquetas Padrão INCRA. </v>
      </c>
      <c r="C7" s="7" t="s">
        <v>15</v>
      </c>
      <c r="D7" s="7">
        <v>10</v>
      </c>
      <c r="E7" s="9">
        <f>25*1.1</f>
        <v>27.500000000000004</v>
      </c>
      <c r="F7" s="9">
        <f t="shared" si="0"/>
        <v>275.00000000000006</v>
      </c>
    </row>
    <row r="8" spans="1:10" ht="23.45">
      <c r="A8" s="7" t="s">
        <v>16</v>
      </c>
      <c r="B8" s="8" t="str">
        <f>'[1]UNIDADE 12'!B8</f>
        <v>Serviços de Gabinete: Processamento de Dados GNSS  e analise de dados, elaboração de planilhas eletrônicas, relatórios, cálculos, criação de Requerimentos no SIGEF</v>
      </c>
      <c r="C8" s="7" t="s">
        <v>13</v>
      </c>
      <c r="D8" s="7">
        <v>67.540000000000006</v>
      </c>
      <c r="E8" s="9">
        <f>10*1.1</f>
        <v>11</v>
      </c>
      <c r="F8" s="9">
        <f t="shared" si="0"/>
        <v>742.94</v>
      </c>
    </row>
    <row r="9" spans="1:10" ht="31.15">
      <c r="A9" s="7" t="s">
        <v>17</v>
      </c>
      <c r="B9" s="13" t="str">
        <f>'[1]UNIDADE 12'!B9</f>
        <v>Serviço de Gabinete: Elaboração de peças técnicas para subsidiar o processo de usocapião  como:  Elaboração de plantas Topográficas em CAD e calculos necessários com impressão em formato ABNT em 3 vias com a elaboração do memorial descritivo</v>
      </c>
      <c r="C9" s="7" t="s">
        <v>18</v>
      </c>
      <c r="D9" s="7">
        <v>5</v>
      </c>
      <c r="E9" s="9">
        <f>15*1.1</f>
        <v>16.5</v>
      </c>
      <c r="F9" s="9">
        <f t="shared" si="0"/>
        <v>82.5</v>
      </c>
      <c r="G9" s="24" t="s">
        <v>19</v>
      </c>
      <c r="H9" s="24" t="s">
        <v>20</v>
      </c>
      <c r="I9" s="24" t="s">
        <v>21</v>
      </c>
      <c r="J9" s="24" t="s">
        <v>22</v>
      </c>
    </row>
    <row r="10" spans="1:10" ht="15.6">
      <c r="A10" s="14"/>
      <c r="B10" s="15"/>
      <c r="C10" s="16"/>
      <c r="D10" s="16"/>
      <c r="E10" s="17"/>
      <c r="F10" s="18">
        <f>SUM(F4:F9)</f>
        <v>5137.4400000000005</v>
      </c>
      <c r="G10" s="23">
        <v>1800</v>
      </c>
      <c r="H10" s="23">
        <v>450</v>
      </c>
      <c r="I10" s="23">
        <f>SUM(G10:H10)</f>
        <v>2250</v>
      </c>
      <c r="J10" s="23">
        <f>F10*0.1</f>
        <v>513.74400000000003</v>
      </c>
    </row>
    <row r="12" spans="1:10">
      <c r="G12" s="22">
        <f>F10-I10-J10</f>
        <v>2373.6960000000004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690D-C1AB-4BAF-92F6-A46D58551F95}">
  <sheetPr>
    <tabColor rgb="FFFFFF00"/>
  </sheetPr>
  <dimension ref="A1:J15"/>
  <sheetViews>
    <sheetView tabSelected="1" workbookViewId="0">
      <selection activeCell="K5" sqref="K5"/>
    </sheetView>
  </sheetViews>
  <sheetFormatPr defaultRowHeight="14.45"/>
  <cols>
    <col min="2" max="2" width="23.85546875" customWidth="1"/>
    <col min="3" max="3" width="13.140625" bestFit="1" customWidth="1"/>
    <col min="4" max="4" width="13.140625" customWidth="1"/>
    <col min="5" max="5" width="13.5703125" bestFit="1" customWidth="1"/>
    <col min="7" max="7" width="14" bestFit="1" customWidth="1"/>
  </cols>
  <sheetData>
    <row r="1" spans="1:10">
      <c r="A1" s="26" t="s">
        <v>24</v>
      </c>
      <c r="B1" s="26" t="s">
        <v>25</v>
      </c>
      <c r="C1" s="26" t="s">
        <v>26</v>
      </c>
      <c r="D1" s="26" t="s">
        <v>27</v>
      </c>
      <c r="E1" s="26" t="s">
        <v>22</v>
      </c>
    </row>
    <row r="2" spans="1:10">
      <c r="A2" s="19">
        <v>1</v>
      </c>
      <c r="B2" t="s">
        <v>28</v>
      </c>
      <c r="C2" s="20">
        <f>'VÍZINHO DE MAURÍCIO'!F10</f>
        <v>4798.53</v>
      </c>
      <c r="D2" s="20">
        <f>'VÍZINHO DE MAURÍCIO'!I10</f>
        <v>1650</v>
      </c>
      <c r="E2" s="20">
        <f>C2*0.1</f>
        <v>479.85300000000001</v>
      </c>
    </row>
    <row r="3" spans="1:10">
      <c r="A3" s="19">
        <v>2</v>
      </c>
      <c r="B3" t="s">
        <v>29</v>
      </c>
      <c r="C3" s="20">
        <f>'MALTA 4'!F10</f>
        <v>4278.2</v>
      </c>
      <c r="D3" s="20">
        <f>'MALTA 4'!I10</f>
        <v>2050</v>
      </c>
      <c r="E3" s="20">
        <f t="shared" ref="E3:E6" si="0">C3*0.1</f>
        <v>427.82</v>
      </c>
    </row>
    <row r="4" spans="1:10">
      <c r="A4" s="19">
        <v>3</v>
      </c>
      <c r="B4" t="s">
        <v>30</v>
      </c>
      <c r="C4" s="20">
        <f>'MALTA 0'!F10</f>
        <v>1305.78</v>
      </c>
      <c r="D4" s="20">
        <f>'MALTA 0'!I10</f>
        <v>950</v>
      </c>
      <c r="E4" s="20">
        <f t="shared" si="0"/>
        <v>130.578</v>
      </c>
    </row>
    <row r="5" spans="1:10">
      <c r="A5" s="19">
        <v>4</v>
      </c>
      <c r="B5" t="s">
        <v>31</v>
      </c>
      <c r="C5" s="20">
        <f>'MALTA 7'!F10</f>
        <v>3439.2</v>
      </c>
      <c r="D5" s="20">
        <f>'MALTA 7'!I10</f>
        <v>1650</v>
      </c>
      <c r="E5" s="20">
        <f t="shared" si="0"/>
        <v>343.92</v>
      </c>
    </row>
    <row r="6" spans="1:10">
      <c r="A6" s="19">
        <v>5</v>
      </c>
      <c r="B6" t="s">
        <v>32</v>
      </c>
      <c r="C6" s="20">
        <f>'MALTA 6'!F10</f>
        <v>5137.4400000000005</v>
      </c>
      <c r="D6" s="20">
        <f>'MALTA 6'!I10</f>
        <v>2250</v>
      </c>
      <c r="E6" s="20">
        <f t="shared" si="0"/>
        <v>513.74400000000003</v>
      </c>
    </row>
    <row r="7" spans="1:10">
      <c r="A7" s="25"/>
      <c r="B7" s="26" t="s">
        <v>33</v>
      </c>
      <c r="C7" s="27">
        <f>SUM(C2:C6)</f>
        <v>18959.150000000001</v>
      </c>
      <c r="D7" s="27">
        <f>SUM(D2:D6)</f>
        <v>8550</v>
      </c>
      <c r="E7" s="27">
        <f>SUM(E2:E6)</f>
        <v>1895.915</v>
      </c>
    </row>
    <row r="10" spans="1:10" ht="1.9" customHeight="1">
      <c r="C10" s="22">
        <f>C7-E7</f>
        <v>17063.235000000001</v>
      </c>
      <c r="D10" s="22"/>
    </row>
    <row r="12" spans="1:10">
      <c r="B12" t="s">
        <v>34</v>
      </c>
    </row>
    <row r="13" spans="1:10">
      <c r="G13" s="21">
        <f>C7*1.15</f>
        <v>21803.022499999999</v>
      </c>
    </row>
    <row r="14" spans="1:10">
      <c r="G14" s="21">
        <v>29082.15</v>
      </c>
    </row>
    <row r="15" spans="1:10">
      <c r="G15" s="21">
        <f>SUM(G13:G14)</f>
        <v>50885.172500000001</v>
      </c>
      <c r="J15" s="2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Rodrigo Oliveira</cp:lastModifiedBy>
  <cp:revision/>
  <dcterms:created xsi:type="dcterms:W3CDTF">2023-12-04T09:53:57Z</dcterms:created>
  <dcterms:modified xsi:type="dcterms:W3CDTF">2023-12-20T16:28:32Z</dcterms:modified>
  <cp:category/>
  <cp:contentStatus/>
</cp:coreProperties>
</file>