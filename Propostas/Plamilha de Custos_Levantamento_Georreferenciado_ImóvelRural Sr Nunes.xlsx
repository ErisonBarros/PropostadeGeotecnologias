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78" documentId="8_{C85A513C-425F-49FB-A667-D01C79E2E204}" xr6:coauthVersionLast="47" xr6:coauthVersionMax="47" xr10:uidLastSave="{EDD70A18-E83D-43AB-9399-8DEF970C520C}"/>
  <bookViews>
    <workbookView xWindow="-108" yWindow="-108" windowWidth="23256" windowHeight="12456" xr2:uid="{BF1A5A34-7DC4-43AA-9767-2C716462EE5E}"/>
  </bookViews>
  <sheets>
    <sheet name="TOTAL" sheetId="10" r:id="rId1"/>
    <sheet name="Granja Aline" sheetId="1" r:id="rId2"/>
    <sheet name="Granja Chaparral " sheetId="2" r:id="rId3"/>
    <sheet name="Granja Três js " sheetId="3" r:id="rId4"/>
    <sheet name="Granja Calheiros" sheetId="4" r:id="rId5"/>
    <sheet name="Granja Goita" sheetId="5" r:id="rId6"/>
    <sheet name="Granja Santo Antôni" sheetId="6" r:id="rId7"/>
    <sheet name="Granja Pai filho" sheetId="7" r:id="rId8"/>
    <sheet name="GRANJA XARÉU" sheetId="8" r:id="rId9"/>
    <sheet name="Granja São Migue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0" l="1"/>
  <c r="D11" i="10"/>
  <c r="D3" i="10"/>
  <c r="D4" i="10"/>
  <c r="D5" i="10"/>
  <c r="D6" i="10"/>
  <c r="D7" i="10"/>
  <c r="D8" i="10"/>
  <c r="D9" i="10"/>
  <c r="D10" i="10"/>
  <c r="D2" i="10"/>
  <c r="E10" i="10"/>
  <c r="E9" i="10"/>
  <c r="E8" i="10"/>
  <c r="E7" i="10"/>
  <c r="E6" i="10"/>
  <c r="E5" i="10"/>
  <c r="E4" i="10"/>
  <c r="C10" i="10"/>
  <c r="C9" i="10"/>
  <c r="C8" i="10"/>
  <c r="C7" i="10"/>
  <c r="C6" i="10"/>
  <c r="C5" i="10"/>
  <c r="C4" i="10"/>
  <c r="E3" i="10"/>
  <c r="C3" i="10"/>
  <c r="E2" i="10"/>
  <c r="C2" i="10"/>
  <c r="F17" i="9"/>
  <c r="F7" i="9"/>
  <c r="F5" i="9"/>
  <c r="E3" i="9"/>
  <c r="F3" i="9" s="1"/>
  <c r="F8" i="9" s="1"/>
  <c r="H9" i="9" s="1"/>
  <c r="F17" i="8"/>
  <c r="F7" i="8"/>
  <c r="F5" i="8"/>
  <c r="E3" i="8"/>
  <c r="F3" i="8" s="1"/>
  <c r="F8" i="8" s="1"/>
  <c r="H9" i="8" s="1"/>
  <c r="F17" i="7"/>
  <c r="F7" i="7"/>
  <c r="F5" i="7"/>
  <c r="E3" i="7"/>
  <c r="F3" i="7" s="1"/>
  <c r="F17" i="6"/>
  <c r="F7" i="6"/>
  <c r="F5" i="6"/>
  <c r="F3" i="6"/>
  <c r="F8" i="6" s="1"/>
  <c r="H9" i="6" s="1"/>
  <c r="E3" i="6"/>
  <c r="F17" i="5"/>
  <c r="F7" i="5"/>
  <c r="F5" i="5"/>
  <c r="F3" i="5"/>
  <c r="E3" i="5"/>
  <c r="F7" i="4"/>
  <c r="F17" i="4"/>
  <c r="F5" i="4"/>
  <c r="F3" i="4"/>
  <c r="E3" i="4"/>
  <c r="F9" i="2"/>
  <c r="F17" i="3"/>
  <c r="F5" i="3"/>
  <c r="E3" i="3"/>
  <c r="F3" i="3" s="1"/>
  <c r="F8" i="3" s="1"/>
  <c r="F18" i="2"/>
  <c r="F5" i="2"/>
  <c r="E3" i="2"/>
  <c r="F3" i="2" s="1"/>
  <c r="E3" i="1"/>
  <c r="F3" i="1" s="1"/>
  <c r="F18" i="1"/>
  <c r="F5" i="1"/>
  <c r="C11" i="10" l="1"/>
  <c r="F8" i="7"/>
  <c r="H9" i="7" s="1"/>
  <c r="F8" i="5"/>
  <c r="H9" i="5" s="1"/>
  <c r="F8" i="4"/>
  <c r="H9" i="4" s="1"/>
  <c r="H10" i="2"/>
  <c r="H9" i="3"/>
  <c r="F9" i="1"/>
  <c r="H10" i="1" s="1"/>
</calcChain>
</file>

<file path=xl/sharedStrings.xml><?xml version="1.0" encoding="utf-8"?>
<sst xmlns="http://schemas.openxmlformats.org/spreadsheetml/2006/main" count="262" uniqueCount="46">
  <si>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</si>
  <si>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</si>
  <si>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</si>
  <si>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</si>
  <si>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</si>
  <si>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</si>
  <si>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</si>
  <si>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</si>
  <si>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</si>
  <si>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</si>
  <si>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</si>
  <si>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</si>
  <si>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</si>
  <si>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</si>
  <si>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</si>
  <si>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</si>
  <si>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</si>
  <si>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LEVANTAMENTO TOPOGRÁFICO E INSUMOS DE CAMPO</t>
  </si>
  <si>
    <t>Ajudante</t>
  </si>
  <si>
    <t xml:space="preserve">Platagem </t>
  </si>
  <si>
    <t>Gasolina</t>
  </si>
  <si>
    <t>Despesas</t>
  </si>
  <si>
    <t>ha</t>
  </si>
  <si>
    <t>Levantamento Territorial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 conforme a Manual Técnico de Georreferenciamento</t>
  </si>
  <si>
    <t>Verba</t>
  </si>
  <si>
    <t>Projeto de Certificação junto ao Sistema de Gestão Fundiária (SIGF) do INCRA com elaboração e submissão de Planilha ODS junto ao SIGEF, geração de plantas em CAD  e cálulos e memoriais descritivos, declaração conjunta  necessários com impressão em formato ABNT em 3 vias com a elaboração do memorial descritivo, com Anotação de Responsabilidade Técnica - ART</t>
  </si>
  <si>
    <t>Marcos e Plaqueta</t>
  </si>
  <si>
    <t>Elaboração de Projeto arquitetonico de dependencias para atender as necessidades do IPA</t>
  </si>
  <si>
    <t>Despesas +Marcos e Plaqueta</t>
  </si>
  <si>
    <t>Benedito</t>
  </si>
  <si>
    <t xml:space="preserve">Plotagem </t>
  </si>
  <si>
    <t>id</t>
  </si>
  <si>
    <t>GRANJA</t>
  </si>
  <si>
    <t>VALOR</t>
  </si>
  <si>
    <t>DESPESAS</t>
  </si>
  <si>
    <t>Granja Aline</t>
  </si>
  <si>
    <t>Granja Chaparral</t>
  </si>
  <si>
    <t xml:space="preserve">Granja Três js </t>
  </si>
  <si>
    <t>Granja Calheiros</t>
  </si>
  <si>
    <t>Granja Goitá</t>
  </si>
  <si>
    <t>Granja Santo Antonio</t>
  </si>
  <si>
    <t>Granja Pai e Filho</t>
  </si>
  <si>
    <t>Granja Xaréu</t>
  </si>
  <si>
    <t>Granja São Miguel</t>
  </si>
  <si>
    <t>TOTAL R$</t>
  </si>
  <si>
    <t>BDI=18%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</si>
</sst>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44" fontId="0" fillId="0" borderId="0" xfId="1" applyFont="1"/>
    <xf numFmtId="0" fontId="5" fillId="3" borderId="1" xfId="0" applyFont="1" applyFill="1" applyBorder="1" applyAlignment="1">
      <alignment horizontal="center"/>
    </xf>
    <xf numFmtId="6" fontId="0" fillId="0" borderId="0" xfId="0" applyNumberFormat="1"/>
    <xf numFmtId="0" fontId="0" fillId="0" borderId="0" xfId="0" applyAlignment="1">
      <alignment wrapText="1"/>
    </xf>
    <xf numFmtId="44" fontId="0" fillId="0" borderId="0" xfId="0" applyNumberFormat="1"/>
    <xf numFmtId="0" fontId="0" fillId="5" borderId="0" xfId="0" applyFill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F322-6D07-4E77-9136-048351605695}">
  <dimension ref="A1:E11"/>
  <sheetViews>
    <sheetView tabSelected="1" workbookViewId="0">
      <selection activeCell="I8" sqref="I8"/>
    </sheetView>
  </sheetViews>
  <sheetFormatPr defaultRowHeight="14.4" x14ac:dyDescent="0.3"/>
  <cols>
    <col min="1" max="1" width="5.33203125" customWidth="1"/>
    <col min="2" max="2" width="17.88671875" customWidth="1"/>
    <col min="3" max="3" width="13.5546875" customWidth="1"/>
    <col min="4" max="5" width="12.88671875" bestFit="1" customWidth="1"/>
  </cols>
  <sheetData>
    <row r="1" spans="1:5" x14ac:dyDescent="0.3">
      <c r="A1" s="32" t="s">
        <v>31</v>
      </c>
      <c r="B1" s="32" t="s">
        <v>32</v>
      </c>
      <c r="C1" s="32" t="s">
        <v>33</v>
      </c>
      <c r="D1" s="32" t="s">
        <v>45</v>
      </c>
      <c r="E1" s="32" t="s">
        <v>34</v>
      </c>
    </row>
    <row r="2" spans="1:5" x14ac:dyDescent="0.3">
      <c r="A2">
        <v>1</v>
      </c>
      <c r="B2" t="s">
        <v>35</v>
      </c>
      <c r="C2" s="31">
        <f>'Granja Aline'!F9</f>
        <v>2390</v>
      </c>
      <c r="D2" s="31">
        <f>C2*1.18</f>
        <v>2820.2</v>
      </c>
      <c r="E2" s="31">
        <f>'Granja Aline'!F18</f>
        <v>1470</v>
      </c>
    </row>
    <row r="3" spans="1:5" x14ac:dyDescent="0.3">
      <c r="A3">
        <v>2</v>
      </c>
      <c r="B3" t="s">
        <v>36</v>
      </c>
      <c r="C3" s="31">
        <f>'Granja Chaparral '!F9</f>
        <v>3930</v>
      </c>
      <c r="D3" s="31">
        <f t="shared" ref="D3:D10" si="0">C3*1.18</f>
        <v>4637.3999999999996</v>
      </c>
      <c r="E3" s="31">
        <f>'Granja Chaparral '!F18</f>
        <v>970</v>
      </c>
    </row>
    <row r="4" spans="1:5" x14ac:dyDescent="0.3">
      <c r="A4">
        <v>3</v>
      </c>
      <c r="B4" t="s">
        <v>37</v>
      </c>
      <c r="C4" s="31">
        <f>'Granja Três js '!F8</f>
        <v>1890</v>
      </c>
      <c r="D4" s="31">
        <f t="shared" si="0"/>
        <v>2230.1999999999998</v>
      </c>
      <c r="E4" s="31">
        <f>'Granja Três js '!F17</f>
        <v>1170</v>
      </c>
    </row>
    <row r="5" spans="1:5" x14ac:dyDescent="0.3">
      <c r="A5">
        <v>4</v>
      </c>
      <c r="B5" t="s">
        <v>38</v>
      </c>
      <c r="C5" s="31">
        <f>'Granja Calheiros'!F8</f>
        <v>4170</v>
      </c>
      <c r="D5" s="31">
        <f t="shared" si="0"/>
        <v>4920.5999999999995</v>
      </c>
      <c r="E5" s="31">
        <f>'Granja Calheiros'!F17</f>
        <v>1170</v>
      </c>
    </row>
    <row r="6" spans="1:5" x14ac:dyDescent="0.3">
      <c r="A6">
        <v>5</v>
      </c>
      <c r="B6" t="s">
        <v>39</v>
      </c>
      <c r="C6" s="31">
        <f>'Granja Goita'!F8</f>
        <v>1770</v>
      </c>
      <c r="D6" s="31">
        <f t="shared" si="0"/>
        <v>2088.6</v>
      </c>
      <c r="E6" s="31">
        <f>'Granja Goita'!F17</f>
        <v>970</v>
      </c>
    </row>
    <row r="7" spans="1:5" x14ac:dyDescent="0.3">
      <c r="A7">
        <v>6</v>
      </c>
      <c r="B7" t="s">
        <v>40</v>
      </c>
      <c r="C7" s="31">
        <f>'Granja Santo Antôni'!F8</f>
        <v>2370</v>
      </c>
      <c r="D7" s="31">
        <f t="shared" si="0"/>
        <v>2796.6</v>
      </c>
      <c r="E7" s="31">
        <f>'Granja Santo Antôni'!F17</f>
        <v>1220</v>
      </c>
    </row>
    <row r="8" spans="1:5" x14ac:dyDescent="0.3">
      <c r="A8">
        <v>7</v>
      </c>
      <c r="B8" t="s">
        <v>41</v>
      </c>
      <c r="C8" s="31">
        <f>'Granja Pai filho'!F8</f>
        <v>2970</v>
      </c>
      <c r="D8" s="31">
        <f t="shared" si="0"/>
        <v>3504.6</v>
      </c>
      <c r="E8" s="31">
        <f>'Granja Pai filho'!F17</f>
        <v>1220</v>
      </c>
    </row>
    <row r="9" spans="1:5" x14ac:dyDescent="0.3">
      <c r="A9">
        <v>8</v>
      </c>
      <c r="B9" t="s">
        <v>42</v>
      </c>
      <c r="C9" s="31">
        <f>'GRANJA XARÉU'!F8</f>
        <v>1620</v>
      </c>
      <c r="D9" s="31">
        <f t="shared" si="0"/>
        <v>1911.6</v>
      </c>
      <c r="E9" s="31">
        <f>'GRANJA XARÉU'!F17</f>
        <v>1220</v>
      </c>
    </row>
    <row r="10" spans="1:5" x14ac:dyDescent="0.3">
      <c r="A10">
        <v>9</v>
      </c>
      <c r="B10" t="s">
        <v>43</v>
      </c>
      <c r="C10" s="31">
        <f>'Granja São Migue'!F8</f>
        <v>1420</v>
      </c>
      <c r="D10" s="31">
        <f t="shared" si="0"/>
        <v>1675.6</v>
      </c>
      <c r="E10" s="31">
        <f>'Granja São Migue'!F17</f>
        <v>970</v>
      </c>
    </row>
    <row r="11" spans="1:5" x14ac:dyDescent="0.3">
      <c r="B11" s="1" t="s">
        <v>44</v>
      </c>
      <c r="C11" s="31">
        <f>SUM(C2:C10)</f>
        <v>22530</v>
      </c>
      <c r="D11" s="31">
        <f>SUM(D2:D10)</f>
        <v>26585.399999999991</v>
      </c>
      <c r="E11" s="31">
        <f>SUM(E2:E10)</f>
        <v>10380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18"/>
  <sheetViews>
    <sheetView topLeftCell="A6" zoomScale="130" zoomScaleNormal="130" workbookViewId="0">
      <selection activeCell="G9" sqref="G9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1.5546875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24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f>450+60+160</f>
        <v>670</v>
      </c>
      <c r="F3" s="18">
        <f>D3*E3</f>
        <v>670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23</v>
      </c>
      <c r="C5" s="10" t="s">
        <v>22</v>
      </c>
      <c r="D5" s="10">
        <v>4</v>
      </c>
      <c r="E5" s="18">
        <v>180</v>
      </c>
      <c r="F5" s="18">
        <f>D5*E5</f>
        <v>720</v>
      </c>
    </row>
    <row r="6" spans="1:8" s="5" customFormat="1" x14ac:dyDescent="0.25">
      <c r="A6" s="28" t="s">
        <v>14</v>
      </c>
      <c r="B6" s="14" t="s">
        <v>15</v>
      </c>
      <c r="C6" s="13"/>
      <c r="D6" s="13"/>
      <c r="E6" s="13"/>
      <c r="F6" s="19"/>
    </row>
    <row r="7" spans="1:8" s="5" customFormat="1" ht="86.4" customHeight="1" x14ac:dyDescent="0.25">
      <c r="A7" s="16" t="s">
        <v>16</v>
      </c>
      <c r="B7" s="20" t="s">
        <v>25</v>
      </c>
      <c r="C7" s="10" t="s">
        <v>24</v>
      </c>
      <c r="D7" s="10">
        <v>1</v>
      </c>
      <c r="E7" s="18">
        <v>900</v>
      </c>
      <c r="F7" s="18">
        <v>1000</v>
      </c>
    </row>
    <row r="8" spans="1:8" s="5" customFormat="1" ht="24" x14ac:dyDescent="0.25">
      <c r="A8" s="16">
        <v>3.2</v>
      </c>
      <c r="B8" s="20" t="s">
        <v>27</v>
      </c>
      <c r="C8" s="10" t="s">
        <v>24</v>
      </c>
      <c r="D8" s="10">
        <v>1</v>
      </c>
      <c r="E8" s="18">
        <v>600</v>
      </c>
      <c r="F8" s="18">
        <v>1000</v>
      </c>
    </row>
    <row r="9" spans="1:8" s="5" customFormat="1" x14ac:dyDescent="0.3">
      <c r="A9" s="21"/>
      <c r="B9" s="22" t="s">
        <v>0</v>
      </c>
      <c r="C9" s="21"/>
      <c r="D9" s="21"/>
      <c r="E9" s="21"/>
      <c r="F9" s="23">
        <f>SUM(F2:F7)</f>
        <v>2390</v>
      </c>
    </row>
    <row r="10" spans="1:8" s="5" customFormat="1" x14ac:dyDescent="0.3">
      <c r="A10" s="2"/>
      <c r="B10" s="3"/>
      <c r="C10" s="2"/>
      <c r="D10" s="6"/>
      <c r="E10" s="7"/>
      <c r="H10" s="26">
        <f>F11-F9</f>
        <v>-2390</v>
      </c>
    </row>
    <row r="11" spans="1:8" s="5" customFormat="1" x14ac:dyDescent="0.3">
      <c r="A11" s="2"/>
      <c r="B11" s="3"/>
      <c r="C11" s="2"/>
      <c r="D11" s="6"/>
      <c r="E11" s="7"/>
      <c r="F11" s="25"/>
    </row>
    <row r="12" spans="1:8" x14ac:dyDescent="0.3">
      <c r="D12" s="1"/>
      <c r="E12" s="4"/>
    </row>
    <row r="13" spans="1:8" x14ac:dyDescent="0.3">
      <c r="E13" t="s">
        <v>29</v>
      </c>
      <c r="F13">
        <v>500</v>
      </c>
    </row>
    <row r="14" spans="1:8" ht="31.8" customHeight="1" x14ac:dyDescent="0.3">
      <c r="E14" s="30" t="s">
        <v>26</v>
      </c>
      <c r="F14" s="27">
        <v>700</v>
      </c>
    </row>
    <row r="15" spans="1:8" x14ac:dyDescent="0.3">
      <c r="E15" t="s">
        <v>18</v>
      </c>
      <c r="F15" s="27">
        <v>170</v>
      </c>
    </row>
    <row r="16" spans="1:8" x14ac:dyDescent="0.3">
      <c r="E16" t="s">
        <v>19</v>
      </c>
      <c r="F16" s="27">
        <v>50</v>
      </c>
    </row>
    <row r="17" spans="5:6" x14ac:dyDescent="0.3">
      <c r="E17" t="s">
        <v>20</v>
      </c>
      <c r="F17" s="27">
        <v>50</v>
      </c>
    </row>
    <row r="18" spans="5:6" x14ac:dyDescent="0.3">
      <c r="F18" s="27">
        <f>SUM(F13:F17)</f>
        <v>1470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F03E-A8A2-495C-B054-36E066985A58}">
  <dimension ref="A1:H18"/>
  <sheetViews>
    <sheetView topLeftCell="A5" workbookViewId="0">
      <selection activeCell="E9" sqref="E9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6.55468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f>450+60+160</f>
        <v>670</v>
      </c>
      <c r="F3" s="18">
        <f>D3*E3</f>
        <v>670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23</v>
      </c>
      <c r="C5" s="10" t="s">
        <v>22</v>
      </c>
      <c r="D5" s="10">
        <v>7</v>
      </c>
      <c r="E5" s="18">
        <v>180</v>
      </c>
      <c r="F5" s="18">
        <f>D5*E5</f>
        <v>1260</v>
      </c>
    </row>
    <row r="6" spans="1:8" s="5" customFormat="1" x14ac:dyDescent="0.25">
      <c r="A6" s="28" t="s">
        <v>14</v>
      </c>
      <c r="B6" s="14" t="s">
        <v>15</v>
      </c>
      <c r="C6" s="13"/>
      <c r="D6" s="13"/>
      <c r="E6" s="13"/>
      <c r="F6" s="19"/>
    </row>
    <row r="7" spans="1:8" s="5" customFormat="1" ht="86.4" customHeight="1" x14ac:dyDescent="0.25">
      <c r="A7" s="16" t="s">
        <v>16</v>
      </c>
      <c r="B7" s="20" t="s">
        <v>25</v>
      </c>
      <c r="C7" s="10" t="s">
        <v>24</v>
      </c>
      <c r="D7" s="10">
        <v>1</v>
      </c>
      <c r="E7" s="18">
        <v>900</v>
      </c>
      <c r="F7" s="18">
        <v>1000</v>
      </c>
    </row>
    <row r="8" spans="1:8" s="5" customFormat="1" ht="24" x14ac:dyDescent="0.25">
      <c r="A8" s="16">
        <v>3.2</v>
      </c>
      <c r="B8" s="20" t="s">
        <v>27</v>
      </c>
      <c r="C8" s="10" t="s">
        <v>11</v>
      </c>
      <c r="D8" s="10">
        <v>1</v>
      </c>
      <c r="E8" s="18">
        <v>600</v>
      </c>
      <c r="F8" s="18">
        <v>1000</v>
      </c>
    </row>
    <row r="9" spans="1:8" s="5" customFormat="1" x14ac:dyDescent="0.3">
      <c r="A9" s="21"/>
      <c r="B9" s="22" t="s">
        <v>0</v>
      </c>
      <c r="C9" s="21"/>
      <c r="D9" s="21"/>
      <c r="E9" s="21"/>
      <c r="F9" s="23">
        <f>SUM(F2:F8)</f>
        <v>3930</v>
      </c>
    </row>
    <row r="10" spans="1:8" s="5" customFormat="1" x14ac:dyDescent="0.3">
      <c r="A10" s="2"/>
      <c r="B10" s="3"/>
      <c r="C10" s="2"/>
      <c r="D10" s="6"/>
      <c r="E10" s="7"/>
      <c r="H10" s="26">
        <f>F11-F9</f>
        <v>-3930</v>
      </c>
    </row>
    <row r="11" spans="1:8" s="5" customFormat="1" x14ac:dyDescent="0.3">
      <c r="A11" s="2"/>
      <c r="B11" s="3"/>
      <c r="C11" s="2"/>
      <c r="D11" s="6"/>
      <c r="E11" s="7"/>
      <c r="F11" s="25"/>
    </row>
    <row r="12" spans="1:8" x14ac:dyDescent="0.3">
      <c r="D12" s="1"/>
      <c r="E12" s="4"/>
    </row>
    <row r="13" spans="1:8" x14ac:dyDescent="0.3">
      <c r="E13" t="s">
        <v>21</v>
      </c>
    </row>
    <row r="14" spans="1:8" x14ac:dyDescent="0.3">
      <c r="E14" t="s">
        <v>26</v>
      </c>
      <c r="F14">
        <v>700</v>
      </c>
    </row>
    <row r="15" spans="1:8" x14ac:dyDescent="0.3">
      <c r="E15" t="s">
        <v>18</v>
      </c>
      <c r="F15">
        <v>170</v>
      </c>
    </row>
    <row r="16" spans="1:8" x14ac:dyDescent="0.3">
      <c r="E16" t="s">
        <v>19</v>
      </c>
      <c r="F16">
        <v>50</v>
      </c>
    </row>
    <row r="17" spans="5:6" x14ac:dyDescent="0.3">
      <c r="E17" t="s">
        <v>20</v>
      </c>
      <c r="F17">
        <v>50</v>
      </c>
    </row>
    <row r="18" spans="5:6" x14ac:dyDescent="0.3">
      <c r="F18" s="27">
        <f>SUM(F13:F17)</f>
        <v>970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269A-F545-4E41-AA72-829B9163A659}">
  <dimension ref="A1:H17"/>
  <sheetViews>
    <sheetView workbookViewId="0">
      <selection activeCell="B11" sqref="B11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6.55468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f>450+60+160</f>
        <v>670</v>
      </c>
      <c r="F3" s="18">
        <f>D3*E3</f>
        <v>670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23</v>
      </c>
      <c r="C5" s="10" t="s">
        <v>22</v>
      </c>
      <c r="D5" s="10">
        <v>1.1000000000000001</v>
      </c>
      <c r="E5" s="18">
        <v>200</v>
      </c>
      <c r="F5" s="18">
        <f>D5*E5</f>
        <v>220.00000000000003</v>
      </c>
    </row>
    <row r="6" spans="1:8" s="5" customFormat="1" x14ac:dyDescent="0.25">
      <c r="A6" s="28" t="s">
        <v>14</v>
      </c>
      <c r="B6" s="14" t="s">
        <v>15</v>
      </c>
      <c r="C6" s="13"/>
      <c r="D6" s="13"/>
      <c r="E6" s="13"/>
      <c r="F6" s="19"/>
    </row>
    <row r="7" spans="1:8" s="5" customFormat="1" ht="24" x14ac:dyDescent="0.25">
      <c r="A7" s="16" t="s">
        <v>16</v>
      </c>
      <c r="B7" s="20" t="s">
        <v>27</v>
      </c>
      <c r="C7" s="10" t="s">
        <v>11</v>
      </c>
      <c r="D7" s="10">
        <v>1</v>
      </c>
      <c r="E7" s="18">
        <v>500</v>
      </c>
      <c r="F7" s="18">
        <v>1000</v>
      </c>
    </row>
    <row r="8" spans="1:8" s="5" customFormat="1" x14ac:dyDescent="0.3">
      <c r="A8" s="21"/>
      <c r="B8" s="22" t="s">
        <v>0</v>
      </c>
      <c r="C8" s="21"/>
      <c r="D8" s="21"/>
      <c r="E8" s="21"/>
      <c r="F8" s="23">
        <f>SUM(F2:F7)</f>
        <v>1890</v>
      </c>
    </row>
    <row r="9" spans="1:8" s="5" customFormat="1" x14ac:dyDescent="0.3">
      <c r="A9" s="2"/>
      <c r="B9" s="3"/>
      <c r="C9" s="2"/>
      <c r="D9" s="6"/>
      <c r="E9" s="7"/>
      <c r="H9" s="26">
        <f>F10-F8</f>
        <v>-1890</v>
      </c>
    </row>
    <row r="10" spans="1:8" s="5" customFormat="1" x14ac:dyDescent="0.3">
      <c r="A10" s="2"/>
      <c r="B10" s="3"/>
      <c r="C10" s="2"/>
      <c r="D10" s="6"/>
      <c r="E10" s="7"/>
      <c r="F10" s="25"/>
    </row>
    <row r="11" spans="1:8" x14ac:dyDescent="0.3">
      <c r="D11" s="1"/>
      <c r="E11" s="4"/>
    </row>
    <row r="12" spans="1:8" x14ac:dyDescent="0.3">
      <c r="E12" t="s">
        <v>29</v>
      </c>
      <c r="F12" s="29">
        <v>500</v>
      </c>
    </row>
    <row r="13" spans="1:8" x14ac:dyDescent="0.3">
      <c r="E13" t="s">
        <v>28</v>
      </c>
      <c r="F13">
        <v>400</v>
      </c>
    </row>
    <row r="14" spans="1:8" x14ac:dyDescent="0.3">
      <c r="E14" t="s">
        <v>18</v>
      </c>
      <c r="F14">
        <v>170</v>
      </c>
    </row>
    <row r="15" spans="1:8" x14ac:dyDescent="0.3">
      <c r="E15" t="s">
        <v>30</v>
      </c>
      <c r="F15">
        <v>50</v>
      </c>
    </row>
    <row r="16" spans="1:8" x14ac:dyDescent="0.3">
      <c r="E16" t="s">
        <v>20</v>
      </c>
      <c r="F16">
        <v>50</v>
      </c>
    </row>
    <row r="17" spans="6:6" x14ac:dyDescent="0.3">
      <c r="F17" s="27">
        <f>SUM(F12:F16)</f>
        <v>1170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2C6E-B468-4944-8D27-9D584508BF66}">
  <dimension ref="A1:H17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6.55468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f>450+60+160</f>
        <v>670</v>
      </c>
      <c r="F3" s="18">
        <f>D3*E3</f>
        <v>670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23</v>
      </c>
      <c r="C5" s="10" t="s">
        <v>22</v>
      </c>
      <c r="D5" s="10">
        <v>20</v>
      </c>
      <c r="E5" s="18">
        <v>150</v>
      </c>
      <c r="F5" s="18">
        <f>D5*E5</f>
        <v>3000</v>
      </c>
    </row>
    <row r="6" spans="1:8" s="5" customFormat="1" x14ac:dyDescent="0.25">
      <c r="A6" s="28" t="s">
        <v>14</v>
      </c>
      <c r="B6" s="14" t="s">
        <v>15</v>
      </c>
      <c r="C6" s="13"/>
      <c r="D6" s="13"/>
      <c r="E6" s="13"/>
      <c r="F6" s="19"/>
    </row>
    <row r="7" spans="1:8" s="5" customFormat="1" ht="24" x14ac:dyDescent="0.25">
      <c r="A7" s="16" t="s">
        <v>16</v>
      </c>
      <c r="B7" s="20" t="s">
        <v>27</v>
      </c>
      <c r="C7" s="10" t="s">
        <v>11</v>
      </c>
      <c r="D7" s="10">
        <v>1</v>
      </c>
      <c r="E7" s="18">
        <v>500</v>
      </c>
      <c r="F7" s="18">
        <f>D7*E7</f>
        <v>500</v>
      </c>
    </row>
    <row r="8" spans="1:8" s="5" customFormat="1" x14ac:dyDescent="0.3">
      <c r="A8" s="21"/>
      <c r="B8" s="22" t="s">
        <v>0</v>
      </c>
      <c r="C8" s="21"/>
      <c r="D8" s="21"/>
      <c r="E8" s="21"/>
      <c r="F8" s="23">
        <f>SUM(F2:F7)</f>
        <v>4170</v>
      </c>
    </row>
    <row r="9" spans="1:8" s="5" customFormat="1" x14ac:dyDescent="0.3">
      <c r="A9" s="2"/>
      <c r="B9" s="3"/>
      <c r="C9" s="2"/>
      <c r="D9" s="6"/>
      <c r="E9" s="7"/>
      <c r="H9" s="26">
        <f>F10-F8</f>
        <v>-4170</v>
      </c>
    </row>
    <row r="10" spans="1:8" s="5" customFormat="1" x14ac:dyDescent="0.3">
      <c r="A10" s="2"/>
      <c r="B10" s="3"/>
      <c r="C10" s="2"/>
      <c r="D10" s="6"/>
      <c r="E10" s="7"/>
      <c r="F10" s="25"/>
    </row>
    <row r="11" spans="1:8" x14ac:dyDescent="0.3">
      <c r="D11" s="1"/>
      <c r="E11" s="4"/>
    </row>
    <row r="12" spans="1:8" x14ac:dyDescent="0.3">
      <c r="E12" t="s">
        <v>29</v>
      </c>
      <c r="F12" s="29">
        <v>500</v>
      </c>
    </row>
    <row r="13" spans="1:8" x14ac:dyDescent="0.3">
      <c r="E13" t="s">
        <v>28</v>
      </c>
      <c r="F13">
        <v>400</v>
      </c>
    </row>
    <row r="14" spans="1:8" x14ac:dyDescent="0.3">
      <c r="E14" t="s">
        <v>18</v>
      </c>
      <c r="F14">
        <v>170</v>
      </c>
    </row>
    <row r="15" spans="1:8" x14ac:dyDescent="0.3">
      <c r="E15" t="s">
        <v>30</v>
      </c>
      <c r="F15">
        <v>50</v>
      </c>
    </row>
    <row r="16" spans="1:8" x14ac:dyDescent="0.3">
      <c r="E16" t="s">
        <v>20</v>
      </c>
      <c r="F16">
        <v>50</v>
      </c>
    </row>
    <row r="17" spans="6:6" x14ac:dyDescent="0.3">
      <c r="F17" s="27">
        <f>SUM(F12:F16)</f>
        <v>1170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40BE-1545-41D8-B7CD-6023DB77F45E}">
  <dimension ref="A1:H17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6.55468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f>450+60+160</f>
        <v>670</v>
      </c>
      <c r="F3" s="18">
        <f>D3*E3</f>
        <v>670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23</v>
      </c>
      <c r="C5" s="10" t="s">
        <v>22</v>
      </c>
      <c r="D5" s="10">
        <v>2</v>
      </c>
      <c r="E5" s="18">
        <v>300</v>
      </c>
      <c r="F5" s="18">
        <f>D5*E5</f>
        <v>600</v>
      </c>
    </row>
    <row r="6" spans="1:8" s="5" customFormat="1" x14ac:dyDescent="0.25">
      <c r="A6" s="28" t="s">
        <v>14</v>
      </c>
      <c r="B6" s="14" t="s">
        <v>15</v>
      </c>
      <c r="C6" s="13"/>
      <c r="D6" s="13"/>
      <c r="E6" s="13"/>
      <c r="F6" s="19"/>
    </row>
    <row r="7" spans="1:8" s="5" customFormat="1" ht="24" x14ac:dyDescent="0.25">
      <c r="A7" s="16" t="s">
        <v>16</v>
      </c>
      <c r="B7" s="20" t="s">
        <v>27</v>
      </c>
      <c r="C7" s="10" t="s">
        <v>11</v>
      </c>
      <c r="D7" s="10">
        <v>1</v>
      </c>
      <c r="E7" s="18">
        <v>500</v>
      </c>
      <c r="F7" s="18">
        <f>D7*E7</f>
        <v>500</v>
      </c>
    </row>
    <row r="8" spans="1:8" s="5" customFormat="1" x14ac:dyDescent="0.3">
      <c r="A8" s="21"/>
      <c r="B8" s="22" t="s">
        <v>0</v>
      </c>
      <c r="C8" s="21"/>
      <c r="D8" s="21"/>
      <c r="E8" s="21"/>
      <c r="F8" s="23">
        <f>SUM(F2:F7)</f>
        <v>1770</v>
      </c>
    </row>
    <row r="9" spans="1:8" s="5" customFormat="1" x14ac:dyDescent="0.3">
      <c r="A9" s="2"/>
      <c r="B9" s="3"/>
      <c r="C9" s="2"/>
      <c r="D9" s="6"/>
      <c r="E9" s="7"/>
      <c r="H9" s="26">
        <f>F10-F8</f>
        <v>-1770</v>
      </c>
    </row>
    <row r="10" spans="1:8" s="5" customFormat="1" x14ac:dyDescent="0.3">
      <c r="A10" s="2"/>
      <c r="B10" s="3"/>
      <c r="C10" s="2"/>
      <c r="D10" s="6"/>
      <c r="E10" s="7"/>
      <c r="F10" s="25"/>
    </row>
    <row r="11" spans="1:8" x14ac:dyDescent="0.3">
      <c r="D11" s="1"/>
      <c r="E11" s="4"/>
    </row>
    <row r="12" spans="1:8" x14ac:dyDescent="0.3">
      <c r="E12" t="s">
        <v>29</v>
      </c>
      <c r="F12" s="29">
        <v>500</v>
      </c>
    </row>
    <row r="13" spans="1:8" x14ac:dyDescent="0.3">
      <c r="E13" t="s">
        <v>28</v>
      </c>
      <c r="F13">
        <v>200</v>
      </c>
    </row>
    <row r="14" spans="1:8" x14ac:dyDescent="0.3">
      <c r="E14" t="s">
        <v>18</v>
      </c>
      <c r="F14">
        <v>170</v>
      </c>
    </row>
    <row r="15" spans="1:8" x14ac:dyDescent="0.3">
      <c r="E15" t="s">
        <v>30</v>
      </c>
      <c r="F15">
        <v>50</v>
      </c>
    </row>
    <row r="16" spans="1:8" x14ac:dyDescent="0.3">
      <c r="E16" t="s">
        <v>20</v>
      </c>
      <c r="F16">
        <v>50</v>
      </c>
    </row>
    <row r="17" spans="6:6" x14ac:dyDescent="0.3">
      <c r="F17" s="27">
        <f>SUM(F12:F16)</f>
        <v>970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EF09-E853-4BAA-9B6F-E020F5A27BDC}">
  <dimension ref="A1:H17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6.55468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f>450+60+160</f>
        <v>670</v>
      </c>
      <c r="F3" s="18">
        <f>D3*E3</f>
        <v>670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23</v>
      </c>
      <c r="C5" s="10" t="s">
        <v>22</v>
      </c>
      <c r="D5" s="10">
        <v>4</v>
      </c>
      <c r="E5" s="18">
        <v>300</v>
      </c>
      <c r="F5" s="18">
        <f>D5*E5</f>
        <v>1200</v>
      </c>
    </row>
    <row r="6" spans="1:8" s="5" customFormat="1" x14ac:dyDescent="0.25">
      <c r="A6" s="28" t="s">
        <v>14</v>
      </c>
      <c r="B6" s="14" t="s">
        <v>15</v>
      </c>
      <c r="C6" s="13"/>
      <c r="D6" s="13"/>
      <c r="E6" s="13"/>
      <c r="F6" s="19"/>
    </row>
    <row r="7" spans="1:8" s="5" customFormat="1" ht="24" x14ac:dyDescent="0.25">
      <c r="A7" s="16" t="s">
        <v>16</v>
      </c>
      <c r="B7" s="20" t="s">
        <v>27</v>
      </c>
      <c r="C7" s="10" t="s">
        <v>11</v>
      </c>
      <c r="D7" s="10">
        <v>1</v>
      </c>
      <c r="E7" s="18">
        <v>500</v>
      </c>
      <c r="F7" s="18">
        <f>D7*E7</f>
        <v>500</v>
      </c>
    </row>
    <row r="8" spans="1:8" s="5" customFormat="1" x14ac:dyDescent="0.3">
      <c r="A8" s="21"/>
      <c r="B8" s="22" t="s">
        <v>0</v>
      </c>
      <c r="C8" s="21"/>
      <c r="D8" s="21"/>
      <c r="E8" s="21"/>
      <c r="F8" s="23">
        <f>SUM(F2:F7)</f>
        <v>2370</v>
      </c>
    </row>
    <row r="9" spans="1:8" s="5" customFormat="1" x14ac:dyDescent="0.3">
      <c r="A9" s="2"/>
      <c r="B9" s="3"/>
      <c r="C9" s="2"/>
      <c r="D9" s="6"/>
      <c r="E9" s="7"/>
      <c r="H9" s="26">
        <f>F10-F8</f>
        <v>-2370</v>
      </c>
    </row>
    <row r="10" spans="1:8" s="5" customFormat="1" x14ac:dyDescent="0.3">
      <c r="A10" s="2"/>
      <c r="B10" s="3"/>
      <c r="C10" s="2"/>
      <c r="D10" s="6"/>
      <c r="E10" s="7"/>
      <c r="F10" s="25"/>
    </row>
    <row r="11" spans="1:8" x14ac:dyDescent="0.3">
      <c r="D11" s="1"/>
      <c r="E11" s="4"/>
    </row>
    <row r="12" spans="1:8" x14ac:dyDescent="0.3">
      <c r="E12" t="s">
        <v>29</v>
      </c>
      <c r="F12" s="29">
        <v>500</v>
      </c>
    </row>
    <row r="13" spans="1:8" x14ac:dyDescent="0.3">
      <c r="E13" t="s">
        <v>28</v>
      </c>
      <c r="F13">
        <v>450</v>
      </c>
    </row>
    <row r="14" spans="1:8" x14ac:dyDescent="0.3">
      <c r="E14" t="s">
        <v>18</v>
      </c>
      <c r="F14">
        <v>170</v>
      </c>
    </row>
    <row r="15" spans="1:8" x14ac:dyDescent="0.3">
      <c r="E15" t="s">
        <v>30</v>
      </c>
      <c r="F15">
        <v>50</v>
      </c>
    </row>
    <row r="16" spans="1:8" x14ac:dyDescent="0.3">
      <c r="E16" t="s">
        <v>20</v>
      </c>
      <c r="F16">
        <v>50</v>
      </c>
    </row>
    <row r="17" spans="6:6" x14ac:dyDescent="0.3">
      <c r="F17" s="27">
        <f>SUM(F12:F16)</f>
        <v>1220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93CC-1DD5-444B-B438-9CFE73A016AE}">
  <dimension ref="A1:H17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6.55468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f>450+60+160</f>
        <v>670</v>
      </c>
      <c r="F3" s="18">
        <f>D3*E3</f>
        <v>670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23</v>
      </c>
      <c r="C5" s="10" t="s">
        <v>22</v>
      </c>
      <c r="D5" s="10">
        <v>12</v>
      </c>
      <c r="E5" s="18">
        <v>150</v>
      </c>
      <c r="F5" s="18">
        <f>D5*E5</f>
        <v>1800</v>
      </c>
    </row>
    <row r="6" spans="1:8" s="5" customFormat="1" x14ac:dyDescent="0.25">
      <c r="A6" s="28" t="s">
        <v>14</v>
      </c>
      <c r="B6" s="14" t="s">
        <v>15</v>
      </c>
      <c r="C6" s="13"/>
      <c r="D6" s="13"/>
      <c r="E6" s="13"/>
      <c r="F6" s="19"/>
    </row>
    <row r="7" spans="1:8" s="5" customFormat="1" ht="24" x14ac:dyDescent="0.25">
      <c r="A7" s="16" t="s">
        <v>16</v>
      </c>
      <c r="B7" s="20" t="s">
        <v>27</v>
      </c>
      <c r="C7" s="10" t="s">
        <v>11</v>
      </c>
      <c r="D7" s="10">
        <v>1</v>
      </c>
      <c r="E7" s="18">
        <v>500</v>
      </c>
      <c r="F7" s="18">
        <f>D7*E7</f>
        <v>500</v>
      </c>
    </row>
    <row r="8" spans="1:8" s="5" customFormat="1" x14ac:dyDescent="0.3">
      <c r="A8" s="21"/>
      <c r="B8" s="22" t="s">
        <v>0</v>
      </c>
      <c r="C8" s="21"/>
      <c r="D8" s="21"/>
      <c r="E8" s="21"/>
      <c r="F8" s="23">
        <f>SUM(F2:F7)</f>
        <v>2970</v>
      </c>
    </row>
    <row r="9" spans="1:8" s="5" customFormat="1" x14ac:dyDescent="0.3">
      <c r="A9" s="2"/>
      <c r="B9" s="3"/>
      <c r="C9" s="2"/>
      <c r="D9" s="6"/>
      <c r="E9" s="7"/>
      <c r="H9" s="26">
        <f>F10-F8</f>
        <v>-2970</v>
      </c>
    </row>
    <row r="10" spans="1:8" s="5" customFormat="1" x14ac:dyDescent="0.3">
      <c r="A10" s="2"/>
      <c r="B10" s="3"/>
      <c r="C10" s="2"/>
      <c r="D10" s="6"/>
      <c r="E10" s="7"/>
      <c r="F10" s="25"/>
    </row>
    <row r="11" spans="1:8" x14ac:dyDescent="0.3">
      <c r="D11" s="1"/>
      <c r="E11" s="4"/>
    </row>
    <row r="12" spans="1:8" x14ac:dyDescent="0.3">
      <c r="E12" t="s">
        <v>29</v>
      </c>
      <c r="F12" s="29">
        <v>500</v>
      </c>
    </row>
    <row r="13" spans="1:8" x14ac:dyDescent="0.3">
      <c r="E13" t="s">
        <v>28</v>
      </c>
      <c r="F13">
        <v>450</v>
      </c>
    </row>
    <row r="14" spans="1:8" x14ac:dyDescent="0.3">
      <c r="E14" t="s">
        <v>18</v>
      </c>
      <c r="F14">
        <v>170</v>
      </c>
    </row>
    <row r="15" spans="1:8" x14ac:dyDescent="0.3">
      <c r="E15" t="s">
        <v>30</v>
      </c>
      <c r="F15">
        <v>50</v>
      </c>
    </row>
    <row r="16" spans="1:8" x14ac:dyDescent="0.3">
      <c r="E16" t="s">
        <v>20</v>
      </c>
      <c r="F16">
        <v>50</v>
      </c>
    </row>
    <row r="17" spans="6:6" x14ac:dyDescent="0.3">
      <c r="F17" s="27">
        <f>SUM(F12:F16)</f>
        <v>1220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E20B-E0B5-42EA-AC0B-1FC8A63E74CE}">
  <dimension ref="A1:H17"/>
  <sheetViews>
    <sheetView workbookViewId="0">
      <selection sqref="A1:XFD1048576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6.55468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f>450+60+160</f>
        <v>670</v>
      </c>
      <c r="F3" s="18">
        <f>D3*E3</f>
        <v>670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23</v>
      </c>
      <c r="C5" s="10" t="s">
        <v>22</v>
      </c>
      <c r="D5" s="10">
        <v>3</v>
      </c>
      <c r="E5" s="18">
        <v>150</v>
      </c>
      <c r="F5" s="18">
        <f>D5*E5</f>
        <v>450</v>
      </c>
    </row>
    <row r="6" spans="1:8" s="5" customFormat="1" x14ac:dyDescent="0.25">
      <c r="A6" s="28" t="s">
        <v>14</v>
      </c>
      <c r="B6" s="14" t="s">
        <v>15</v>
      </c>
      <c r="C6" s="13"/>
      <c r="D6" s="13"/>
      <c r="E6" s="13"/>
      <c r="F6" s="19"/>
    </row>
    <row r="7" spans="1:8" s="5" customFormat="1" ht="24" x14ac:dyDescent="0.25">
      <c r="A7" s="16" t="s">
        <v>16</v>
      </c>
      <c r="B7" s="20" t="s">
        <v>27</v>
      </c>
      <c r="C7" s="10" t="s">
        <v>11</v>
      </c>
      <c r="D7" s="10">
        <v>1</v>
      </c>
      <c r="E7" s="18">
        <v>500</v>
      </c>
      <c r="F7" s="18">
        <f>D7*E7</f>
        <v>500</v>
      </c>
    </row>
    <row r="8" spans="1:8" s="5" customFormat="1" x14ac:dyDescent="0.3">
      <c r="A8" s="21"/>
      <c r="B8" s="22" t="s">
        <v>0</v>
      </c>
      <c r="C8" s="21"/>
      <c r="D8" s="21"/>
      <c r="E8" s="21"/>
      <c r="F8" s="23">
        <f>SUM(F2:F7)</f>
        <v>1620</v>
      </c>
    </row>
    <row r="9" spans="1:8" s="5" customFormat="1" x14ac:dyDescent="0.3">
      <c r="A9" s="2"/>
      <c r="B9" s="3"/>
      <c r="C9" s="2"/>
      <c r="D9" s="6"/>
      <c r="E9" s="7"/>
      <c r="H9" s="26">
        <f>F10-F8</f>
        <v>-1620</v>
      </c>
    </row>
    <row r="10" spans="1:8" s="5" customFormat="1" x14ac:dyDescent="0.3">
      <c r="A10" s="2"/>
      <c r="B10" s="3"/>
      <c r="C10" s="2"/>
      <c r="D10" s="6"/>
      <c r="E10" s="7"/>
      <c r="F10" s="25"/>
    </row>
    <row r="11" spans="1:8" x14ac:dyDescent="0.3">
      <c r="D11" s="1"/>
      <c r="E11" s="4"/>
    </row>
    <row r="12" spans="1:8" x14ac:dyDescent="0.3">
      <c r="E12" t="s">
        <v>29</v>
      </c>
      <c r="F12" s="29">
        <v>500</v>
      </c>
    </row>
    <row r="13" spans="1:8" x14ac:dyDescent="0.3">
      <c r="E13" t="s">
        <v>28</v>
      </c>
      <c r="F13">
        <v>450</v>
      </c>
    </row>
    <row r="14" spans="1:8" x14ac:dyDescent="0.3">
      <c r="E14" t="s">
        <v>18</v>
      </c>
      <c r="F14">
        <v>170</v>
      </c>
    </row>
    <row r="15" spans="1:8" x14ac:dyDescent="0.3">
      <c r="E15" t="s">
        <v>30</v>
      </c>
      <c r="F15">
        <v>50</v>
      </c>
    </row>
    <row r="16" spans="1:8" x14ac:dyDescent="0.3">
      <c r="E16" t="s">
        <v>20</v>
      </c>
      <c r="F16">
        <v>50</v>
      </c>
    </row>
    <row r="17" spans="6:6" x14ac:dyDescent="0.3">
      <c r="F17" s="27">
        <f>SUM(F12:F16)</f>
        <v>1220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7300-960F-4D1B-AA6F-FC12421B8708}">
  <dimension ref="A1:H17"/>
  <sheetViews>
    <sheetView workbookViewId="0">
      <selection activeCell="I5" sqref="I5"/>
    </sheetView>
  </sheetViews>
  <sheetFormatPr defaultRowHeight="14.4" x14ac:dyDescent="0.3"/>
  <cols>
    <col min="1" max="1" width="6" customWidth="1"/>
    <col min="2" max="2" width="38.6640625" customWidth="1"/>
    <col min="3" max="3" width="10.6640625" customWidth="1"/>
    <col min="4" max="4" width="12.6640625" bestFit="1" customWidth="1"/>
    <col min="5" max="5" width="16.5546875" bestFit="1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f>450+60+160</f>
        <v>670</v>
      </c>
      <c r="F3" s="18">
        <f>D3*E3</f>
        <v>670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119.4" customHeight="1" x14ac:dyDescent="0.3">
      <c r="A5" s="16" t="s">
        <v>13</v>
      </c>
      <c r="B5" s="17" t="s">
        <v>23</v>
      </c>
      <c r="C5" s="10" t="s">
        <v>22</v>
      </c>
      <c r="D5" s="10">
        <v>1</v>
      </c>
      <c r="E5" s="18">
        <v>250</v>
      </c>
      <c r="F5" s="18">
        <f>D5*E5</f>
        <v>250</v>
      </c>
    </row>
    <row r="6" spans="1:8" s="5" customFormat="1" x14ac:dyDescent="0.25">
      <c r="A6" s="28" t="s">
        <v>14</v>
      </c>
      <c r="B6" s="14" t="s">
        <v>15</v>
      </c>
      <c r="C6" s="13"/>
      <c r="D6" s="13"/>
      <c r="E6" s="13"/>
      <c r="F6" s="19"/>
    </row>
    <row r="7" spans="1:8" s="5" customFormat="1" ht="24" x14ac:dyDescent="0.25">
      <c r="A7" s="16" t="s">
        <v>16</v>
      </c>
      <c r="B7" s="20" t="s">
        <v>27</v>
      </c>
      <c r="C7" s="10" t="s">
        <v>11</v>
      </c>
      <c r="D7" s="10">
        <v>1</v>
      </c>
      <c r="E7" s="18">
        <v>500</v>
      </c>
      <c r="F7" s="18">
        <f>D7*E7</f>
        <v>500</v>
      </c>
    </row>
    <row r="8" spans="1:8" s="5" customFormat="1" x14ac:dyDescent="0.3">
      <c r="A8" s="21"/>
      <c r="B8" s="22" t="s">
        <v>0</v>
      </c>
      <c r="C8" s="21"/>
      <c r="D8" s="21"/>
      <c r="E8" s="21"/>
      <c r="F8" s="23">
        <f>SUM(F2:F7)</f>
        <v>1420</v>
      </c>
    </row>
    <row r="9" spans="1:8" s="5" customFormat="1" x14ac:dyDescent="0.3">
      <c r="A9" s="2"/>
      <c r="B9" s="3"/>
      <c r="C9" s="2"/>
      <c r="D9" s="6"/>
      <c r="E9" s="7"/>
      <c r="H9" s="26">
        <f>F10-F8</f>
        <v>-1420</v>
      </c>
    </row>
    <row r="10" spans="1:8" s="5" customFormat="1" x14ac:dyDescent="0.3">
      <c r="A10" s="2"/>
      <c r="B10" s="3"/>
      <c r="C10" s="2"/>
      <c r="D10" s="6"/>
      <c r="E10" s="7"/>
      <c r="F10" s="25"/>
    </row>
    <row r="11" spans="1:8" x14ac:dyDescent="0.3">
      <c r="D11" s="1"/>
      <c r="E11" s="4"/>
    </row>
    <row r="12" spans="1:8" x14ac:dyDescent="0.3">
      <c r="E12" t="s">
        <v>29</v>
      </c>
      <c r="F12" s="29">
        <v>500</v>
      </c>
    </row>
    <row r="13" spans="1:8" x14ac:dyDescent="0.3">
      <c r="E13" t="s">
        <v>28</v>
      </c>
      <c r="F13">
        <v>200</v>
      </c>
    </row>
    <row r="14" spans="1:8" x14ac:dyDescent="0.3">
      <c r="E14" t="s">
        <v>18</v>
      </c>
      <c r="F14">
        <v>170</v>
      </c>
    </row>
    <row r="15" spans="1:8" x14ac:dyDescent="0.3">
      <c r="E15" t="s">
        <v>30</v>
      </c>
      <c r="F15">
        <v>50</v>
      </c>
    </row>
    <row r="16" spans="1:8" x14ac:dyDescent="0.3">
      <c r="E16" t="s">
        <v>20</v>
      </c>
      <c r="F16">
        <v>50</v>
      </c>
    </row>
    <row r="17" spans="6:6" x14ac:dyDescent="0.3">
      <c r="F17" s="27">
        <f>SUM(F12:F16)</f>
        <v>970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TOTAL</vt:lpstr>
      <vt:lpstr>Granja Aline</vt:lpstr>
      <vt:lpstr>Granja Chaparral </vt:lpstr>
      <vt:lpstr>Granja Três js </vt:lpstr>
      <vt:lpstr>Granja Calheiros</vt:lpstr>
      <vt:lpstr>Granja Goita</vt:lpstr>
      <vt:lpstr>Granja Santo Antôni</vt:lpstr>
      <vt:lpstr>Granja Pai filho</vt:lpstr>
      <vt:lpstr>GRANJA XARÉU</vt:lpstr>
      <vt:lpstr>Granja São Migue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2025-03-19T17:57:46Z</dcterms:modified>
  <cp:category/>
  <cp:contentStatus/>
</cp:coreProperties>
</file>