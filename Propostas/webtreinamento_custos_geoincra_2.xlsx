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11" documentId="391779827A5332B274DBB21CFF2743E3C1FDA666" xr6:coauthVersionLast="44" xr6:coauthVersionMax="44" xr10:uidLastSave="{4BB3B742-6DCD-45DF-BA68-8E770B46E31C}"/>
  <bookViews>
    <workbookView xWindow="-120" yWindow="-120" windowWidth="20730" windowHeight="11160" activeTab="1" xr2:uid="{00000000-000D-0000-FFFF-FFFF00000000}"/>
  </bookViews>
  <sheets>
    <sheet name="GeoImóveisRurais" sheetId="3" r:id="rId1"/>
    <sheet name="Parceri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7" i="3" l="1"/>
  <c r="I32" i="3" s="1"/>
  <c r="J32" i="3" s="1"/>
  <c r="J29" i="3"/>
  <c r="I26" i="3"/>
  <c r="J26" i="3"/>
  <c r="I30" i="3" l="1"/>
  <c r="J30" i="3" s="1"/>
  <c r="I28" i="3"/>
  <c r="J28" i="3" s="1"/>
  <c r="J34" i="3" s="1"/>
  <c r="F38" i="3" l="1"/>
  <c r="F40" i="3"/>
</calcChain>
</file>

<file path=xl/sharedStrings.xml><?xml version="1.0" encoding="utf-8"?>
<sst xmlns="http://schemas.openxmlformats.org/spreadsheetml/2006/main" count="62" uniqueCount="55">
  <si>
    <t>GEORREFERENCIAMENTO DE IMÓVEL RURAL</t>
  </si>
  <si>
    <t>PLANILHA ORÇAMENTÁRIA DE SERVIÇOS</t>
  </si>
  <si>
    <t>Propriedade:</t>
  </si>
  <si>
    <t>Área (Ha):</t>
  </si>
  <si>
    <t>FAZENDA - XXXXXX</t>
  </si>
  <si>
    <t>Proprietário/Contratante:</t>
  </si>
  <si>
    <t>Distancia de Barreiras:</t>
  </si>
  <si>
    <t>JOSÉ JOÃO</t>
  </si>
  <si>
    <t>Localização/Endereço:</t>
  </si>
  <si>
    <t>Município:</t>
  </si>
  <si>
    <t>Informações básicas:</t>
  </si>
  <si>
    <t>Proprietário fornecerá apoio básico ?</t>
  </si>
  <si>
    <t>Sim</t>
  </si>
  <si>
    <t>x</t>
  </si>
  <si>
    <t>Não</t>
  </si>
  <si>
    <t>Localidade/Povoado mais próximo:</t>
  </si>
  <si>
    <t>SÃO DESIDÉRIO</t>
  </si>
  <si>
    <t>Distancia até a Localidade/Povoado:</t>
  </si>
  <si>
    <t>Km</t>
  </si>
  <si>
    <t>Item</t>
  </si>
  <si>
    <t>Descrição</t>
  </si>
  <si>
    <t>Unid.</t>
  </si>
  <si>
    <t>Quant.</t>
  </si>
  <si>
    <t>V. Unit</t>
  </si>
  <si>
    <t>V. Total</t>
  </si>
  <si>
    <t>1.0</t>
  </si>
  <si>
    <t>Visita técnica de reconhecimento</t>
  </si>
  <si>
    <t>1.4</t>
  </si>
  <si>
    <t>Serviços de campo</t>
  </si>
  <si>
    <t>Hect.</t>
  </si>
  <si>
    <t>Serviços de escritório (pós-processamento)</t>
  </si>
  <si>
    <t>1.10</t>
  </si>
  <si>
    <t>Responsabilidade Técnica</t>
  </si>
  <si>
    <t>Total dos Serviços</t>
  </si>
  <si>
    <t>FORMA DE PAGAMENTO:</t>
  </si>
  <si>
    <t>50% NO ATO DA ASSINATURA DO CONTRATO</t>
  </si>
  <si>
    <t>50% APÓS A CERTIFICAÇÃO</t>
  </si>
  <si>
    <t>Paudalho, 10 de janeiro de 2014.</t>
  </si>
  <si>
    <t>Erison Rosa de Oliveira Barros</t>
  </si>
  <si>
    <t>% João</t>
  </si>
  <si>
    <t>% Guilherme</t>
  </si>
  <si>
    <t>% Otoniel</t>
  </si>
  <si>
    <t xml:space="preserve">Serviços cujo cliente é do João </t>
  </si>
  <si>
    <t>2.0</t>
  </si>
  <si>
    <t>Serviços cujo cliente é do Guiherme</t>
  </si>
  <si>
    <t>3.0</t>
  </si>
  <si>
    <t>Serviços cujo cliente é do Otoniel</t>
  </si>
  <si>
    <t>OBSERVAÇÕES</t>
  </si>
  <si>
    <t>- AS PORCENTAGENS ACIMA ESPECIFICADAS SÃO RELATIVAS AO VALOR LIQUIDO ORIUNDO DOS SERVIÇOS EXECUTADOS;</t>
  </si>
  <si>
    <t>- PARA O VEÍCULO UTILIZADO NOS SERVIÇOS DEVERÁ SER ESTIPULADO UM VALOR DE DIÁRIA DE R$100,00;</t>
  </si>
  <si>
    <t>- NO CASO DE ESTADIA E ALIMENTAÇÃO, CASO O CONTRATANTE NÃO ASSUMA AS DESPESAS, DEVERÁ SER ESTIPULADO UM VALOR DE R$30,00/DIA/PESSOA;</t>
  </si>
  <si>
    <t>- TODAS E QUAISQUER DESPESAS DURANTE OS SERVIÇOS DEVERÃO SER COMPUTADAS, TAIS COMO CONSERTO DE VEÍCULOS, COMBUSTÍVEIS, ALIMENTAÇÃO, ESTADIA, MEDICAMENTOS, ETC.;</t>
  </si>
  <si>
    <t>- TODAS DESPESAS DEVERÃO SER COMPROVADAS VIA NOTA FISCAL OU RECIBO.</t>
  </si>
  <si>
    <t>MUNICIPIO DE PAUDALHO-BA</t>
  </si>
  <si>
    <t>PAUDALHO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</si>
</sst>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right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2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/>
    </xf>
    <xf numFmtId="2" fontId="3" fillId="0" borderId="0" xfId="0" applyNumberFormat="1" applyFont="1" applyFill="1" applyBorder="1" applyAlignment="1">
      <alignment horizontal="right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1" xfId="0" applyFill="1" applyBorder="1" applyProtection="1"/>
    <xf numFmtId="0" fontId="0" fillId="0" borderId="2" xfId="0" applyFill="1" applyBorder="1" applyAlignment="1" applyProtection="1">
      <alignment horizontal="left"/>
    </xf>
    <xf numFmtId="0" fontId="3" fillId="0" borderId="3" xfId="0" applyFont="1" applyFill="1" applyBorder="1" applyAlignment="1" applyProtection="1">
      <alignment horizontal="center"/>
    </xf>
    <xf numFmtId="49" fontId="0" fillId="0" borderId="2" xfId="0" applyNumberFormat="1" applyFill="1" applyBorder="1" applyAlignment="1" applyProtection="1">
      <alignment horizont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horizontal="center"/>
    </xf>
    <xf numFmtId="0" fontId="0" fillId="0" borderId="2" xfId="0" applyFill="1" applyBorder="1" applyAlignment="1" applyProtection="1"/>
    <xf numFmtId="0" fontId="0" fillId="0" borderId="2" xfId="0" applyFill="1" applyBorder="1" applyAlignment="1" applyProtection="1">
      <alignment horizontal="justify" vertical="center"/>
    </xf>
    <xf numFmtId="2" fontId="3" fillId="0" borderId="3" xfId="0" applyNumberFormat="1" applyFont="1" applyFill="1" applyBorder="1" applyAlignment="1" applyProtection="1">
      <alignment horizontal="justify" vertical="center"/>
    </xf>
    <xf numFmtId="0" fontId="0" fillId="0" borderId="1" xfId="0" applyFill="1" applyBorder="1" applyAlignment="1" applyProtection="1"/>
    <xf numFmtId="0" fontId="0" fillId="0" borderId="1" xfId="0" applyFill="1" applyBorder="1" applyAlignment="1" applyProtection="1">
      <alignment horizontal="center"/>
    </xf>
    <xf numFmtId="0" fontId="0" fillId="0" borderId="2" xfId="0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left"/>
    </xf>
    <xf numFmtId="0" fontId="0" fillId="0" borderId="0" xfId="0" applyBorder="1" applyAlignment="1" applyProtection="1"/>
    <xf numFmtId="0" fontId="0" fillId="0" borderId="5" xfId="0" applyFill="1" applyBorder="1" applyAlignment="1" applyProtection="1">
      <alignment horizontal="center"/>
    </xf>
    <xf numFmtId="0" fontId="0" fillId="0" borderId="7" xfId="0" applyBorder="1" applyProtection="1"/>
    <xf numFmtId="0" fontId="0" fillId="0" borderId="7" xfId="0" applyFill="1" applyBorder="1" applyAlignment="1" applyProtection="1"/>
    <xf numFmtId="0" fontId="0" fillId="0" borderId="7" xfId="0" applyFill="1" applyBorder="1" applyAlignment="1" applyProtection="1">
      <alignment horizontal="right"/>
    </xf>
    <xf numFmtId="0" fontId="0" fillId="0" borderId="4" xfId="0" applyFill="1" applyBorder="1" applyAlignment="1" applyProtection="1">
      <alignment horizontal="center"/>
    </xf>
    <xf numFmtId="2" fontId="0" fillId="0" borderId="5" xfId="0" applyNumberFormat="1" applyFill="1" applyBorder="1" applyAlignment="1" applyProtection="1">
      <alignment horizontal="right"/>
    </xf>
    <xf numFmtId="2" fontId="0" fillId="0" borderId="0" xfId="0" applyNumberFormat="1" applyFill="1" applyBorder="1" applyAlignment="1" applyProtection="1">
      <alignment horizontal="right"/>
    </xf>
    <xf numFmtId="0" fontId="2" fillId="0" borderId="4" xfId="0" applyFont="1" applyFill="1" applyBorder="1" applyAlignment="1" applyProtection="1">
      <alignment horizontal="center"/>
    </xf>
    <xf numFmtId="0" fontId="0" fillId="0" borderId="8" xfId="0" applyFill="1" applyBorder="1" applyAlignment="1" applyProtection="1">
      <alignment horizontal="center"/>
    </xf>
    <xf numFmtId="0" fontId="0" fillId="0" borderId="6" xfId="0" applyFill="1" applyBorder="1" applyAlignment="1" applyProtection="1">
      <alignment horizontal="left"/>
    </xf>
    <xf numFmtId="4" fontId="0" fillId="0" borderId="9" xfId="0" applyNumberFormat="1" applyFill="1" applyBorder="1" applyAlignment="1" applyProtection="1">
      <alignment horizontal="right"/>
    </xf>
    <xf numFmtId="4" fontId="0" fillId="0" borderId="0" xfId="0" applyNumberFormat="1" applyFill="1" applyBorder="1" applyAlignment="1" applyProtection="1">
      <alignment horizontal="right"/>
    </xf>
    <xf numFmtId="4" fontId="3" fillId="0" borderId="10" xfId="0" applyNumberFormat="1" applyFont="1" applyFill="1" applyBorder="1" applyAlignment="1" applyProtection="1">
      <alignment horizontal="center"/>
    </xf>
    <xf numFmtId="0" fontId="0" fillId="0" borderId="10" xfId="0" applyFill="1" applyBorder="1" applyAlignment="1" applyProtection="1">
      <alignment horizontal="center"/>
    </xf>
    <xf numFmtId="4" fontId="0" fillId="0" borderId="10" xfId="0" applyNumberFormat="1" applyFill="1" applyBorder="1" applyAlignment="1" applyProtection="1">
      <alignment horizontal="right"/>
    </xf>
    <xf numFmtId="49" fontId="0" fillId="0" borderId="0" xfId="0" applyNumberFormat="1" applyFill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4" fontId="0" fillId="0" borderId="0" xfId="0" applyNumberFormat="1" applyBorder="1" applyAlignment="1" applyProtection="1">
      <alignment horizontal="right"/>
    </xf>
    <xf numFmtId="2" fontId="0" fillId="0" borderId="0" xfId="0" applyNumberFormat="1" applyBorder="1" applyAlignment="1" applyProtection="1">
      <alignment horizontal="right"/>
    </xf>
    <xf numFmtId="2" fontId="0" fillId="0" borderId="0" xfId="0" applyNumberFormat="1" applyBorder="1" applyAlignment="1" applyProtection="1"/>
    <xf numFmtId="49" fontId="0" fillId="0" borderId="0" xfId="0" applyNumberFormat="1" applyBorder="1" applyAlignment="1" applyProtection="1">
      <alignment horizontal="left"/>
    </xf>
    <xf numFmtId="0" fontId="0" fillId="2" borderId="11" xfId="0" applyFill="1" applyBorder="1" applyAlignment="1" applyProtection="1">
      <alignment horizontal="center"/>
      <protection locked="0"/>
    </xf>
    <xf numFmtId="10" fontId="0" fillId="0" borderId="10" xfId="0" applyNumberFormat="1" applyFill="1" applyBorder="1" applyAlignment="1" applyProtection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164" fontId="2" fillId="0" borderId="14" xfId="0" applyNumberFormat="1" applyFont="1" applyFill="1" applyBorder="1" applyAlignment="1" applyProtection="1">
      <alignment horizontal="center"/>
    </xf>
    <xf numFmtId="0" fontId="2" fillId="0" borderId="0" xfId="0" applyFont="1" applyBorder="1"/>
    <xf numFmtId="164" fontId="2" fillId="0" borderId="0" xfId="0" applyNumberFormat="1" applyFont="1" applyFill="1" applyBorder="1"/>
    <xf numFmtId="0" fontId="0" fillId="0" borderId="6" xfId="0" applyFill="1" applyBorder="1" applyAlignment="1" applyProtection="1"/>
    <xf numFmtId="0" fontId="3" fillId="0" borderId="10" xfId="0" applyFont="1" applyFill="1" applyBorder="1" applyAlignment="1" applyProtection="1">
      <alignment horizontal="center"/>
    </xf>
    <xf numFmtId="0" fontId="0" fillId="0" borderId="7" xfId="0" applyFill="1" applyBorder="1" applyAlignment="1" applyProtection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4" fontId="0" fillId="0" borderId="12" xfId="0" applyNumberFormat="1" applyFill="1" applyBorder="1" applyAlignment="1" applyProtection="1">
      <alignment horizontal="center"/>
    </xf>
    <xf numFmtId="0" fontId="0" fillId="0" borderId="13" xfId="0" applyFill="1" applyBorder="1" applyAlignment="1" applyProtection="1">
      <alignment horizontal="center"/>
    </xf>
    <xf numFmtId="4" fontId="0" fillId="0" borderId="6" xfId="0" applyNumberFormat="1" applyFill="1" applyBorder="1" applyAlignment="1" applyProtection="1">
      <alignment horizontal="right"/>
    </xf>
    <xf numFmtId="4" fontId="0" fillId="0" borderId="15" xfId="0" applyNumberFormat="1" applyFill="1" applyBorder="1" applyAlignment="1" applyProtection="1">
      <alignment horizontal="right"/>
    </xf>
    <xf numFmtId="164" fontId="0" fillId="0" borderId="6" xfId="0" applyNumberFormat="1" applyBorder="1" applyAlignment="1" applyProtection="1">
      <alignment horizontal="right"/>
    </xf>
    <xf numFmtId="164" fontId="0" fillId="0" borderId="7" xfId="0" applyNumberFormat="1" applyBorder="1" applyAlignment="1" applyProtection="1">
      <alignment horizontal="right"/>
    </xf>
    <xf numFmtId="164" fontId="0" fillId="0" borderId="15" xfId="0" applyNumberFormat="1" applyBorder="1" applyAlignment="1" applyProtection="1">
      <alignment horizontal="right"/>
    </xf>
    <xf numFmtId="0" fontId="0" fillId="0" borderId="6" xfId="0" applyFill="1" applyBorder="1" applyAlignment="1" applyProtection="1"/>
    <xf numFmtId="0" fontId="0" fillId="0" borderId="7" xfId="0" applyBorder="1" applyAlignment="1" applyProtection="1"/>
    <xf numFmtId="0" fontId="0" fillId="0" borderId="15" xfId="0" applyBorder="1" applyAlignment="1" applyProtection="1"/>
    <xf numFmtId="4" fontId="0" fillId="2" borderId="8" xfId="0" applyNumberFormat="1" applyFill="1" applyBorder="1" applyAlignment="1" applyProtection="1">
      <alignment horizontal="center"/>
      <protection locked="0"/>
    </xf>
    <xf numFmtId="4" fontId="0" fillId="2" borderId="9" xfId="0" applyNumberFormat="1" applyFill="1" applyBorder="1" applyAlignment="1" applyProtection="1">
      <alignment horizontal="center"/>
      <protection locked="0"/>
    </xf>
    <xf numFmtId="49" fontId="0" fillId="2" borderId="8" xfId="0" applyNumberFormat="1" applyFill="1" applyBorder="1" applyAlignment="1" applyProtection="1">
      <alignment horizontal="center"/>
      <protection locked="0"/>
    </xf>
    <xf numFmtId="49" fontId="0" fillId="2" borderId="16" xfId="0" applyNumberFormat="1" applyFill="1" applyBorder="1" applyAlignment="1" applyProtection="1">
      <alignment horizontal="center"/>
      <protection locked="0"/>
    </xf>
    <xf numFmtId="49" fontId="0" fillId="2" borderId="9" xfId="0" applyNumberFormat="1" applyFill="1" applyBorder="1" applyAlignment="1" applyProtection="1">
      <alignment horizontal="center"/>
      <protection locked="0"/>
    </xf>
    <xf numFmtId="49" fontId="0" fillId="2" borderId="7" xfId="0" applyNumberFormat="1" applyFill="1" applyBorder="1" applyAlignment="1" applyProtection="1">
      <alignment horizontal="center"/>
      <protection locked="0"/>
    </xf>
    <xf numFmtId="49" fontId="0" fillId="2" borderId="7" xfId="0" applyNumberFormat="1" applyFill="1" applyBorder="1" applyAlignment="1" applyProtection="1">
      <protection locked="0"/>
    </xf>
    <xf numFmtId="49" fontId="0" fillId="2" borderId="15" xfId="0" applyNumberFormat="1" applyFill="1" applyBorder="1" applyAlignment="1" applyProtection="1">
      <protection locked="0"/>
    </xf>
    <xf numFmtId="49" fontId="0" fillId="2" borderId="9" xfId="0" applyNumberFormat="1" applyFill="1" applyBorder="1" applyAlignment="1" applyProtection="1">
      <alignment horizontal="center" vertical="center"/>
      <protection locked="0"/>
    </xf>
    <xf numFmtId="0" fontId="3" fillId="0" borderId="3" xfId="0" applyFont="1" applyFill="1" applyBorder="1" applyAlignment="1" applyProtection="1">
      <alignment horizontal="left"/>
    </xf>
    <xf numFmtId="0" fontId="3" fillId="0" borderId="1" xfId="0" applyFont="1" applyBorder="1" applyAlignment="1" applyProtection="1"/>
    <xf numFmtId="0" fontId="3" fillId="0" borderId="3" xfId="0" applyFont="1" applyFill="1" applyBorder="1" applyAlignment="1" applyProtection="1"/>
    <xf numFmtId="0" fontId="3" fillId="0" borderId="2" xfId="0" applyFont="1" applyBorder="1" applyAlignment="1" applyProtection="1"/>
    <xf numFmtId="0" fontId="3" fillId="0" borderId="10" xfId="0" applyFont="1" applyFill="1" applyBorder="1" applyAlignment="1" applyProtection="1">
      <alignment horizontal="center"/>
    </xf>
    <xf numFmtId="49" fontId="0" fillId="0" borderId="6" xfId="0" applyNumberFormat="1" applyFill="1" applyBorder="1" applyAlignment="1" applyProtection="1">
      <alignment horizontal="center"/>
    </xf>
    <xf numFmtId="49" fontId="0" fillId="0" borderId="15" xfId="0" applyNumberFormat="1" applyFill="1" applyBorder="1" applyAlignment="1" applyProtection="1">
      <alignment horizontal="center"/>
    </xf>
    <xf numFmtId="0" fontId="4" fillId="0" borderId="0" xfId="0" applyFont="1" applyBorder="1" applyAlignment="1" applyProtection="1"/>
    <xf numFmtId="0" fontId="5" fillId="0" borderId="0" xfId="0" applyFont="1" applyAlignment="1" applyProtection="1"/>
    <xf numFmtId="0" fontId="0" fillId="0" borderId="6" xfId="0" applyBorder="1" applyAlignment="1" applyProtection="1"/>
    <xf numFmtId="4" fontId="0" fillId="2" borderId="7" xfId="0" applyNumberFormat="1" applyFill="1" applyBorder="1" applyAlignment="1" applyProtection="1">
      <alignment horizontal="right"/>
      <protection locked="0"/>
    </xf>
    <xf numFmtId="0" fontId="0" fillId="0" borderId="7" xfId="0" applyFill="1" applyBorder="1" applyAlignment="1" applyProtection="1">
      <alignment horizontal="center"/>
    </xf>
    <xf numFmtId="0" fontId="0" fillId="0" borderId="15" xfId="0" applyFill="1" applyBorder="1" applyAlignment="1" applyProtection="1"/>
    <xf numFmtId="0" fontId="3" fillId="0" borderId="10" xfId="0" applyFont="1" applyBorder="1" applyAlignment="1" applyProtection="1"/>
    <xf numFmtId="49" fontId="1" fillId="0" borderId="3" xfId="0" applyNumberFormat="1" applyFont="1" applyBorder="1" applyAlignment="1">
      <alignment horizontal="justify" vertical="top"/>
    </xf>
    <xf numFmtId="49" fontId="1" fillId="0" borderId="1" xfId="0" applyNumberFormat="1" applyFont="1" applyBorder="1" applyAlignment="1">
      <alignment horizontal="justify" vertical="top"/>
    </xf>
    <xf numFmtId="49" fontId="1" fillId="0" borderId="2" xfId="0" applyNumberFormat="1" applyFont="1" applyBorder="1" applyAlignment="1">
      <alignment horizontal="justify" vertical="top"/>
    </xf>
    <xf numFmtId="49" fontId="1" fillId="0" borderId="8" xfId="0" applyNumberFormat="1" applyFont="1" applyBorder="1" applyAlignment="1">
      <alignment horizontal="justify" vertical="top"/>
    </xf>
    <xf numFmtId="49" fontId="1" fillId="0" borderId="16" xfId="0" applyNumberFormat="1" applyFont="1" applyBorder="1" applyAlignment="1">
      <alignment horizontal="justify" vertical="top"/>
    </xf>
    <xf numFmtId="49" fontId="1" fillId="0" borderId="9" xfId="0" applyNumberFormat="1" applyFont="1" applyBorder="1" applyAlignment="1">
      <alignment horizontal="justify" vertical="top"/>
    </xf>
    <xf numFmtId="49" fontId="0" fillId="0" borderId="3" xfId="0" applyNumberFormat="1" applyBorder="1" applyAlignment="1">
      <alignment horizontal="justify" vertical="top"/>
    </xf>
    <xf numFmtId="49" fontId="0" fillId="0" borderId="1" xfId="0" applyNumberFormat="1" applyBorder="1" applyAlignment="1">
      <alignment horizontal="justify" vertical="top"/>
    </xf>
    <xf numFmtId="49" fontId="0" fillId="0" borderId="2" xfId="0" applyNumberFormat="1" applyBorder="1" applyAlignment="1">
      <alignment horizontal="justify" vertical="top"/>
    </xf>
    <xf numFmtId="49" fontId="0" fillId="0" borderId="8" xfId="0" applyNumberFormat="1" applyBorder="1" applyAlignment="1">
      <alignment horizontal="justify" vertical="top"/>
    </xf>
    <xf numFmtId="49" fontId="0" fillId="0" borderId="16" xfId="0" applyNumberFormat="1" applyBorder="1" applyAlignment="1">
      <alignment horizontal="justify" vertical="top"/>
    </xf>
    <xf numFmtId="49" fontId="0" fillId="0" borderId="9" xfId="0" applyNumberFormat="1" applyBorder="1" applyAlignment="1">
      <alignment horizontal="justify" vertical="top"/>
    </xf>
    <xf numFmtId="49" fontId="1" fillId="2" borderId="8" xfId="0" applyNumberFormat="1" applyFont="1" applyFill="1" applyBorder="1" applyAlignment="1" applyProtection="1">
      <alignment horizontal="center"/>
      <protection locked="0"/>
    </xf>
    <xf numFmtId="49" fontId="1" fillId="2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showGridLines="0" showZeros="0" topLeftCell="A7" workbookViewId="0">
      <selection activeCell="I10" sqref="I10"/>
    </sheetView>
  </sheetViews>
  <sheetFormatPr defaultRowHeight="12.75" x14ac:dyDescent="0.2"/>
  <cols>
    <col min="1" max="1" width="5.140625" customWidth="1"/>
    <col min="3" max="3" width="10.85546875" customWidth="1"/>
    <col min="4" max="4" width="16.42578125" customWidth="1"/>
    <col min="5" max="5" width="6.140625" customWidth="1"/>
    <col min="6" max="6" width="2.85546875" customWidth="1"/>
    <col min="7" max="7" width="7.28515625" customWidth="1"/>
    <col min="8" max="8" width="3.28515625" customWidth="1"/>
    <col min="9" max="9" width="10.7109375" customWidth="1"/>
    <col min="10" max="10" width="12.42578125" customWidth="1"/>
  </cols>
  <sheetData>
    <row r="1" spans="1:10" ht="18.75" thickBot="1" x14ac:dyDescent="0.2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ht="13.5" thickBot="1" x14ac:dyDescent="0.25"/>
    <row r="3" spans="1:10" ht="15.75" thickBot="1" x14ac:dyDescent="0.25">
      <c r="A3" s="68" t="s">
        <v>1</v>
      </c>
      <c r="B3" s="69"/>
      <c r="C3" s="69"/>
      <c r="D3" s="69"/>
      <c r="E3" s="69"/>
      <c r="F3" s="69"/>
      <c r="G3" s="69"/>
      <c r="H3" s="69"/>
      <c r="I3" s="69"/>
      <c r="J3" s="70"/>
    </row>
    <row r="5" spans="1:10" x14ac:dyDescent="0.2">
      <c r="A5" s="92" t="s">
        <v>2</v>
      </c>
      <c r="B5" s="91"/>
      <c r="C5" s="18"/>
      <c r="D5" s="18"/>
      <c r="E5" s="18"/>
      <c r="F5" s="18"/>
      <c r="G5" s="18"/>
      <c r="H5" s="19"/>
      <c r="I5" s="20" t="s">
        <v>3</v>
      </c>
      <c r="J5" s="21"/>
    </row>
    <row r="6" spans="1:10" ht="12.75" customHeight="1" x14ac:dyDescent="0.2">
      <c r="A6" s="83" t="s">
        <v>4</v>
      </c>
      <c r="B6" s="84"/>
      <c r="C6" s="84"/>
      <c r="D6" s="84"/>
      <c r="E6" s="84"/>
      <c r="F6" s="84"/>
      <c r="G6" s="84"/>
      <c r="H6" s="85"/>
      <c r="I6" s="81">
        <v>26</v>
      </c>
      <c r="J6" s="82"/>
    </row>
    <row r="7" spans="1:10" ht="12.75" customHeight="1" x14ac:dyDescent="0.2">
      <c r="A7" s="22"/>
      <c r="B7" s="22"/>
      <c r="C7" s="22"/>
      <c r="D7" s="22"/>
      <c r="E7" s="22"/>
      <c r="F7" s="22"/>
      <c r="G7" s="22"/>
      <c r="H7" s="22"/>
      <c r="I7" s="23"/>
      <c r="J7" s="23">
        <f>I6^(1/2)</f>
        <v>5.0990195135927845</v>
      </c>
    </row>
    <row r="8" spans="1:10" x14ac:dyDescent="0.2">
      <c r="A8" s="92" t="s">
        <v>5</v>
      </c>
      <c r="B8" s="91"/>
      <c r="C8" s="91"/>
      <c r="D8" s="18"/>
      <c r="E8" s="18"/>
      <c r="F8" s="18"/>
      <c r="G8" s="18"/>
      <c r="H8" s="24"/>
      <c r="I8" s="92" t="s">
        <v>6</v>
      </c>
      <c r="J8" s="93"/>
    </row>
    <row r="9" spans="1:10" x14ac:dyDescent="0.2">
      <c r="A9" s="83" t="s">
        <v>7</v>
      </c>
      <c r="B9" s="84"/>
      <c r="C9" s="84"/>
      <c r="D9" s="84"/>
      <c r="E9" s="84"/>
      <c r="F9" s="84"/>
      <c r="G9" s="84"/>
      <c r="H9" s="85"/>
      <c r="I9" s="81">
        <v>10</v>
      </c>
      <c r="J9" s="82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12.75" customHeight="1" x14ac:dyDescent="0.2">
      <c r="A11" s="92" t="s">
        <v>8</v>
      </c>
      <c r="B11" s="91"/>
      <c r="C11" s="91"/>
      <c r="D11" s="18"/>
      <c r="E11" s="18"/>
      <c r="F11" s="18"/>
      <c r="G11" s="18"/>
      <c r="H11" s="25"/>
      <c r="I11" s="26" t="s">
        <v>9</v>
      </c>
      <c r="J11" s="25"/>
    </row>
    <row r="12" spans="1:10" x14ac:dyDescent="0.2">
      <c r="A12" s="116" t="s">
        <v>53</v>
      </c>
      <c r="B12" s="84"/>
      <c r="C12" s="84"/>
      <c r="D12" s="84"/>
      <c r="E12" s="84"/>
      <c r="F12" s="84"/>
      <c r="G12" s="84"/>
      <c r="H12" s="85"/>
      <c r="I12" s="117" t="s">
        <v>54</v>
      </c>
      <c r="J12" s="89"/>
    </row>
    <row r="13" spans="1:10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0" x14ac:dyDescent="0.2">
      <c r="A14" s="90" t="s">
        <v>10</v>
      </c>
      <c r="B14" s="91"/>
      <c r="C14" s="91"/>
      <c r="D14" s="27"/>
      <c r="E14" s="28"/>
      <c r="F14" s="28"/>
      <c r="G14" s="28"/>
      <c r="H14" s="28"/>
      <c r="I14" s="29"/>
      <c r="J14" s="23"/>
    </row>
    <row r="15" spans="1:10" ht="13.5" thickBot="1" x14ac:dyDescent="0.25">
      <c r="A15" s="30"/>
      <c r="B15" s="31"/>
      <c r="C15" s="22"/>
      <c r="D15" s="22"/>
      <c r="E15" s="23"/>
      <c r="F15" s="23"/>
      <c r="G15" s="23"/>
      <c r="H15" s="23"/>
      <c r="I15" s="32"/>
      <c r="J15" s="23"/>
    </row>
    <row r="16" spans="1:10" ht="13.5" thickBot="1" x14ac:dyDescent="0.25">
      <c r="A16" s="30"/>
      <c r="B16" s="62" t="s">
        <v>11</v>
      </c>
      <c r="C16" s="33"/>
      <c r="D16" s="34"/>
      <c r="E16" s="35" t="s">
        <v>12</v>
      </c>
      <c r="F16" s="53" t="s">
        <v>13</v>
      </c>
      <c r="G16" s="35" t="s">
        <v>14</v>
      </c>
      <c r="H16" s="53"/>
      <c r="I16" s="32"/>
      <c r="J16" s="23"/>
    </row>
    <row r="17" spans="1:11" x14ac:dyDescent="0.2">
      <c r="A17" s="30"/>
      <c r="B17" s="22"/>
      <c r="C17" s="16"/>
      <c r="D17" s="22"/>
      <c r="E17" s="23"/>
      <c r="F17" s="23"/>
      <c r="G17" s="23"/>
      <c r="H17" s="23"/>
      <c r="I17" s="32"/>
      <c r="J17" s="23"/>
    </row>
    <row r="18" spans="1:11" x14ac:dyDescent="0.2">
      <c r="A18" s="36"/>
      <c r="B18" s="62" t="s">
        <v>15</v>
      </c>
      <c r="C18" s="33"/>
      <c r="D18" s="34"/>
      <c r="E18" s="86" t="s">
        <v>16</v>
      </c>
      <c r="F18" s="87"/>
      <c r="G18" s="87"/>
      <c r="H18" s="88"/>
      <c r="I18" s="37"/>
      <c r="J18" s="38"/>
    </row>
    <row r="19" spans="1:11" x14ac:dyDescent="0.2">
      <c r="A19" s="39"/>
      <c r="B19" s="22"/>
      <c r="C19" s="16"/>
      <c r="D19" s="22"/>
      <c r="E19" s="23"/>
      <c r="F19" s="23"/>
      <c r="G19" s="23"/>
      <c r="H19" s="38"/>
      <c r="I19" s="37"/>
      <c r="J19" s="38"/>
      <c r="K19" s="4"/>
    </row>
    <row r="20" spans="1:11" x14ac:dyDescent="0.2">
      <c r="A20" s="40"/>
      <c r="B20" s="41" t="s">
        <v>17</v>
      </c>
      <c r="C20" s="33"/>
      <c r="D20" s="64"/>
      <c r="E20" s="100">
        <v>40</v>
      </c>
      <c r="F20" s="100"/>
      <c r="G20" s="101" t="s">
        <v>18</v>
      </c>
      <c r="H20" s="102"/>
      <c r="I20" s="42"/>
      <c r="J20" s="43"/>
      <c r="K20" s="4"/>
    </row>
    <row r="21" spans="1:11" x14ac:dyDescent="0.2">
      <c r="A21" s="23"/>
      <c r="B21" s="22"/>
      <c r="C21" s="22"/>
      <c r="D21" s="22"/>
      <c r="E21" s="23"/>
      <c r="F21" s="23"/>
      <c r="G21" s="23"/>
      <c r="H21" s="43"/>
      <c r="I21" s="43"/>
      <c r="J21" s="43"/>
      <c r="K21" s="4"/>
    </row>
    <row r="22" spans="1:11" x14ac:dyDescent="0.2">
      <c r="A22" s="23"/>
      <c r="B22" s="22"/>
      <c r="C22" s="22"/>
      <c r="D22" s="22"/>
      <c r="E22" s="23"/>
      <c r="F22" s="23"/>
      <c r="G22" s="23"/>
      <c r="H22" s="43"/>
      <c r="I22" s="43"/>
      <c r="J22" s="43"/>
      <c r="K22" s="4"/>
    </row>
    <row r="23" spans="1:11" x14ac:dyDescent="0.2">
      <c r="A23" s="23"/>
      <c r="B23" s="23"/>
      <c r="C23" s="23"/>
      <c r="D23" s="23"/>
      <c r="E23" s="23"/>
      <c r="F23" s="23"/>
      <c r="G23" s="23"/>
      <c r="H23" s="43"/>
      <c r="I23" s="43"/>
      <c r="J23" s="43"/>
      <c r="K23" s="4"/>
    </row>
    <row r="24" spans="1:11" x14ac:dyDescent="0.2">
      <c r="A24" s="63" t="s">
        <v>19</v>
      </c>
      <c r="B24" s="94" t="s">
        <v>20</v>
      </c>
      <c r="C24" s="94"/>
      <c r="D24" s="94"/>
      <c r="E24" s="94" t="s">
        <v>21</v>
      </c>
      <c r="F24" s="94"/>
      <c r="G24" s="94" t="s">
        <v>22</v>
      </c>
      <c r="H24" s="103"/>
      <c r="I24" s="44" t="s">
        <v>23</v>
      </c>
      <c r="J24" s="44" t="s">
        <v>24</v>
      </c>
      <c r="K24" s="4"/>
    </row>
    <row r="25" spans="1:11" x14ac:dyDescent="0.2">
      <c r="A25" s="23"/>
      <c r="B25" s="17"/>
      <c r="C25" s="17"/>
      <c r="D25" s="17"/>
      <c r="E25" s="23"/>
      <c r="F25" s="23"/>
      <c r="G25" s="23"/>
      <c r="H25" s="43"/>
      <c r="I25" s="43"/>
      <c r="J25" s="43"/>
      <c r="K25" s="4"/>
    </row>
    <row r="26" spans="1:11" x14ac:dyDescent="0.2">
      <c r="A26" s="45" t="s">
        <v>25</v>
      </c>
      <c r="B26" s="78" t="s">
        <v>26</v>
      </c>
      <c r="C26" s="79"/>
      <c r="D26" s="80"/>
      <c r="E26" s="95" t="s">
        <v>18</v>
      </c>
      <c r="F26" s="96"/>
      <c r="G26" s="73">
        <v>8</v>
      </c>
      <c r="H26" s="74"/>
      <c r="I26" s="46">
        <f>1/1.5</f>
        <v>0.66666666666666663</v>
      </c>
      <c r="J26" s="46">
        <f>G26*I26</f>
        <v>5.333333333333333</v>
      </c>
      <c r="K26" s="4"/>
    </row>
    <row r="27" spans="1:11" x14ac:dyDescent="0.2">
      <c r="A27" s="45"/>
      <c r="B27" s="17"/>
      <c r="C27" s="17"/>
      <c r="D27" s="17"/>
      <c r="E27" s="47"/>
      <c r="F27" s="47"/>
      <c r="G27" s="43"/>
      <c r="H27" s="43"/>
      <c r="I27" s="43"/>
      <c r="J27" s="43"/>
      <c r="K27" s="4"/>
    </row>
    <row r="28" spans="1:11" x14ac:dyDescent="0.2">
      <c r="A28" s="45" t="s">
        <v>27</v>
      </c>
      <c r="B28" s="78" t="s">
        <v>28</v>
      </c>
      <c r="C28" s="79"/>
      <c r="D28" s="80"/>
      <c r="E28" s="95" t="s">
        <v>29</v>
      </c>
      <c r="F28" s="96"/>
      <c r="G28" s="73">
        <v>26</v>
      </c>
      <c r="H28" s="74"/>
      <c r="I28" s="46">
        <f>((IF($I$6&lt;10,$J$7*550,IF($I$6&lt;20,$J$7*500,IF($I$6&lt;30,$J$7*450,IF($I$6&lt;40,$J$7*400,IF($I$6&lt;50,$J$7*350,IF($I$6&lt;100,$J$7*330,IF($I$6&lt;500,$J$7*310,$J$7*300))))))))/$I$6)*0.4</f>
        <v>35.300904324873123</v>
      </c>
      <c r="J28" s="46">
        <f>G28*I28</f>
        <v>917.82351244670122</v>
      </c>
      <c r="K28" s="4"/>
    </row>
    <row r="29" spans="1:11" x14ac:dyDescent="0.2">
      <c r="A29" s="45"/>
      <c r="B29" s="22"/>
      <c r="C29" s="31"/>
      <c r="D29" s="31"/>
      <c r="E29" s="47"/>
      <c r="F29" s="47"/>
      <c r="G29" s="43"/>
      <c r="H29" s="43"/>
      <c r="I29" s="46"/>
      <c r="J29" s="46">
        <f>G29*I29</f>
        <v>0</v>
      </c>
      <c r="K29" s="4"/>
    </row>
    <row r="30" spans="1:11" x14ac:dyDescent="0.2">
      <c r="A30" s="45" t="s">
        <v>27</v>
      </c>
      <c r="B30" s="78" t="s">
        <v>30</v>
      </c>
      <c r="C30" s="79"/>
      <c r="D30" s="80"/>
      <c r="E30" s="95" t="s">
        <v>29</v>
      </c>
      <c r="F30" s="96"/>
      <c r="G30" s="73">
        <v>26</v>
      </c>
      <c r="H30" s="74"/>
      <c r="I30" s="46">
        <f>((IF($I$6&lt;10,$J$7*550,IF($I$6&lt;20,$J$7*500,IF($I$6&lt;30,$J$7*450,IF($I$6&lt;40,$J$7*400,IF($I$6&lt;50,$J$7*350,IF($I$6&lt;100,$J$7*330,IF($I$6&lt;500,$J$7*310,$J$7*300))))))))/$I$6)*0.4</f>
        <v>35.300904324873123</v>
      </c>
      <c r="J30" s="46">
        <f>G30*I30</f>
        <v>917.82351244670122</v>
      </c>
      <c r="K30" s="4"/>
    </row>
    <row r="31" spans="1:11" x14ac:dyDescent="0.2">
      <c r="A31" s="45"/>
      <c r="B31" s="22"/>
      <c r="C31" s="31"/>
      <c r="D31" s="31"/>
      <c r="E31" s="47"/>
      <c r="F31" s="47"/>
      <c r="G31" s="43"/>
      <c r="H31" s="43"/>
      <c r="I31" s="46"/>
      <c r="J31" s="43"/>
      <c r="K31" s="4"/>
    </row>
    <row r="32" spans="1:11" x14ac:dyDescent="0.2">
      <c r="A32" s="45" t="s">
        <v>31</v>
      </c>
      <c r="B32" s="78" t="s">
        <v>32</v>
      </c>
      <c r="C32" s="79"/>
      <c r="D32" s="80"/>
      <c r="E32" s="95" t="s">
        <v>29</v>
      </c>
      <c r="F32" s="96"/>
      <c r="G32" s="73">
        <v>26</v>
      </c>
      <c r="H32" s="74"/>
      <c r="I32" s="46">
        <f>((IF($I$6&lt;10,$J$7*550,IF($I$6&lt;20,$J$7*500,IF($I$6&lt;30,$J$7*450,IF($I$6&lt;40,$J$7*400,IF($I$6&lt;50,$J$7*350,IF($I$6&lt;100,$J$7*330,IF($I$6&lt;500,$J$7*310,$J$7*300))))))))/$I$6)*0.2</f>
        <v>17.650452162436562</v>
      </c>
      <c r="J32" s="46">
        <f>G32*I32</f>
        <v>458.91175622335061</v>
      </c>
      <c r="K32" s="4"/>
    </row>
    <row r="33" spans="1:10" ht="13.5" thickBot="1" x14ac:dyDescent="0.25">
      <c r="A33" s="48"/>
      <c r="B33" s="16"/>
      <c r="C33" s="16"/>
      <c r="D33" s="16"/>
      <c r="E33" s="48"/>
      <c r="F33" s="48"/>
      <c r="G33" s="48"/>
      <c r="H33" s="49"/>
      <c r="I33" s="49"/>
      <c r="J33" s="49"/>
    </row>
    <row r="34" spans="1:10" ht="13.5" thickBot="1" x14ac:dyDescent="0.25">
      <c r="A34" s="48"/>
      <c r="B34" s="16"/>
      <c r="C34" s="16"/>
      <c r="D34" s="16"/>
      <c r="E34" s="48"/>
      <c r="F34" s="48"/>
      <c r="G34" s="71" t="s">
        <v>33</v>
      </c>
      <c r="H34" s="72"/>
      <c r="I34" s="72"/>
      <c r="J34" s="59">
        <f>SUM(J26:J32)</f>
        <v>2299.8921144500864</v>
      </c>
    </row>
    <row r="35" spans="1:10" x14ac:dyDescent="0.2">
      <c r="A35" s="48"/>
      <c r="B35" s="16"/>
      <c r="C35" s="16"/>
      <c r="D35" s="16"/>
      <c r="E35" s="48"/>
      <c r="F35" s="48"/>
      <c r="G35" s="48"/>
      <c r="H35" s="50"/>
      <c r="I35" s="51"/>
      <c r="J35" s="52"/>
    </row>
    <row r="36" spans="1:10" x14ac:dyDescent="0.2">
      <c r="A36" s="48"/>
      <c r="B36" s="97" t="s">
        <v>34</v>
      </c>
      <c r="C36" s="98"/>
      <c r="D36" s="98"/>
      <c r="E36" s="48"/>
      <c r="F36" s="48"/>
      <c r="G36" s="48"/>
      <c r="H36" s="50"/>
      <c r="I36" s="50"/>
      <c r="J36" s="50"/>
    </row>
    <row r="37" spans="1:10" x14ac:dyDescent="0.2">
      <c r="A37" s="48"/>
      <c r="B37" s="16"/>
      <c r="C37" s="16"/>
      <c r="D37" s="16"/>
      <c r="E37" s="48"/>
      <c r="F37" s="48"/>
      <c r="G37" s="48"/>
      <c r="H37" s="50"/>
      <c r="I37" s="50"/>
      <c r="J37" s="50"/>
    </row>
    <row r="38" spans="1:10" x14ac:dyDescent="0.2">
      <c r="A38" s="48"/>
      <c r="B38" s="99" t="s">
        <v>35</v>
      </c>
      <c r="C38" s="79"/>
      <c r="D38" s="79"/>
      <c r="E38" s="80"/>
      <c r="F38" s="75">
        <f>J34*0.5</f>
        <v>1149.9460572250432</v>
      </c>
      <c r="G38" s="76"/>
      <c r="H38" s="77"/>
      <c r="I38" s="50"/>
      <c r="J38" s="50"/>
    </row>
    <row r="39" spans="1:10" x14ac:dyDescent="0.2">
      <c r="A39" s="48"/>
      <c r="B39" s="16"/>
      <c r="C39" s="16"/>
      <c r="D39" s="16"/>
      <c r="E39" s="48"/>
      <c r="F39" s="49"/>
      <c r="G39" s="49"/>
      <c r="H39" s="49"/>
      <c r="I39" s="50"/>
      <c r="J39" s="50"/>
    </row>
    <row r="40" spans="1:10" x14ac:dyDescent="0.2">
      <c r="A40" s="48"/>
      <c r="B40" s="99" t="s">
        <v>36</v>
      </c>
      <c r="C40" s="79"/>
      <c r="D40" s="79"/>
      <c r="E40" s="80"/>
      <c r="F40" s="75">
        <f>J34*0.5</f>
        <v>1149.9460572250432</v>
      </c>
      <c r="G40" s="76"/>
      <c r="H40" s="77"/>
      <c r="I40" s="50"/>
      <c r="J40" s="50"/>
    </row>
    <row r="41" spans="1:10" x14ac:dyDescent="0.2">
      <c r="A41" s="48"/>
      <c r="B41" s="16"/>
      <c r="C41" s="16"/>
      <c r="D41" s="16"/>
      <c r="E41" s="48"/>
      <c r="F41" s="49"/>
      <c r="G41" s="49"/>
      <c r="H41" s="49"/>
      <c r="I41" s="50"/>
      <c r="J41" s="50"/>
    </row>
    <row r="42" spans="1:10" ht="15" customHeight="1" x14ac:dyDescent="0.2">
      <c r="A42" s="48"/>
      <c r="B42" s="16"/>
      <c r="C42" s="16"/>
      <c r="D42" s="16"/>
      <c r="E42" s="48"/>
      <c r="F42" s="48"/>
      <c r="G42" s="48"/>
      <c r="H42" s="50"/>
      <c r="I42" s="50"/>
      <c r="J42" s="50"/>
    </row>
    <row r="43" spans="1:10" ht="27" customHeight="1" x14ac:dyDescent="0.2">
      <c r="A43" s="5"/>
      <c r="B43" s="4"/>
      <c r="C43" s="4"/>
      <c r="D43" s="4"/>
      <c r="E43" s="5"/>
      <c r="F43" s="5"/>
      <c r="G43" s="5"/>
      <c r="H43" s="13"/>
      <c r="I43" s="13"/>
      <c r="J43" s="13"/>
    </row>
    <row r="44" spans="1:10" x14ac:dyDescent="0.2">
      <c r="A44" s="2"/>
      <c r="B44" s="1"/>
      <c r="C44" s="1"/>
      <c r="D44" s="60" t="s">
        <v>37</v>
      </c>
      <c r="E44" s="2"/>
      <c r="F44" s="2"/>
      <c r="G44" s="2"/>
      <c r="H44" s="3"/>
      <c r="I44" s="3"/>
      <c r="J44" s="3"/>
    </row>
    <row r="45" spans="1:10" x14ac:dyDescent="0.2">
      <c r="A45" s="4"/>
      <c r="B45" s="4"/>
      <c r="C45" s="4"/>
      <c r="D45" s="8"/>
      <c r="E45" s="5"/>
      <c r="F45" s="5"/>
      <c r="G45" s="5"/>
      <c r="H45" s="6"/>
      <c r="I45" s="14"/>
      <c r="J45" s="15"/>
    </row>
    <row r="46" spans="1:10" x14ac:dyDescent="0.2">
      <c r="A46" s="4"/>
      <c r="B46" s="4"/>
      <c r="C46" s="4"/>
      <c r="D46" s="8"/>
      <c r="E46" s="5"/>
      <c r="F46" s="5"/>
      <c r="G46" s="5"/>
      <c r="H46" s="6"/>
      <c r="I46" s="6"/>
      <c r="J46" s="4"/>
    </row>
    <row r="47" spans="1:10" x14ac:dyDescent="0.2">
      <c r="A47" s="4"/>
      <c r="B47" s="4"/>
      <c r="C47" s="4"/>
      <c r="D47" s="61" t="s">
        <v>38</v>
      </c>
      <c r="E47" s="4"/>
      <c r="F47" s="4"/>
      <c r="G47" s="4"/>
      <c r="H47" s="4"/>
      <c r="I47" s="4"/>
      <c r="J47" s="4"/>
    </row>
    <row r="48" spans="1:10" x14ac:dyDescent="0.2">
      <c r="A48" s="5"/>
      <c r="B48" s="4"/>
      <c r="C48" s="4"/>
      <c r="D48" s="4"/>
      <c r="E48" s="7"/>
      <c r="F48" s="7"/>
      <c r="G48" s="7"/>
      <c r="H48" s="7"/>
      <c r="I48" s="7"/>
      <c r="J48" s="7"/>
    </row>
    <row r="49" spans="1:10" x14ac:dyDescent="0.2">
      <c r="A49" s="4"/>
      <c r="B49" s="4"/>
      <c r="C49" s="4"/>
      <c r="D49" s="4"/>
      <c r="E49" s="7"/>
      <c r="F49" s="7"/>
      <c r="G49" s="7"/>
      <c r="H49" s="7"/>
      <c r="I49" s="7"/>
      <c r="J49" s="4"/>
    </row>
    <row r="50" spans="1:10" x14ac:dyDescent="0.2">
      <c r="A50" s="4"/>
      <c r="B50" s="4"/>
      <c r="C50" s="4"/>
      <c r="D50" s="4"/>
      <c r="E50" s="7"/>
      <c r="F50" s="7"/>
      <c r="G50" s="7"/>
      <c r="H50" s="7"/>
      <c r="I50" s="7"/>
      <c r="J50" s="4"/>
    </row>
    <row r="51" spans="1:10" x14ac:dyDescent="0.2">
      <c r="A51" s="4"/>
      <c r="B51" s="4"/>
      <c r="C51" s="4"/>
      <c r="D51" s="4"/>
      <c r="E51" s="7"/>
      <c r="F51" s="7"/>
      <c r="G51" s="7"/>
      <c r="H51" s="7"/>
      <c r="I51" s="7"/>
      <c r="J51" s="4"/>
    </row>
    <row r="52" spans="1:10" x14ac:dyDescent="0.2">
      <c r="A52" s="4"/>
      <c r="B52" s="4"/>
      <c r="C52" s="4"/>
      <c r="D52" s="4"/>
      <c r="E52" s="7"/>
      <c r="F52" s="7"/>
      <c r="G52" s="7"/>
      <c r="H52" s="7"/>
      <c r="I52" s="7"/>
      <c r="J52" s="4"/>
    </row>
    <row r="53" spans="1:10" x14ac:dyDescent="0.2">
      <c r="A53" s="4"/>
      <c r="B53" s="4"/>
      <c r="C53" s="4"/>
      <c r="D53" s="4"/>
      <c r="E53" s="7"/>
      <c r="F53" s="7"/>
      <c r="G53" s="7"/>
      <c r="H53" s="7"/>
      <c r="I53" s="7"/>
      <c r="J53" s="4"/>
    </row>
    <row r="54" spans="1:10" x14ac:dyDescent="0.2">
      <c r="A54" s="5"/>
      <c r="B54" s="4"/>
      <c r="C54" s="4"/>
      <c r="D54" s="4"/>
      <c r="E54" s="7"/>
      <c r="F54" s="7"/>
      <c r="G54" s="7"/>
      <c r="H54" s="7"/>
      <c r="I54" s="7"/>
      <c r="J54" s="7"/>
    </row>
    <row r="55" spans="1:10" x14ac:dyDescent="0.2">
      <c r="A55" s="5"/>
      <c r="B55" s="4"/>
      <c r="C55" s="4"/>
      <c r="D55" s="4"/>
      <c r="E55" s="7"/>
      <c r="F55" s="7"/>
      <c r="G55" s="7"/>
      <c r="H55" s="7"/>
      <c r="I55" s="7"/>
      <c r="J55" s="7"/>
    </row>
    <row r="56" spans="1:10" x14ac:dyDescent="0.2">
      <c r="A56" s="5"/>
      <c r="B56" s="4"/>
      <c r="C56" s="4"/>
      <c r="D56" s="4"/>
      <c r="E56" s="7"/>
      <c r="F56" s="7"/>
      <c r="G56" s="7"/>
      <c r="H56" s="7"/>
      <c r="I56" s="7"/>
      <c r="J56" s="7"/>
    </row>
    <row r="57" spans="1:10" x14ac:dyDescent="0.2">
      <c r="A57" s="4"/>
      <c r="B57" s="4"/>
      <c r="C57" s="4"/>
      <c r="D57" s="4"/>
      <c r="E57" s="7"/>
      <c r="F57" s="7"/>
      <c r="G57" s="7"/>
      <c r="H57" s="7"/>
      <c r="I57" s="7"/>
      <c r="J57" s="4"/>
    </row>
    <row r="58" spans="1:10" x14ac:dyDescent="0.2">
      <c r="A58" s="4"/>
      <c r="B58" s="4"/>
      <c r="C58" s="4"/>
      <c r="D58" s="4"/>
      <c r="E58" s="7"/>
      <c r="F58" s="7"/>
      <c r="G58" s="7"/>
      <c r="H58" s="7"/>
      <c r="I58" s="7"/>
      <c r="J58" s="4"/>
    </row>
    <row r="59" spans="1:10" x14ac:dyDescent="0.2">
      <c r="A59" s="4"/>
      <c r="B59" s="4"/>
      <c r="C59" s="4"/>
      <c r="D59" s="4"/>
      <c r="E59" s="7"/>
      <c r="F59" s="7"/>
      <c r="G59" s="7"/>
      <c r="H59" s="7"/>
      <c r="I59" s="7"/>
      <c r="J59" s="4"/>
    </row>
    <row r="60" spans="1:10" x14ac:dyDescent="0.2">
      <c r="A60" s="4"/>
      <c r="B60" s="4"/>
      <c r="C60" s="4"/>
      <c r="D60" s="4"/>
      <c r="E60" s="7"/>
      <c r="F60" s="7"/>
      <c r="G60" s="7"/>
      <c r="H60" s="7"/>
      <c r="I60" s="7"/>
      <c r="J60" s="4"/>
    </row>
    <row r="61" spans="1:10" x14ac:dyDescent="0.2">
      <c r="A61" s="4"/>
      <c r="B61" s="4"/>
      <c r="C61" s="4"/>
      <c r="D61" s="4"/>
      <c r="E61" s="7"/>
      <c r="F61" s="7"/>
      <c r="G61" s="7"/>
      <c r="H61" s="7"/>
      <c r="I61" s="7"/>
      <c r="J61" s="4"/>
    </row>
    <row r="62" spans="1:10" x14ac:dyDescent="0.2">
      <c r="A62" s="10"/>
      <c r="B62" s="4"/>
      <c r="C62" s="9"/>
      <c r="D62" s="4"/>
      <c r="E62" s="7"/>
      <c r="F62" s="7"/>
      <c r="G62" s="7"/>
      <c r="H62" s="7"/>
      <c r="I62" s="7"/>
      <c r="J62" s="4"/>
    </row>
    <row r="63" spans="1:10" x14ac:dyDescent="0.2">
      <c r="A63" s="10"/>
      <c r="B63" s="9"/>
      <c r="C63" s="9"/>
      <c r="D63" s="9"/>
      <c r="E63" s="4"/>
      <c r="F63" s="4"/>
      <c r="G63" s="4"/>
      <c r="H63" s="4"/>
      <c r="I63" s="4"/>
      <c r="J63" s="4"/>
    </row>
    <row r="64" spans="1:10" x14ac:dyDescent="0.2">
      <c r="A64" s="10"/>
      <c r="B64" s="9"/>
      <c r="C64" s="9"/>
      <c r="D64" s="10"/>
      <c r="E64" s="4"/>
      <c r="F64" s="4"/>
      <c r="G64" s="4"/>
      <c r="H64" s="4"/>
      <c r="I64" s="4"/>
      <c r="J64" s="4"/>
    </row>
    <row r="65" spans="1:10" x14ac:dyDescent="0.2">
      <c r="A65" s="10"/>
      <c r="B65" s="9"/>
      <c r="C65" s="11"/>
      <c r="D65" s="9"/>
      <c r="E65" s="4"/>
      <c r="F65" s="4"/>
      <c r="G65" s="4"/>
      <c r="H65" s="4"/>
      <c r="I65" s="4"/>
      <c r="J65" s="4"/>
    </row>
    <row r="66" spans="1:10" x14ac:dyDescent="0.2">
      <c r="A66" s="11"/>
      <c r="B66" s="12"/>
      <c r="C66" s="10"/>
      <c r="D66" s="11"/>
      <c r="E66" s="4"/>
      <c r="F66" s="4"/>
      <c r="G66" s="4"/>
      <c r="H66" s="4"/>
      <c r="I66" s="4"/>
      <c r="J66" s="4"/>
    </row>
    <row r="67" spans="1:10" x14ac:dyDescent="0.2">
      <c r="A67" s="10"/>
      <c r="B67" s="10"/>
      <c r="C67" s="11"/>
      <c r="D67" s="11"/>
      <c r="E67" s="4"/>
      <c r="F67" s="4"/>
      <c r="G67" s="4"/>
      <c r="H67" s="4"/>
      <c r="I67" s="4"/>
      <c r="J67" s="4"/>
    </row>
    <row r="68" spans="1:10" x14ac:dyDescent="0.2">
      <c r="A68" s="11"/>
      <c r="B68" s="10"/>
      <c r="C68" s="11"/>
      <c r="D68" s="10"/>
      <c r="E68" s="4"/>
      <c r="F68" s="4"/>
      <c r="G68" s="4"/>
      <c r="H68" s="4"/>
      <c r="I68" s="4"/>
      <c r="J68" s="4"/>
    </row>
  </sheetData>
  <mergeCells count="37">
    <mergeCell ref="A5:B5"/>
    <mergeCell ref="A8:C8"/>
    <mergeCell ref="E20:F20"/>
    <mergeCell ref="G20:H20"/>
    <mergeCell ref="B24:D24"/>
    <mergeCell ref="G24:H24"/>
    <mergeCell ref="E32:F32"/>
    <mergeCell ref="F40:H40"/>
    <mergeCell ref="B36:D36"/>
    <mergeCell ref="B38:E38"/>
    <mergeCell ref="B40:E40"/>
    <mergeCell ref="G30:H30"/>
    <mergeCell ref="E24:F24"/>
    <mergeCell ref="B26:D26"/>
    <mergeCell ref="G28:H28"/>
    <mergeCell ref="B28:D28"/>
    <mergeCell ref="E28:F28"/>
    <mergeCell ref="B30:D30"/>
    <mergeCell ref="E30:F30"/>
    <mergeCell ref="E26:F26"/>
    <mergeCell ref="G26:H26"/>
    <mergeCell ref="A1:J1"/>
    <mergeCell ref="A3:J3"/>
    <mergeCell ref="G34:I34"/>
    <mergeCell ref="G32:H32"/>
    <mergeCell ref="F38:H38"/>
    <mergeCell ref="B32:D32"/>
    <mergeCell ref="I6:J6"/>
    <mergeCell ref="A9:H9"/>
    <mergeCell ref="E18:H18"/>
    <mergeCell ref="A12:H12"/>
    <mergeCell ref="I9:J9"/>
    <mergeCell ref="I12:J12"/>
    <mergeCell ref="A14:C14"/>
    <mergeCell ref="A6:H6"/>
    <mergeCell ref="I8:J8"/>
    <mergeCell ref="A11:C11"/>
  </mergeCells>
  <phoneticPr fontId="0" type="noConversion"/>
  <printOptions horizontalCentered="1" verticalCentered="1"/>
  <pageMargins left="0.59055118110236227" right="0.59055118110236227" top="0.98425196850393704" bottom="0.98425196850393704" header="0.51181102362204722" footer="0.51181102362204722"/>
  <pageSetup paperSize="9" orientation="portrait" horizontalDpi="4294967295" verticalDpi="300" r:id="rId1"/>
  <headerFooter alignWithMargins="0">
    <oddHeader>&amp;RBarreiras, 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E29"/>
  <sheetViews>
    <sheetView tabSelected="1" topLeftCell="A4" workbookViewId="0">
      <selection activeCell="C7" sqref="C7"/>
    </sheetView>
  </sheetViews>
  <sheetFormatPr defaultRowHeight="12.75" x14ac:dyDescent="0.2"/>
  <cols>
    <col min="2" max="2" width="43.140625" customWidth="1"/>
    <col min="3" max="3" width="11.140625" customWidth="1"/>
    <col min="4" max="4" width="12.7109375" customWidth="1"/>
    <col min="5" max="5" width="10" customWidth="1"/>
  </cols>
  <sheetData>
    <row r="5" spans="1:5" x14ac:dyDescent="0.2">
      <c r="A5" s="63" t="s">
        <v>19</v>
      </c>
      <c r="B5" s="63" t="s">
        <v>20</v>
      </c>
      <c r="C5" s="44" t="s">
        <v>39</v>
      </c>
      <c r="D5" s="44" t="s">
        <v>40</v>
      </c>
      <c r="E5" s="44" t="s">
        <v>41</v>
      </c>
    </row>
    <row r="6" spans="1:5" x14ac:dyDescent="0.2">
      <c r="A6" s="23"/>
      <c r="B6" s="17"/>
      <c r="C6" s="43"/>
      <c r="D6" s="43"/>
      <c r="E6" s="43"/>
    </row>
    <row r="7" spans="1:5" x14ac:dyDescent="0.2">
      <c r="A7" s="45" t="s">
        <v>25</v>
      </c>
      <c r="B7" s="62" t="s">
        <v>42</v>
      </c>
      <c r="C7" s="54">
        <v>0.33329999999999999</v>
      </c>
      <c r="D7" s="54">
        <v>0.33329999999999999</v>
      </c>
      <c r="E7" s="54">
        <v>0.33329999999999999</v>
      </c>
    </row>
    <row r="8" spans="1:5" x14ac:dyDescent="0.2">
      <c r="A8" s="45"/>
      <c r="B8" s="17"/>
      <c r="C8" s="54"/>
      <c r="D8" s="54"/>
      <c r="E8" s="54"/>
    </row>
    <row r="9" spans="1:5" x14ac:dyDescent="0.2">
      <c r="A9" s="45" t="s">
        <v>43</v>
      </c>
      <c r="B9" s="62" t="s">
        <v>44</v>
      </c>
      <c r="C9" s="54">
        <v>0.1</v>
      </c>
      <c r="D9" s="54">
        <v>0.45</v>
      </c>
      <c r="E9" s="54">
        <v>0.45</v>
      </c>
    </row>
    <row r="10" spans="1:5" x14ac:dyDescent="0.2">
      <c r="A10" s="45"/>
      <c r="B10" s="17"/>
      <c r="C10" s="54"/>
      <c r="D10" s="54"/>
      <c r="E10" s="54"/>
    </row>
    <row r="11" spans="1:5" x14ac:dyDescent="0.2">
      <c r="A11" s="45" t="s">
        <v>45</v>
      </c>
      <c r="B11" s="62" t="s">
        <v>46</v>
      </c>
      <c r="C11" s="54">
        <v>0.1</v>
      </c>
      <c r="D11" s="54">
        <v>0.3</v>
      </c>
      <c r="E11" s="54">
        <v>0.6</v>
      </c>
    </row>
    <row r="13" spans="1:5" ht="13.5" thickBot="1" x14ac:dyDescent="0.25"/>
    <row r="14" spans="1:5" ht="13.5" thickBot="1" x14ac:dyDescent="0.25">
      <c r="B14" s="56" t="s">
        <v>47</v>
      </c>
      <c r="C14" s="57"/>
      <c r="D14" s="58"/>
    </row>
    <row r="15" spans="1:5" x14ac:dyDescent="0.2">
      <c r="B15" s="55"/>
    </row>
    <row r="16" spans="1:5" x14ac:dyDescent="0.2">
      <c r="B16" s="110" t="s">
        <v>48</v>
      </c>
      <c r="C16" s="111"/>
      <c r="D16" s="112"/>
    </row>
    <row r="17" spans="2:4" x14ac:dyDescent="0.2">
      <c r="B17" s="113"/>
      <c r="C17" s="114"/>
      <c r="D17" s="115"/>
    </row>
    <row r="19" spans="2:4" x14ac:dyDescent="0.2">
      <c r="B19" s="110" t="s">
        <v>49</v>
      </c>
      <c r="C19" s="111"/>
      <c r="D19" s="112"/>
    </row>
    <row r="20" spans="2:4" x14ac:dyDescent="0.2">
      <c r="B20" s="113"/>
      <c r="C20" s="114"/>
      <c r="D20" s="115"/>
    </row>
    <row r="22" spans="2:4" x14ac:dyDescent="0.2">
      <c r="B22" s="104" t="s">
        <v>50</v>
      </c>
      <c r="C22" s="105"/>
      <c r="D22" s="106"/>
    </row>
    <row r="23" spans="2:4" ht="27.75" customHeight="1" x14ac:dyDescent="0.2">
      <c r="B23" s="107"/>
      <c r="C23" s="108"/>
      <c r="D23" s="109"/>
    </row>
    <row r="25" spans="2:4" x14ac:dyDescent="0.2">
      <c r="B25" s="104" t="s">
        <v>51</v>
      </c>
      <c r="C25" s="105"/>
      <c r="D25" s="106"/>
    </row>
    <row r="26" spans="2:4" ht="27" customHeight="1" x14ac:dyDescent="0.2">
      <c r="B26" s="107"/>
      <c r="C26" s="108"/>
      <c r="D26" s="109"/>
    </row>
    <row r="28" spans="2:4" x14ac:dyDescent="0.2">
      <c r="B28" s="104" t="s">
        <v>52</v>
      </c>
      <c r="C28" s="105"/>
      <c r="D28" s="106"/>
    </row>
    <row r="29" spans="2:4" x14ac:dyDescent="0.2">
      <c r="B29" s="107"/>
      <c r="C29" s="108"/>
      <c r="D29" s="109"/>
    </row>
  </sheetData>
  <mergeCells count="5">
    <mergeCell ref="B28:D29"/>
    <mergeCell ref="B16:D17"/>
    <mergeCell ref="B19:D20"/>
    <mergeCell ref="B22:D23"/>
    <mergeCell ref="B25:D26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4294967295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GeoImóveisRurais</vt:lpstr>
      <vt:lpstr>Parceria</vt:lpstr>
    </vt:vector>
  </TitlesOfParts>
  <Manager/>
  <Company>Dimensão Engenharia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Otoniel F. Macedo</dc:creator>
  <cp:keywords/>
  <dc:description/>
  <cp:lastModifiedBy>Erison Barros</cp:lastModifiedBy>
  <cp:revision/>
  <dcterms:created xsi:type="dcterms:W3CDTF">2002-03-04T13:36:43Z</dcterms:created>
  <dcterms:modified xsi:type="dcterms:W3CDTF">2019-09-18T16:54:28Z</dcterms:modified>
  <cp:category/>
  <cp:contentStatus/>
</cp:coreProperties>
</file>