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0" documentId="8_{D1F734B4-CC5F-44F9-BC9E-5A479988726A}" xr6:coauthVersionLast="47" xr6:coauthVersionMax="47" xr10:uidLastSave="{00000000-0000-0000-0000-000000000000}"/>
  <bookViews>
    <workbookView xWindow="-108" yWindow="-108" windowWidth="23256" windowHeight="12456" xr2:uid="{BF1A5A34-7DC4-43AA-9767-2C716462EE5E}"/>
  </bookViews>
  <sheets>
    <sheet name="Granja Alin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F7" i="1"/>
  <c r="F5" i="1"/>
  <c r="F3" i="1"/>
  <c r="F8" i="1" l="1"/>
  <c r="H9" i="1" s="1"/>
</calcChain>
</file>

<file path=xl/sharedStrings.xml><?xml version="1.0" encoding="utf-8"?>
<sst xmlns="http://schemas.openxmlformats.org/spreadsheetml/2006/main" count="26" uniqueCount="26">
  <si>
    <t>TOTAL</t>
  </si>
  <si>
    <t>ITENS</t>
  </si>
  <si>
    <t>DESCRIÇÃO</t>
  </si>
  <si>
    <t>UND</t>
  </si>
  <si>
    <t>QUANT</t>
  </si>
  <si>
    <t>PREÇO UNIT</t>
  </si>
  <si>
    <t>PREÇO</t>
  </si>
  <si>
    <t>1.0</t>
  </si>
  <si>
    <t>MOBILIZAÇÃO</t>
  </si>
  <si>
    <t>1.1</t>
  </si>
  <si>
    <t>Mobilização de equipamentos e pessoas para realização do levantamento</t>
  </si>
  <si>
    <t>VERBA</t>
  </si>
  <si>
    <t>2.0</t>
  </si>
  <si>
    <t>2.1</t>
  </si>
  <si>
    <t xml:space="preserve">3.0 </t>
  </si>
  <si>
    <t>ESCRITÓRIO</t>
  </si>
  <si>
    <t>3.1</t>
  </si>
  <si>
    <t>LEVANTAMENTO TOPOGRÁFICO E INSUMOS DE CAMPO</t>
  </si>
  <si>
    <t>Ajudante</t>
  </si>
  <si>
    <t>Despesas</t>
  </si>
  <si>
    <t>ha</t>
  </si>
  <si>
    <t>Levantamento Territorial georreferenciado por receptores geodésicos de posicionamento por satélite (GNSS) de Dupla frequecia pelo método relativo estático  rápido ou stop-go/NTRIP para para pontos de apoio ou para  levantar os limites legais (naturais e artificiais do imóvel), assim como levantamento por irradiamento, poligonal ou encaminhamento por trena e estação total conforme a Manual Técnico de Georreferenciamento</t>
  </si>
  <si>
    <t>Verba</t>
  </si>
  <si>
    <t>Projeto de Certificação junto ao Sistema de Gestão Fundiária (SIGF) do INCRA com elaboração e submissão de Planilha ODS junto ao SIGEF, geração de plantas em CAD  e cálulos e memoriais descritivos, declaração conjunta  necessários com impressão em formato ABNT em 3 vias com a elaboração do memorial descritivo, com Anotação de Responsabilidade Técnica - ART</t>
  </si>
  <si>
    <t xml:space="preserve">Plotagem </t>
  </si>
  <si>
    <t>Gasolina+Deprecisão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</si>
</sst>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2" fillId="2" borderId="1" xfId="0" applyFont="1" applyFill="1" applyBorder="1"/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/>
    <xf numFmtId="0" fontId="4" fillId="3" borderId="1" xfId="0" applyFont="1" applyFill="1" applyBorder="1"/>
    <xf numFmtId="0" fontId="5" fillId="3" borderId="1" xfId="0" applyFont="1" applyFill="1" applyBorder="1"/>
    <xf numFmtId="44" fontId="4" fillId="3" borderId="1" xfId="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44" fontId="4" fillId="0" borderId="1" xfId="2" applyFont="1" applyBorder="1" applyAlignment="1">
      <alignment horizontal="center" vertical="center"/>
    </xf>
    <xf numFmtId="44" fontId="4" fillId="3" borderId="1" xfId="2" applyFont="1" applyFill="1" applyBorder="1"/>
    <xf numFmtId="0" fontId="4" fillId="0" borderId="1" xfId="0" applyFont="1" applyBorder="1" applyAlignment="1">
      <alignment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44" fontId="2" fillId="4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8" fontId="6" fillId="0" borderId="0" xfId="0" applyNumberFormat="1" applyFont="1"/>
    <xf numFmtId="8" fontId="0" fillId="0" borderId="0" xfId="0" applyNumberFormat="1" applyAlignment="1">
      <alignment vertical="center"/>
    </xf>
    <xf numFmtId="0" fontId="5" fillId="3" borderId="1" xfId="0" applyFont="1" applyFill="1" applyBorder="1" applyAlignment="1">
      <alignment horizontal="center"/>
    </xf>
    <xf numFmtId="0" fontId="0" fillId="2" borderId="0" xfId="0" applyFill="1"/>
    <xf numFmtId="44" fontId="0" fillId="2" borderId="0" xfId="1" applyFont="1" applyFill="1"/>
  </cellXfs>
  <cellStyles count="3">
    <cellStyle name="Moeda" xfId="1" builtinId="4"/>
    <cellStyle name="Moeda 2" xfId="2" xr:uid="{FB8D5B81-C9DE-4E0E-B499-4B9619BD1AD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H16"/>
  <sheetViews>
    <sheetView tabSelected="1" zoomScale="130" zoomScaleNormal="130" workbookViewId="0">
      <selection activeCell="C7" sqref="C7"/>
    </sheetView>
  </sheetViews>
  <sheetFormatPr defaultRowHeight="14.4" x14ac:dyDescent="0.3"/>
  <cols>
    <col min="1" max="1" width="6" customWidth="1"/>
    <col min="2" max="2" width="38.6640625" customWidth="1"/>
    <col min="3" max="3" width="10.6640625" customWidth="1"/>
    <col min="4" max="4" width="12.6640625" bestFit="1" customWidth="1"/>
    <col min="5" max="5" width="18.77734375" bestFit="1" customWidth="1"/>
    <col min="6" max="6" width="12" bestFit="1" customWidth="1"/>
    <col min="8" max="8" width="11.21875" bestFit="1" customWidth="1"/>
  </cols>
  <sheetData>
    <row r="1" spans="1:8" x14ac:dyDescent="0.3">
      <c r="A1" s="8" t="s">
        <v>1</v>
      </c>
      <c r="B1" s="8" t="s">
        <v>2</v>
      </c>
      <c r="C1" s="8" t="s">
        <v>3</v>
      </c>
      <c r="D1" s="24" t="s">
        <v>4</v>
      </c>
      <c r="E1" s="8" t="s">
        <v>5</v>
      </c>
      <c r="F1" s="8" t="s">
        <v>6</v>
      </c>
    </row>
    <row r="2" spans="1:8" s="5" customFormat="1" x14ac:dyDescent="0.3">
      <c r="A2" s="11" t="s">
        <v>7</v>
      </c>
      <c r="B2" s="11" t="s">
        <v>8</v>
      </c>
      <c r="C2" s="12"/>
      <c r="D2" s="12"/>
      <c r="E2" s="12"/>
      <c r="F2" s="12"/>
    </row>
    <row r="3" spans="1:8" s="5" customFormat="1" ht="24" x14ac:dyDescent="0.3">
      <c r="A3" s="9" t="s">
        <v>9</v>
      </c>
      <c r="B3" s="17" t="s">
        <v>10</v>
      </c>
      <c r="C3" s="10" t="s">
        <v>11</v>
      </c>
      <c r="D3" s="10">
        <v>1</v>
      </c>
      <c r="E3" s="18">
        <v>450</v>
      </c>
      <c r="F3" s="18">
        <f>D3*E3</f>
        <v>450</v>
      </c>
    </row>
    <row r="4" spans="1:8" s="5" customFormat="1" x14ac:dyDescent="0.25">
      <c r="A4" s="14" t="s">
        <v>12</v>
      </c>
      <c r="B4" s="14" t="s">
        <v>17</v>
      </c>
      <c r="C4" s="13"/>
      <c r="D4" s="13"/>
      <c r="E4" s="13"/>
      <c r="F4" s="15"/>
    </row>
    <row r="5" spans="1:8" s="5" customFormat="1" ht="119.4" customHeight="1" x14ac:dyDescent="0.3">
      <c r="A5" s="16" t="s">
        <v>13</v>
      </c>
      <c r="B5" s="17" t="s">
        <v>21</v>
      </c>
      <c r="C5" s="10" t="s">
        <v>20</v>
      </c>
      <c r="D5" s="10">
        <v>25</v>
      </c>
      <c r="E5" s="18">
        <v>45</v>
      </c>
      <c r="F5" s="18">
        <f>D5*E5</f>
        <v>1125</v>
      </c>
    </row>
    <row r="6" spans="1:8" s="5" customFormat="1" x14ac:dyDescent="0.25">
      <c r="A6" s="27" t="s">
        <v>14</v>
      </c>
      <c r="B6" s="14" t="s">
        <v>15</v>
      </c>
      <c r="C6" s="13"/>
      <c r="D6" s="13"/>
      <c r="E6" s="13"/>
      <c r="F6" s="19"/>
    </row>
    <row r="7" spans="1:8" s="5" customFormat="1" ht="91.8" customHeight="1" x14ac:dyDescent="0.25">
      <c r="A7" s="16" t="s">
        <v>16</v>
      </c>
      <c r="B7" s="20" t="s">
        <v>23</v>
      </c>
      <c r="C7" s="10" t="s">
        <v>22</v>
      </c>
      <c r="D7" s="10">
        <v>1</v>
      </c>
      <c r="E7" s="18">
        <v>900</v>
      </c>
      <c r="F7" s="18">
        <f>D7*E7</f>
        <v>900</v>
      </c>
    </row>
    <row r="8" spans="1:8" s="5" customFormat="1" x14ac:dyDescent="0.3">
      <c r="A8" s="21"/>
      <c r="B8" s="22" t="s">
        <v>0</v>
      </c>
      <c r="C8" s="21"/>
      <c r="D8" s="21"/>
      <c r="E8" s="21"/>
      <c r="F8" s="23">
        <f>SUM(F2:F7)</f>
        <v>2475</v>
      </c>
    </row>
    <row r="9" spans="1:8" s="5" customFormat="1" x14ac:dyDescent="0.3">
      <c r="A9" s="2"/>
      <c r="B9" s="3"/>
      <c r="C9" s="2"/>
      <c r="D9" s="6"/>
      <c r="E9" s="7"/>
      <c r="H9" s="26">
        <f>F10-F8</f>
        <v>-2475</v>
      </c>
    </row>
    <row r="10" spans="1:8" s="5" customFormat="1" x14ac:dyDescent="0.3">
      <c r="A10" s="2"/>
      <c r="B10" s="3"/>
      <c r="C10" s="2"/>
      <c r="D10" s="6"/>
      <c r="E10" s="7"/>
      <c r="F10" s="25"/>
    </row>
    <row r="11" spans="1:8" x14ac:dyDescent="0.3">
      <c r="D11" s="1"/>
      <c r="E11" s="4"/>
    </row>
    <row r="12" spans="1:8" x14ac:dyDescent="0.3">
      <c r="E12" s="28" t="s">
        <v>19</v>
      </c>
      <c r="F12" s="28">
        <v>800</v>
      </c>
    </row>
    <row r="13" spans="1:8" x14ac:dyDescent="0.3">
      <c r="E13" s="28" t="s">
        <v>18</v>
      </c>
      <c r="F13" s="28">
        <v>180</v>
      </c>
    </row>
    <row r="14" spans="1:8" x14ac:dyDescent="0.3">
      <c r="E14" s="28" t="s">
        <v>24</v>
      </c>
      <c r="F14" s="28">
        <v>50</v>
      </c>
    </row>
    <row r="15" spans="1:8" x14ac:dyDescent="0.3">
      <c r="E15" s="28" t="s">
        <v>25</v>
      </c>
      <c r="F15" s="28">
        <v>100</v>
      </c>
    </row>
    <row r="16" spans="1:8" x14ac:dyDescent="0.3">
      <c r="E16" s="28"/>
      <c r="F16" s="29">
        <f>SUM(F12:F15)</f>
        <v>1130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Granja Aline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2021-10-01T02:21:57Z</dcterms:created>
  <dcterms:modified xsi:type="dcterms:W3CDTF">2026-01-28T00:09:57Z</dcterms:modified>
  <cp:category/>
  <cp:contentStatus/>
</cp:coreProperties>
</file>