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63" documentId="8_{C1C1A4B6-F52F-4A59-8D47-9711C22FA402}" xr6:coauthVersionLast="47" xr6:coauthVersionMax="47" xr10:uidLastSave="{84B4DC58-75DC-4706-9F13-888235F68750}"/>
  <bookViews>
    <workbookView xWindow="28680" yWindow="-120" windowWidth="20730" windowHeight="11040" activeTab="1" xr2:uid="{5ED3EFB1-7EF8-4075-9342-1F941DFE3292}"/>
  </bookViews>
  <sheets>
    <sheet name="Custos 1" sheetId="1" r:id="rId1"/>
    <sheet name="Planilha Proposta" sheetId="3" r:id="rId2"/>
    <sheet name="Custos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 s="1"/>
  <c r="D8" i="3"/>
  <c r="I19" i="2"/>
  <c r="I22" i="2"/>
  <c r="I8" i="2"/>
  <c r="D8" i="2" s="1"/>
  <c r="F8" i="2" s="1"/>
  <c r="F6" i="2"/>
  <c r="F10" i="2"/>
  <c r="F7" i="2"/>
  <c r="F6" i="1"/>
  <c r="F5" i="1"/>
  <c r="F4" i="1"/>
  <c r="F3" i="1"/>
  <c r="F2" i="1"/>
  <c r="F7" i="1" s="1"/>
  <c r="F11" i="2" l="1"/>
  <c r="I11" i="2" s="1"/>
  <c r="K11" i="2" s="1"/>
  <c r="E7" i="3" s="1"/>
  <c r="F7" i="3" s="1"/>
  <c r="E3" i="3" l="1"/>
  <c r="F3" i="3" s="1"/>
  <c r="E10" i="3"/>
  <c r="F10" i="3" s="1"/>
  <c r="E6" i="3"/>
  <c r="F6" i="3" s="1"/>
  <c r="E8" i="3"/>
  <c r="F8" i="3" s="1"/>
  <c r="G10" i="2"/>
  <c r="G8" i="2"/>
  <c r="G6" i="2"/>
  <c r="G3" i="2"/>
  <c r="G7" i="2"/>
  <c r="F11" i="3" l="1"/>
  <c r="G11" i="2"/>
</calcChain>
</file>

<file path=xl/sharedStrings.xml><?xml version="1.0" encoding="utf-8"?>
<sst xmlns="http://schemas.openxmlformats.org/spreadsheetml/2006/main" count="86" uniqueCount="53">
  <si>
    <t>ITENS</t>
  </si>
  <si>
    <t xml:space="preserve">DESCRIÇÃO </t>
  </si>
  <si>
    <t>UND</t>
  </si>
  <si>
    <t>QUANTIDADE</t>
  </si>
  <si>
    <t>PREÇO UNITÁRIO</t>
  </si>
  <si>
    <t xml:space="preserve">PREÇO </t>
  </si>
  <si>
    <t>Confeção de Planta e Memoriais descritivos  com Impressão em 3 vias</t>
  </si>
  <si>
    <t>UNID</t>
  </si>
  <si>
    <t xml:space="preserve">Anotação de Responsabilidade das Plantas e Memorias Descritivos </t>
  </si>
  <si>
    <t>Fornecimento de Marcos de Concreto para Divisa</t>
  </si>
  <si>
    <t xml:space="preserve">Implantação de Marcos </t>
  </si>
  <si>
    <t xml:space="preserve">Fornecimento de veiculo para transportar os marcos </t>
  </si>
  <si>
    <t>verba</t>
  </si>
  <si>
    <t>TOTAL:</t>
  </si>
  <si>
    <t>DESCRIÇÃO</t>
  </si>
  <si>
    <t>QUANT</t>
  </si>
  <si>
    <t>PREÇO UNIT</t>
  </si>
  <si>
    <t>PREÇO</t>
  </si>
  <si>
    <t>1.0</t>
  </si>
  <si>
    <t>MOBILIZAÇÃO</t>
  </si>
  <si>
    <t>1.1</t>
  </si>
  <si>
    <t>VERBA</t>
  </si>
  <si>
    <t>2.0</t>
  </si>
  <si>
    <t>LEVANTAMENTO TOPOGRÁFICO E INSUMOS DE CAMPO</t>
  </si>
  <si>
    <t>2.1</t>
  </si>
  <si>
    <t>2.2</t>
  </si>
  <si>
    <t>Confeção e Implantação de marcos Padrão Loteamento com Plaqueta</t>
  </si>
  <si>
    <t>unid</t>
  </si>
  <si>
    <t xml:space="preserve">3.0 </t>
  </si>
  <si>
    <t>ESCRITÓRIO</t>
  </si>
  <si>
    <t>3.1</t>
  </si>
  <si>
    <t>Verba</t>
  </si>
  <si>
    <t>TOTAL</t>
  </si>
  <si>
    <t>Mobilização de equipamentos e pessoas para realização do levantamento e Locação dos Vértices</t>
  </si>
  <si>
    <t>Aerolevantamento Com uso de drone para revisão e compatibilização das medidas  perimetrais e extração de curvas de nível de 1 metro para o projeto de atualização do Projeto de Parcelamento</t>
  </si>
  <si>
    <t>Lotes</t>
  </si>
  <si>
    <t>Marcos</t>
  </si>
  <si>
    <t>Projeto de Parcelamento e geração de plantas em CAD  e cálulos e memoriais descritivos, com impressão em formato ABNT em 3 vias com a elaboração do memorial descritivo, com Anotação de Responsabilidade Técnica - ART</t>
  </si>
  <si>
    <t>Colaboradores</t>
  </si>
  <si>
    <t>Kacildo</t>
  </si>
  <si>
    <t>Eduardo</t>
  </si>
  <si>
    <t>Rodrigo</t>
  </si>
  <si>
    <t>Ajudante</t>
  </si>
  <si>
    <t>Alimentação</t>
  </si>
  <si>
    <t>Combustivel</t>
  </si>
  <si>
    <t xml:space="preserve">Equipamentos </t>
  </si>
  <si>
    <t>Total</t>
  </si>
  <si>
    <t>Erison</t>
  </si>
  <si>
    <t>PREÇO TOTAL</t>
  </si>
  <si>
    <t>VALOR</t>
  </si>
  <si>
    <t>Imlantação e locação de Lotes conforme projeto de Pracelamento</t>
  </si>
  <si>
    <t>LOTES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</si>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</sst>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44" fontId="4" fillId="0" borderId="0" xfId="1" applyFont="1"/>
    <xf numFmtId="0" fontId="5" fillId="0" borderId="0" xfId="0" applyFont="1"/>
    <xf numFmtId="0" fontId="6" fillId="2" borderId="2" xfId="0" applyFont="1" applyFill="1" applyBorder="1"/>
    <xf numFmtId="0" fontId="6" fillId="2" borderId="3" xfId="0" applyFont="1" applyFill="1" applyBorder="1"/>
    <xf numFmtId="0" fontId="7" fillId="2" borderId="3" xfId="0" applyFont="1" applyFill="1" applyBorder="1"/>
    <xf numFmtId="164" fontId="8" fillId="2" borderId="4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44" fontId="5" fillId="0" borderId="1" xfId="2" applyFont="1" applyBorder="1" applyAlignment="1">
      <alignment horizontal="center" vertical="center"/>
    </xf>
    <xf numFmtId="0" fontId="6" fillId="4" borderId="1" xfId="0" applyFont="1" applyFill="1" applyBorder="1"/>
    <xf numFmtId="0" fontId="5" fillId="4" borderId="1" xfId="0" applyFont="1" applyFill="1" applyBorder="1"/>
    <xf numFmtId="44" fontId="5" fillId="4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44" fontId="5" fillId="4" borderId="1" xfId="2" applyFont="1" applyFill="1" applyBorder="1"/>
    <xf numFmtId="0" fontId="5" fillId="0" borderId="1" xfId="0" applyFont="1" applyBorder="1" applyAlignment="1">
      <alignment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44" fontId="2" fillId="2" borderId="1" xfId="0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0" fillId="0" borderId="1" xfId="0" applyBorder="1"/>
    <xf numFmtId="0" fontId="2" fillId="3" borderId="5" xfId="0" applyFont="1" applyFill="1" applyBorder="1" applyAlignment="1">
      <alignment horizontal="center"/>
    </xf>
    <xf numFmtId="4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9" fillId="2" borderId="1" xfId="1" applyFont="1" applyFill="1" applyBorder="1"/>
    <xf numFmtId="0" fontId="2" fillId="4" borderId="1" xfId="0" applyFont="1" applyFill="1" applyBorder="1" applyAlignment="1">
      <alignment horizontal="center"/>
    </xf>
  </cellXfs>
  <cellStyles count="3">
    <cellStyle name="Moeda" xfId="1" builtinId="4"/>
    <cellStyle name="Moeda 2" xfId="2" xr:uid="{81908186-2EA5-400C-A693-2619728C6A5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FC0-13ED-4EBA-BEBF-B905CD21F9E0}">
  <dimension ref="A1:H7"/>
  <sheetViews>
    <sheetView zoomScale="130" zoomScaleNormal="130" workbookViewId="0">
      <selection activeCell="B12" sqref="B12"/>
    </sheetView>
  </sheetViews>
  <sheetFormatPr defaultRowHeight="14.4" x14ac:dyDescent="0.3"/>
  <cols>
    <col min="1" max="1" width="5.5546875" customWidth="1"/>
    <col min="2" max="2" width="33" customWidth="1"/>
    <col min="3" max="3" width="4.5546875" customWidth="1"/>
    <col min="4" max="4" width="7.77734375" customWidth="1"/>
    <col min="5" max="5" width="8.6640625" customWidth="1"/>
    <col min="6" max="6" width="10.664062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20.399999999999999" customHeight="1" x14ac:dyDescent="0.3">
      <c r="A2" s="2">
        <v>1</v>
      </c>
      <c r="B2" s="3" t="s">
        <v>6</v>
      </c>
      <c r="C2" s="3" t="s">
        <v>7</v>
      </c>
      <c r="D2" s="2">
        <v>16</v>
      </c>
      <c r="E2" s="4">
        <v>200</v>
      </c>
      <c r="F2" s="4">
        <f>D2*E2</f>
        <v>3200</v>
      </c>
    </row>
    <row r="3" spans="1:8" x14ac:dyDescent="0.3">
      <c r="A3" s="2">
        <v>2</v>
      </c>
      <c r="B3" s="3" t="s">
        <v>8</v>
      </c>
      <c r="C3" s="3" t="s">
        <v>7</v>
      </c>
      <c r="D3" s="2">
        <v>16</v>
      </c>
      <c r="E3" s="4">
        <v>200</v>
      </c>
      <c r="F3" s="4">
        <f>D3*E3</f>
        <v>3200</v>
      </c>
      <c r="G3" s="5"/>
      <c r="H3" s="5"/>
    </row>
    <row r="4" spans="1:8" ht="18" customHeight="1" x14ac:dyDescent="0.3">
      <c r="A4" s="2">
        <v>3</v>
      </c>
      <c r="B4" s="3" t="s">
        <v>9</v>
      </c>
      <c r="C4" s="3" t="s">
        <v>7</v>
      </c>
      <c r="D4" s="2">
        <v>45</v>
      </c>
      <c r="E4" s="4">
        <v>10</v>
      </c>
      <c r="F4" s="4">
        <f>D4*E4</f>
        <v>450</v>
      </c>
      <c r="G4" s="5"/>
      <c r="H4" s="5"/>
    </row>
    <row r="5" spans="1:8" ht="18" customHeight="1" x14ac:dyDescent="0.3">
      <c r="A5" s="2">
        <v>4</v>
      </c>
      <c r="B5" s="3" t="s">
        <v>10</v>
      </c>
      <c r="C5" s="3" t="s">
        <v>7</v>
      </c>
      <c r="D5" s="2">
        <v>16</v>
      </c>
      <c r="E5" s="4">
        <v>22.5</v>
      </c>
      <c r="F5" s="4">
        <f>D5*E5</f>
        <v>360</v>
      </c>
      <c r="G5" s="5"/>
      <c r="H5" s="5"/>
    </row>
    <row r="6" spans="1:8" ht="18" customHeight="1" x14ac:dyDescent="0.3">
      <c r="A6" s="2">
        <v>5</v>
      </c>
      <c r="B6" s="3" t="s">
        <v>11</v>
      </c>
      <c r="C6" s="3" t="s">
        <v>12</v>
      </c>
      <c r="D6" s="2">
        <v>1</v>
      </c>
      <c r="E6" s="4">
        <v>400</v>
      </c>
      <c r="F6" s="4">
        <f>D6*E6</f>
        <v>400</v>
      </c>
      <c r="G6" s="5"/>
      <c r="H6" s="5"/>
    </row>
    <row r="7" spans="1:8" ht="15" thickBot="1" x14ac:dyDescent="0.35">
      <c r="A7" s="6"/>
      <c r="B7" s="7"/>
      <c r="C7" s="7"/>
      <c r="D7" s="8" t="s">
        <v>13</v>
      </c>
      <c r="E7" s="8"/>
      <c r="F7" s="9">
        <f>SUM(F2:F6)</f>
        <v>7610</v>
      </c>
      <c r="G7" s="5"/>
      <c r="H7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7FB2-CCCA-4A8B-B70E-E5CB619D2292}">
  <dimension ref="A1:F11"/>
  <sheetViews>
    <sheetView tabSelected="1" workbookViewId="0">
      <selection sqref="A1:XFD1048576"/>
    </sheetView>
  </sheetViews>
  <sheetFormatPr defaultRowHeight="14.4" x14ac:dyDescent="0.3"/>
  <cols>
    <col min="1" max="1" width="5.88671875" bestFit="1" customWidth="1"/>
    <col min="2" max="2" width="43.21875" customWidth="1"/>
    <col min="3" max="3" width="5.6640625" bestFit="1" customWidth="1"/>
    <col min="4" max="4" width="7.33203125" bestFit="1" customWidth="1"/>
    <col min="5" max="5" width="11.88671875" customWidth="1"/>
    <col min="6" max="6" width="12.88671875" bestFit="1" customWidth="1"/>
  </cols>
  <sheetData>
    <row r="1" spans="1:6" x14ac:dyDescent="0.3">
      <c r="A1" s="10" t="s">
        <v>0</v>
      </c>
      <c r="B1" s="10" t="s">
        <v>14</v>
      </c>
      <c r="C1" s="10" t="s">
        <v>2</v>
      </c>
      <c r="D1" s="11" t="s">
        <v>15</v>
      </c>
      <c r="E1" s="10" t="s">
        <v>16</v>
      </c>
      <c r="F1" s="35" t="s">
        <v>49</v>
      </c>
    </row>
    <row r="2" spans="1:6" x14ac:dyDescent="0.3">
      <c r="A2" s="40" t="s">
        <v>18</v>
      </c>
      <c r="B2" s="12" t="s">
        <v>19</v>
      </c>
      <c r="C2" s="13"/>
      <c r="D2" s="13"/>
      <c r="E2" s="13"/>
      <c r="F2" s="13"/>
    </row>
    <row r="3" spans="1:6" ht="24" x14ac:dyDescent="0.3">
      <c r="A3" s="14" t="s">
        <v>20</v>
      </c>
      <c r="B3" s="15" t="s">
        <v>33</v>
      </c>
      <c r="C3" s="16" t="s">
        <v>21</v>
      </c>
      <c r="D3" s="16">
        <v>3</v>
      </c>
      <c r="E3" s="36">
        <f>'Custos 2'!E3*(1+'Custos 2'!$K$11)</f>
        <v>3563.8289601554911</v>
      </c>
      <c r="F3" s="36">
        <f>D3*E3</f>
        <v>10691.486880466473</v>
      </c>
    </row>
    <row r="4" spans="1:6" x14ac:dyDescent="0.3">
      <c r="A4" s="14"/>
      <c r="B4" s="15"/>
      <c r="C4" s="16"/>
      <c r="D4" s="16"/>
      <c r="E4" s="36"/>
      <c r="F4" s="38"/>
    </row>
    <row r="5" spans="1:6" x14ac:dyDescent="0.3">
      <c r="A5" s="22" t="s">
        <v>22</v>
      </c>
      <c r="B5" s="18" t="s">
        <v>23</v>
      </c>
      <c r="C5" s="19"/>
      <c r="D5" s="19"/>
      <c r="E5" s="37"/>
      <c r="F5" s="37"/>
    </row>
    <row r="6" spans="1:6" ht="48" x14ac:dyDescent="0.3">
      <c r="A6" s="14" t="s">
        <v>24</v>
      </c>
      <c r="B6" s="15" t="s">
        <v>34</v>
      </c>
      <c r="C6" s="16" t="s">
        <v>31</v>
      </c>
      <c r="D6" s="16">
        <v>1</v>
      </c>
      <c r="E6" s="36">
        <f>'Custos 2'!E6*(1+'Custos 2'!$K$11)</f>
        <v>2819.484936831876</v>
      </c>
      <c r="F6" s="36">
        <f>D6*E6</f>
        <v>2819.484936831876</v>
      </c>
    </row>
    <row r="7" spans="1:6" ht="24" x14ac:dyDescent="0.3">
      <c r="A7" s="21" t="s">
        <v>25</v>
      </c>
      <c r="B7" s="15" t="s">
        <v>50</v>
      </c>
      <c r="C7" s="16" t="s">
        <v>51</v>
      </c>
      <c r="D7" s="16">
        <v>50</v>
      </c>
      <c r="E7" s="36">
        <f>'Custos 2'!E7*(1+'Custos 2'!$K$11)</f>
        <v>281.94849368318756</v>
      </c>
      <c r="F7" s="36">
        <f>D7*E7</f>
        <v>14097.424684159378</v>
      </c>
    </row>
    <row r="8" spans="1:6" ht="24" x14ac:dyDescent="0.3">
      <c r="A8" s="21" t="s">
        <v>25</v>
      </c>
      <c r="B8" s="15" t="s">
        <v>26</v>
      </c>
      <c r="C8" s="16" t="s">
        <v>27</v>
      </c>
      <c r="D8" s="16">
        <f>'Custos 2'!I8</f>
        <v>108</v>
      </c>
      <c r="E8" s="36">
        <f>'Custos 2'!E8*(1+'Custos 2'!$K$11)</f>
        <v>16.916909620991255</v>
      </c>
      <c r="F8" s="36">
        <f>D8*E8</f>
        <v>1827.0262390670555</v>
      </c>
    </row>
    <row r="9" spans="1:6" x14ac:dyDescent="0.3">
      <c r="A9" s="22" t="s">
        <v>28</v>
      </c>
      <c r="B9" s="18" t="s">
        <v>29</v>
      </c>
      <c r="C9" s="19"/>
      <c r="D9" s="19"/>
      <c r="E9" s="37"/>
      <c r="F9" s="37"/>
    </row>
    <row r="10" spans="1:6" ht="48.6" x14ac:dyDescent="0.3">
      <c r="A10" s="21" t="s">
        <v>30</v>
      </c>
      <c r="B10" s="24" t="s">
        <v>37</v>
      </c>
      <c r="C10" s="16" t="s">
        <v>31</v>
      </c>
      <c r="D10" s="16">
        <v>1</v>
      </c>
      <c r="E10" s="36">
        <f>'Custos 2'!E10*(1+'Custos 2'!$K$11)</f>
        <v>902.23517978620032</v>
      </c>
      <c r="F10" s="36">
        <f>D10*E10</f>
        <v>902.23517978620032</v>
      </c>
    </row>
    <row r="11" spans="1:6" x14ac:dyDescent="0.3">
      <c r="A11" s="25"/>
      <c r="B11" s="26" t="s">
        <v>32</v>
      </c>
      <c r="C11" s="25"/>
      <c r="D11" s="25"/>
      <c r="E11" s="25"/>
      <c r="F11" s="39">
        <f>SUM(F2:F10)</f>
        <v>30337.65792031098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5B0F-DE09-4E82-8C7B-76CFA0194B9F}">
  <dimension ref="A1:K22"/>
  <sheetViews>
    <sheetView topLeftCell="A11" zoomScale="115" zoomScaleNormal="115" workbookViewId="0">
      <selection activeCell="I22" sqref="I22"/>
    </sheetView>
  </sheetViews>
  <sheetFormatPr defaultRowHeight="14.4" x14ac:dyDescent="0.3"/>
  <cols>
    <col min="2" max="2" width="39.5546875" bestFit="1" customWidth="1"/>
    <col min="5" max="5" width="11.33203125" bestFit="1" customWidth="1"/>
    <col min="6" max="7" width="13.77734375" bestFit="1" customWidth="1"/>
    <col min="8" max="8" width="13.109375" bestFit="1" customWidth="1"/>
    <col min="9" max="9" width="13.77734375" bestFit="1" customWidth="1"/>
  </cols>
  <sheetData>
    <row r="1" spans="1:11" x14ac:dyDescent="0.3">
      <c r="A1" s="10" t="s">
        <v>0</v>
      </c>
      <c r="B1" s="10" t="s">
        <v>14</v>
      </c>
      <c r="C1" s="10" t="s">
        <v>2</v>
      </c>
      <c r="D1" s="11" t="s">
        <v>15</v>
      </c>
      <c r="E1" s="10" t="s">
        <v>16</v>
      </c>
      <c r="F1" s="10" t="s">
        <v>17</v>
      </c>
      <c r="G1" s="10" t="s">
        <v>48</v>
      </c>
    </row>
    <row r="2" spans="1:11" x14ac:dyDescent="0.3">
      <c r="A2" s="12" t="s">
        <v>18</v>
      </c>
      <c r="B2" s="12" t="s">
        <v>19</v>
      </c>
      <c r="C2" s="13"/>
      <c r="D2" s="13"/>
      <c r="E2" s="13"/>
      <c r="F2" s="13"/>
      <c r="G2" s="13"/>
    </row>
    <row r="3" spans="1:11" ht="24" x14ac:dyDescent="0.3">
      <c r="A3" s="14" t="s">
        <v>20</v>
      </c>
      <c r="B3" s="15" t="s">
        <v>33</v>
      </c>
      <c r="C3" s="16" t="s">
        <v>21</v>
      </c>
      <c r="D3" s="16">
        <v>1</v>
      </c>
      <c r="E3" s="17">
        <f>(350*3)+(160*3)+(680*1)+(150*3)+500</f>
        <v>3160</v>
      </c>
      <c r="F3" s="17">
        <f>D3*E3</f>
        <v>3160</v>
      </c>
      <c r="G3" s="17">
        <f>F3*(1+$K$11)</f>
        <v>3563.8289601554911</v>
      </c>
    </row>
    <row r="4" spans="1:11" x14ac:dyDescent="0.3">
      <c r="A4" s="14"/>
      <c r="B4" s="15"/>
      <c r="C4" s="16"/>
      <c r="D4" s="16"/>
      <c r="E4" s="17"/>
      <c r="F4" s="17"/>
      <c r="G4" s="34"/>
    </row>
    <row r="5" spans="1:11" x14ac:dyDescent="0.3">
      <c r="A5" s="18" t="s">
        <v>22</v>
      </c>
      <c r="B5" s="18" t="s">
        <v>23</v>
      </c>
      <c r="C5" s="19"/>
      <c r="D5" s="19"/>
      <c r="E5" s="19"/>
      <c r="F5" s="20"/>
      <c r="G5" s="20"/>
    </row>
    <row r="6" spans="1:11" ht="48" x14ac:dyDescent="0.3">
      <c r="A6" s="14" t="s">
        <v>24</v>
      </c>
      <c r="B6" s="15" t="s">
        <v>34</v>
      </c>
      <c r="C6" s="16" t="s">
        <v>31</v>
      </c>
      <c r="D6" s="16">
        <v>1</v>
      </c>
      <c r="E6" s="17">
        <v>2500</v>
      </c>
      <c r="F6" s="17">
        <f>D6*E6</f>
        <v>2500</v>
      </c>
      <c r="G6" s="17">
        <f>F6*(1+$K$11)</f>
        <v>2819.484936831876</v>
      </c>
    </row>
    <row r="7" spans="1:11" ht="24" x14ac:dyDescent="0.3">
      <c r="A7" s="21" t="s">
        <v>25</v>
      </c>
      <c r="B7" s="15" t="s">
        <v>50</v>
      </c>
      <c r="C7" s="16" t="s">
        <v>52</v>
      </c>
      <c r="D7" s="16">
        <v>50</v>
      </c>
      <c r="E7" s="17">
        <v>250</v>
      </c>
      <c r="F7" s="17">
        <f>D7*E7</f>
        <v>12500</v>
      </c>
      <c r="G7" s="17">
        <f>F7*(1+$K$11)</f>
        <v>14097.424684159379</v>
      </c>
      <c r="H7" s="29" t="s">
        <v>35</v>
      </c>
      <c r="I7" s="29" t="s">
        <v>36</v>
      </c>
    </row>
    <row r="8" spans="1:11" ht="24" x14ac:dyDescent="0.3">
      <c r="A8" s="21" t="s">
        <v>25</v>
      </c>
      <c r="B8" s="15" t="s">
        <v>26</v>
      </c>
      <c r="C8" s="16" t="s">
        <v>27</v>
      </c>
      <c r="D8" s="16">
        <f>I8</f>
        <v>108</v>
      </c>
      <c r="E8" s="17">
        <v>15</v>
      </c>
      <c r="F8" s="17">
        <f>D8*E8</f>
        <v>1620</v>
      </c>
      <c r="G8" s="17">
        <f>F8*(1+$K$11)</f>
        <v>1827.0262390670555</v>
      </c>
      <c r="H8" s="28">
        <v>50</v>
      </c>
      <c r="I8" s="28">
        <f>4+(2*H8)+4</f>
        <v>108</v>
      </c>
    </row>
    <row r="9" spans="1:11" x14ac:dyDescent="0.3">
      <c r="A9" s="22" t="s">
        <v>28</v>
      </c>
      <c r="B9" s="18" t="s">
        <v>29</v>
      </c>
      <c r="C9" s="19"/>
      <c r="D9" s="19"/>
      <c r="E9" s="19"/>
      <c r="F9" s="23"/>
      <c r="G9" s="23"/>
    </row>
    <row r="10" spans="1:11" ht="60.6" x14ac:dyDescent="0.3">
      <c r="A10" s="21" t="s">
        <v>30</v>
      </c>
      <c r="B10" s="24" t="s">
        <v>37</v>
      </c>
      <c r="C10" s="16" t="s">
        <v>31</v>
      </c>
      <c r="D10" s="16">
        <v>1</v>
      </c>
      <c r="E10" s="17">
        <v>800</v>
      </c>
      <c r="F10" s="17">
        <f>D10*E10</f>
        <v>800</v>
      </c>
      <c r="G10" s="17">
        <f>F10*(1+$K$11)</f>
        <v>902.23517978620032</v>
      </c>
    </row>
    <row r="11" spans="1:11" x14ac:dyDescent="0.3">
      <c r="A11" s="25"/>
      <c r="B11" s="26" t="s">
        <v>32</v>
      </c>
      <c r="C11" s="25"/>
      <c r="D11" s="25"/>
      <c r="E11" s="25"/>
      <c r="F11" s="27">
        <f>SUM(F2:F10)</f>
        <v>20580</v>
      </c>
      <c r="G11" s="27">
        <f>SUM(G2:G10)</f>
        <v>23210</v>
      </c>
      <c r="I11" s="31">
        <f>F11-I22</f>
        <v>2630</v>
      </c>
      <c r="K11">
        <f>I11/F11</f>
        <v>0.12779397473275025</v>
      </c>
    </row>
    <row r="13" spans="1:11" x14ac:dyDescent="0.3">
      <c r="H13" s="32" t="s">
        <v>38</v>
      </c>
      <c r="I13" s="32"/>
    </row>
    <row r="14" spans="1:11" x14ac:dyDescent="0.3">
      <c r="H14" t="s">
        <v>47</v>
      </c>
      <c r="I14" s="30">
        <v>5000</v>
      </c>
    </row>
    <row r="15" spans="1:11" x14ac:dyDescent="0.3">
      <c r="H15" t="s">
        <v>39</v>
      </c>
      <c r="I15" s="30">
        <v>5000</v>
      </c>
    </row>
    <row r="16" spans="1:11" x14ac:dyDescent="0.3">
      <c r="H16" t="s">
        <v>40</v>
      </c>
      <c r="I16" s="30">
        <v>0</v>
      </c>
    </row>
    <row r="17" spans="8:9" x14ac:dyDescent="0.3">
      <c r="H17" t="s">
        <v>41</v>
      </c>
      <c r="I17" s="30">
        <v>5000</v>
      </c>
    </row>
    <row r="18" spans="8:9" x14ac:dyDescent="0.3">
      <c r="H18" t="s">
        <v>42</v>
      </c>
      <c r="I18" s="30">
        <v>900</v>
      </c>
    </row>
    <row r="19" spans="8:9" x14ac:dyDescent="0.3">
      <c r="H19" t="s">
        <v>43</v>
      </c>
      <c r="I19" s="30">
        <f>250*3</f>
        <v>750</v>
      </c>
    </row>
    <row r="20" spans="8:9" x14ac:dyDescent="0.3">
      <c r="H20" t="s">
        <v>44</v>
      </c>
      <c r="I20" s="30">
        <v>500</v>
      </c>
    </row>
    <row r="21" spans="8:9" x14ac:dyDescent="0.3">
      <c r="H21" t="s">
        <v>45</v>
      </c>
      <c r="I21" s="30">
        <v>800</v>
      </c>
    </row>
    <row r="22" spans="8:9" x14ac:dyDescent="0.3">
      <c r="H22" s="32" t="s">
        <v>46</v>
      </c>
      <c r="I22" s="33">
        <f>SUM(I14:I21)</f>
        <v>17950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Custos 1</vt:lpstr>
      <vt:lpstr>Planilha Proposta</vt:lpstr>
      <vt:lpstr>Custos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Erison Barros</cp:lastModifiedBy>
  <dcterms:created xsi:type="dcterms:W3CDTF">2025-02-18T17:11:00Z</dcterms:created>
  <dcterms:modified xsi:type="dcterms:W3CDTF">2025-02-18T21:34:49Z</dcterms:modified>
</cp:coreProperties>
</file>