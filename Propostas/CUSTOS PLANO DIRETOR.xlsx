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D:\OneDrive\PROPOSTA\"/>
    </mc:Choice>
  </mc:AlternateContent>
  <xr:revisionPtr revIDLastSave="12" documentId="11_0DDA552ABF95115D7B016CD89D67F8530827733F" xr6:coauthVersionLast="44" xr6:coauthVersionMax="44" xr10:uidLastSave="{D9F1B6B5-95D2-49A7-B22B-2EF670B0B6A7}"/>
  <bookViews>
    <workbookView xWindow="-120" yWindow="-120" windowWidth="20730" windowHeight="11160" xr2:uid="{00000000-000D-0000-FFFF-FFFF0000000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20" i="1" l="1"/>
  <c r="H13" i="1"/>
  <c r="H14" i="1"/>
  <c r="H15" i="1"/>
  <c r="C5" i="1" l="1"/>
  <c r="H16" i="1"/>
  <c r="H19" i="1" s="1"/>
  <c r="H17" i="1"/>
  <c r="H18" i="1"/>
  <c r="C3" i="1"/>
  <c r="C4" i="1"/>
  <c r="C2" i="1"/>
  <c r="C6" i="1" s="1"/>
</calcChain>
</file>

<file path=xl/sharedStrings.xml><?xml version="1.0" encoding="utf-8"?>
<sst xmlns="http://schemas.openxmlformats.org/spreadsheetml/2006/main" count="29" uniqueCount="25">
  <si>
    <t xml:space="preserve">GASTOS </t>
  </si>
  <si>
    <t>VIAGENS</t>
  </si>
  <si>
    <t>ALIMENTAÇÃO</t>
  </si>
  <si>
    <t>R$</t>
  </si>
  <si>
    <t>QUANTIDADE DE PROF.</t>
  </si>
  <si>
    <t>LOCOMOÇÃO DA EQUIPE</t>
  </si>
  <si>
    <t>TOTAL</t>
  </si>
  <si>
    <t>QUANTIDADE DE REUNIÕES</t>
  </si>
  <si>
    <t xml:space="preserve">DISTÂNCIA EM KM </t>
  </si>
  <si>
    <t xml:space="preserve">QUANTIDADE DE VISITAS </t>
  </si>
  <si>
    <t>VALOR DO KM</t>
  </si>
  <si>
    <t>TABELA LOCOMOÇÃO (01)</t>
  </si>
  <si>
    <t>TAB. 01</t>
  </si>
  <si>
    <t>TABELA DE H/T DE PROF.</t>
  </si>
  <si>
    <t>Engenheiro Cartografo</t>
  </si>
  <si>
    <t>VALOR EM HORA/T</t>
  </si>
  <si>
    <t xml:space="preserve">HORAS </t>
  </si>
  <si>
    <t>Geográfo</t>
  </si>
  <si>
    <t>Aqruiteto Urbanista</t>
  </si>
  <si>
    <t>Economista</t>
  </si>
  <si>
    <t>Sociologo</t>
  </si>
  <si>
    <t>Advogado</t>
  </si>
  <si>
    <t>TOTAL R$</t>
  </si>
  <si>
    <t xml:space="preserve">HOSPEDAGEM </t>
  </si>
  <si>
    <t>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</si>
</sst>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"/>
    <numFmt numFmtId="165" formatCode="0.0"/>
  </numFmts>
  <fonts count="1" x14ac:knownFonts="1"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5" borderId="0" xfId="0" applyFill="1" applyAlignment="1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7" borderId="1" xfId="0" applyFill="1" applyBorder="1"/>
    <xf numFmtId="0" fontId="0" fillId="3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/>
    <xf numFmtId="0" fontId="0" fillId="6" borderId="1" xfId="0" applyFill="1" applyBorder="1" applyAlignment="1">
      <alignment horizontal="center"/>
    </xf>
    <xf numFmtId="164" fontId="0" fillId="0" borderId="1" xfId="0" applyNumberFormat="1" applyBorder="1"/>
    <xf numFmtId="164" fontId="0" fillId="0" borderId="1" xfId="0" applyNumberFormat="1" applyBorder="1" applyAlignment="1">
      <alignment horizontal="center"/>
    </xf>
    <xf numFmtId="0" fontId="0" fillId="7" borderId="1" xfId="0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>
      <selection activeCell="F18" sqref="F18"/>
    </sheetView>
  </sheetViews>
  <sheetFormatPr defaultRowHeight="15" x14ac:dyDescent="0.25"/>
  <cols>
    <col min="1" max="1" width="27" customWidth="1"/>
    <col min="2" max="2" width="14.140625" customWidth="1"/>
    <col min="3" max="3" width="20.85546875" customWidth="1"/>
    <col min="5" max="5" width="22.7109375" customWidth="1"/>
    <col min="6" max="6" width="26" customWidth="1"/>
    <col min="7" max="7" width="13.28515625" customWidth="1"/>
    <col min="8" max="8" width="14.140625" customWidth="1"/>
    <col min="9" max="9" width="13.85546875" customWidth="1"/>
  </cols>
  <sheetData>
    <row r="1" spans="1:9" x14ac:dyDescent="0.25">
      <c r="A1" s="4" t="s">
        <v>0</v>
      </c>
      <c r="B1" s="4" t="s">
        <v>3</v>
      </c>
      <c r="C1" s="4" t="s">
        <v>6</v>
      </c>
      <c r="D1" s="2"/>
      <c r="E1" s="7" t="s">
        <v>4</v>
      </c>
      <c r="F1" s="8" t="s">
        <v>7</v>
      </c>
      <c r="H1" s="1"/>
      <c r="I1" s="1"/>
    </row>
    <row r="2" spans="1:9" x14ac:dyDescent="0.25">
      <c r="A2" s="5" t="s">
        <v>1</v>
      </c>
      <c r="B2" s="19">
        <v>90</v>
      </c>
      <c r="C2" s="13">
        <f>E2*B2*F2</f>
        <v>1890</v>
      </c>
      <c r="E2" s="6">
        <v>7</v>
      </c>
      <c r="F2" s="6">
        <v>3</v>
      </c>
    </row>
    <row r="3" spans="1:9" x14ac:dyDescent="0.25">
      <c r="A3" s="5" t="s">
        <v>2</v>
      </c>
      <c r="B3" s="19">
        <v>20</v>
      </c>
      <c r="C3" s="13">
        <f>(5+E2)*(3*B3)*F2</f>
        <v>2160</v>
      </c>
      <c r="H3" s="1"/>
      <c r="I3" s="1"/>
    </row>
    <row r="4" spans="1:9" x14ac:dyDescent="0.25">
      <c r="A4" s="5" t="s">
        <v>5</v>
      </c>
      <c r="B4" s="6" t="s">
        <v>12</v>
      </c>
      <c r="C4" s="13">
        <f>F8*E8*G8</f>
        <v>2520</v>
      </c>
    </row>
    <row r="5" spans="1:9" x14ac:dyDescent="0.25">
      <c r="A5" s="5" t="s">
        <v>23</v>
      </c>
      <c r="B5" s="18">
        <v>120</v>
      </c>
      <c r="C5" s="13">
        <f>E2*B5*6</f>
        <v>5040</v>
      </c>
    </row>
    <row r="6" spans="1:9" x14ac:dyDescent="0.25">
      <c r="A6" s="14" t="s">
        <v>6</v>
      </c>
      <c r="B6" s="6" t="s">
        <v>24</v>
      </c>
      <c r="C6" s="15">
        <f>SUM(C2:C5)</f>
        <v>11610</v>
      </c>
      <c r="E6" s="16" t="s">
        <v>11</v>
      </c>
      <c r="F6" s="16"/>
      <c r="G6" s="16"/>
    </row>
    <row r="7" spans="1:9" x14ac:dyDescent="0.25">
      <c r="A7" s="1"/>
      <c r="E7" s="9" t="s">
        <v>8</v>
      </c>
      <c r="F7" s="10" t="s">
        <v>9</v>
      </c>
      <c r="G7" s="11" t="s">
        <v>10</v>
      </c>
    </row>
    <row r="8" spans="1:9" x14ac:dyDescent="0.25">
      <c r="E8" s="6">
        <v>84</v>
      </c>
      <c r="F8" s="6">
        <v>20</v>
      </c>
      <c r="G8" s="6">
        <v>1.5</v>
      </c>
    </row>
    <row r="10" spans="1:9" x14ac:dyDescent="0.25">
      <c r="C10" s="1"/>
    </row>
    <row r="11" spans="1:9" x14ac:dyDescent="0.25">
      <c r="E11" s="17" t="s">
        <v>13</v>
      </c>
      <c r="F11" s="17"/>
      <c r="G11" s="17"/>
      <c r="H11" s="17"/>
    </row>
    <row r="12" spans="1:9" x14ac:dyDescent="0.25">
      <c r="E12" s="3"/>
      <c r="F12" s="6" t="s">
        <v>15</v>
      </c>
      <c r="G12" s="6" t="s">
        <v>16</v>
      </c>
      <c r="H12" s="3" t="s">
        <v>22</v>
      </c>
    </row>
    <row r="13" spans="1:9" x14ac:dyDescent="0.25">
      <c r="E13" s="6" t="s">
        <v>14</v>
      </c>
      <c r="F13" s="13">
        <v>39.92</v>
      </c>
      <c r="G13" s="3">
        <v>580</v>
      </c>
      <c r="H13" s="12">
        <f t="shared" ref="H13:H15" si="0">G13*F13</f>
        <v>23153.600000000002</v>
      </c>
    </row>
    <row r="14" spans="1:9" x14ac:dyDescent="0.25">
      <c r="E14" s="6" t="s">
        <v>17</v>
      </c>
      <c r="F14" s="13">
        <v>20.57</v>
      </c>
      <c r="G14" s="3">
        <v>580</v>
      </c>
      <c r="H14" s="12">
        <f t="shared" si="0"/>
        <v>11930.6</v>
      </c>
    </row>
    <row r="15" spans="1:9" x14ac:dyDescent="0.25">
      <c r="E15" s="6" t="s">
        <v>18</v>
      </c>
      <c r="F15" s="13">
        <v>39.39</v>
      </c>
      <c r="G15" s="3">
        <v>580</v>
      </c>
      <c r="H15" s="12">
        <f t="shared" si="0"/>
        <v>22846.2</v>
      </c>
    </row>
    <row r="16" spans="1:9" x14ac:dyDescent="0.25">
      <c r="E16" s="6" t="s">
        <v>19</v>
      </c>
      <c r="F16" s="13">
        <v>28.85</v>
      </c>
      <c r="G16" s="3">
        <v>240</v>
      </c>
      <c r="H16" s="12">
        <f>G16*F16</f>
        <v>6924</v>
      </c>
    </row>
    <row r="17" spans="5:8" x14ac:dyDescent="0.25">
      <c r="E17" s="6" t="s">
        <v>20</v>
      </c>
      <c r="F17" s="13">
        <v>16.739999999999998</v>
      </c>
      <c r="G17" s="3">
        <v>480</v>
      </c>
      <c r="H17" s="12">
        <f>G17*F17</f>
        <v>8035.1999999999989</v>
      </c>
    </row>
    <row r="18" spans="5:8" x14ac:dyDescent="0.25">
      <c r="E18" s="6" t="s">
        <v>21</v>
      </c>
      <c r="F18" s="13">
        <v>24.56</v>
      </c>
      <c r="G18" s="3">
        <v>160</v>
      </c>
      <c r="H18" s="12">
        <f>G18*F18</f>
        <v>3929.6</v>
      </c>
    </row>
    <row r="19" spans="5:8" x14ac:dyDescent="0.25">
      <c r="E19" s="6" t="s">
        <v>6</v>
      </c>
      <c r="F19" s="6" t="s">
        <v>24</v>
      </c>
      <c r="G19" s="6" t="s">
        <v>24</v>
      </c>
      <c r="H19" s="12">
        <f>SUM(H13:H18)</f>
        <v>76819.200000000012</v>
      </c>
    </row>
    <row r="20" spans="5:8" x14ac:dyDescent="0.25">
      <c r="H20" s="20">
        <f>SUM(H19)</f>
        <v>76819.200000000012</v>
      </c>
    </row>
  </sheetData>
  <mergeCells count="2">
    <mergeCell ref="E6:G6"/>
    <mergeCell ref="E11:H1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allyf</dc:creator>
  <cp:lastModifiedBy>Erison Barros</cp:lastModifiedBy>
  <dcterms:created xsi:type="dcterms:W3CDTF">2019-09-27T19:33:28Z</dcterms:created>
  <dcterms:modified xsi:type="dcterms:W3CDTF">2019-09-27T21:17:49Z</dcterms:modified>
</cp:coreProperties>
</file>