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8_{6FD7605A-B102-4BD3-9A86-0FCDBDC194B4}" xr6:coauthVersionLast="47" xr6:coauthVersionMax="47" xr10:uidLastSave="{00000000-0000-0000-0000-000000000000}"/>
  <bookViews>
    <workbookView xWindow="-108" yWindow="-108" windowWidth="23256" windowHeight="12456" tabRatio="821" activeTab="1" xr2:uid="{6521DA30-817E-48F5-AF0A-4499189AFDEF}"/>
  </bookViews>
  <sheets>
    <sheet name="UNIDADE 12" sheetId="1" r:id="rId1"/>
    <sheet name="CAMPO" sheetId="2" r:id="rId2"/>
    <sheet name="MALTA 9" sheetId="3" r:id="rId3"/>
    <sheet name="JOSIAS" sheetId="4" r:id="rId4"/>
    <sheet name="VÁLERIA" sheetId="5" r:id="rId5"/>
    <sheet name="CERCADO DE DONA NENA" sheetId="6" r:id="rId6"/>
    <sheet name="ZÉ DO GÁS" sheetId="7" r:id="rId7"/>
    <sheet name="PLANILHA TOTAL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5" l="1"/>
  <c r="I10" i="4"/>
  <c r="C2" i="8"/>
  <c r="D8" i="8"/>
  <c r="D6" i="8"/>
  <c r="D7" i="8"/>
  <c r="D5" i="8"/>
  <c r="D4" i="8"/>
  <c r="D3" i="8"/>
  <c r="D2" i="8"/>
  <c r="D9" i="8"/>
  <c r="J10" i="7"/>
  <c r="H10" i="7"/>
  <c r="I10" i="7"/>
  <c r="G12" i="7"/>
  <c r="J10" i="6"/>
  <c r="H10" i="6"/>
  <c r="I10" i="6"/>
  <c r="G12" i="6"/>
  <c r="J10" i="5"/>
  <c r="H10" i="5"/>
  <c r="G12" i="5"/>
  <c r="J10" i="4"/>
  <c r="H10" i="4"/>
  <c r="G12" i="4"/>
  <c r="J10" i="3"/>
  <c r="H10" i="3"/>
  <c r="I10" i="3"/>
  <c r="G12" i="3"/>
  <c r="J10" i="2"/>
  <c r="H10" i="2"/>
  <c r="I10" i="2"/>
  <c r="G12" i="2"/>
  <c r="G12" i="1"/>
  <c r="J10" i="1"/>
  <c r="I10" i="1"/>
  <c r="H10" i="1"/>
  <c r="E2" i="8"/>
  <c r="E9" i="7"/>
  <c r="E9" i="6"/>
  <c r="E9" i="5"/>
  <c r="E9" i="4"/>
  <c r="E9" i="3"/>
  <c r="E9" i="2"/>
  <c r="E9" i="1"/>
  <c r="F9" i="7"/>
  <c r="B9" i="7"/>
  <c r="E8" i="7"/>
  <c r="F8" i="7"/>
  <c r="B8" i="7"/>
  <c r="F7" i="7"/>
  <c r="E7" i="7"/>
  <c r="B7" i="7"/>
  <c r="F6" i="7"/>
  <c r="B6" i="7"/>
  <c r="E4" i="7"/>
  <c r="F4" i="7"/>
  <c r="F9" i="6"/>
  <c r="B9" i="6"/>
  <c r="E8" i="6"/>
  <c r="F8" i="6"/>
  <c r="B8" i="6"/>
  <c r="F7" i="6"/>
  <c r="E7" i="6"/>
  <c r="B7" i="6"/>
  <c r="F6" i="6"/>
  <c r="B6" i="6"/>
  <c r="E4" i="6"/>
  <c r="F4" i="6"/>
  <c r="F9" i="5"/>
  <c r="B9" i="5"/>
  <c r="F8" i="5"/>
  <c r="E8" i="5"/>
  <c r="B8" i="5"/>
  <c r="F7" i="5"/>
  <c r="E7" i="5"/>
  <c r="B7" i="5"/>
  <c r="F6" i="5"/>
  <c r="B6" i="5"/>
  <c r="E4" i="5"/>
  <c r="F4" i="5"/>
  <c r="F9" i="4"/>
  <c r="B9" i="4"/>
  <c r="E8" i="4"/>
  <c r="F8" i="4"/>
  <c r="B8" i="4"/>
  <c r="F7" i="4"/>
  <c r="E7" i="4"/>
  <c r="B7" i="4"/>
  <c r="F6" i="4"/>
  <c r="B6" i="4"/>
  <c r="E4" i="4"/>
  <c r="F4" i="4"/>
  <c r="B9" i="2"/>
  <c r="B8" i="2"/>
  <c r="B7" i="2"/>
  <c r="B6" i="2"/>
  <c r="B9" i="3"/>
  <c r="B8" i="3"/>
  <c r="B7" i="3"/>
  <c r="B6" i="3"/>
  <c r="B4" i="2"/>
  <c r="E6" i="1"/>
  <c r="E4" i="2"/>
  <c r="E4" i="3"/>
  <c r="F9" i="3"/>
  <c r="E8" i="3"/>
  <c r="F8" i="3"/>
  <c r="E7" i="3"/>
  <c r="F7" i="3"/>
  <c r="F6" i="3"/>
  <c r="F4" i="3"/>
  <c r="F9" i="2"/>
  <c r="E8" i="2"/>
  <c r="F8" i="2"/>
  <c r="F7" i="2"/>
  <c r="E7" i="2"/>
  <c r="F6" i="2"/>
  <c r="F4" i="2"/>
  <c r="E8" i="1"/>
  <c r="F6" i="1"/>
  <c r="E7" i="1"/>
  <c r="F7" i="1"/>
  <c r="F9" i="1"/>
  <c r="F8" i="1"/>
  <c r="F4" i="1"/>
  <c r="F10" i="7"/>
  <c r="C8" i="8"/>
  <c r="E8" i="8"/>
  <c r="F10" i="6"/>
  <c r="C7" i="8"/>
  <c r="E7" i="8"/>
  <c r="F10" i="5"/>
  <c r="C6" i="8"/>
  <c r="E6" i="8"/>
  <c r="F10" i="4"/>
  <c r="C5" i="8"/>
  <c r="E5" i="8"/>
  <c r="F10" i="1"/>
  <c r="F10" i="3"/>
  <c r="C4" i="8"/>
  <c r="E4" i="8"/>
  <c r="F10" i="2"/>
  <c r="C3" i="8"/>
  <c r="E3" i="8"/>
  <c r="C9" i="8"/>
  <c r="E9" i="8"/>
  <c r="C14" i="8"/>
  <c r="C11" i="8"/>
  <c r="E11" i="8"/>
  <c r="G13" i="8"/>
</calcChain>
</file>

<file path=xl/sharedStrings.xml><?xml version="1.0" encoding="utf-8"?>
<sst xmlns="http://schemas.openxmlformats.org/spreadsheetml/2006/main" count="201" uniqueCount="53">
  <si>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</si>
  <si>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</si>
  <si>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</si>
  <si>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</si>
  <si>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</si>
  <si>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</si>
  <si>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</si>
  <si>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</si>
  <si>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t>MOBILIZAÇÃO</t>
  </si>
  <si>
    <t>1.1 </t>
  </si>
  <si>
    <t>Mobilização de equipamentos e pessoas para realização do levantamento para adquação do levantamento para atender as especificações do Manual de Georreferenciamento (MTGIR, 2022) </t>
  </si>
  <si>
    <t>km</t>
  </si>
  <si>
    <t>LEVNTAMENTO CADASTRAL TERRITORIAL</t>
  </si>
  <si>
    <t>2.2</t>
  </si>
  <si>
    <t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t>
  </si>
  <si>
    <t>hectares </t>
  </si>
  <si>
    <t>2.3</t>
  </si>
  <si>
    <t>Confecção e Implantação  de Marcos e plaquetas Padrão INCRA. </t>
  </si>
  <si>
    <t>UNID </t>
  </si>
  <si>
    <t>2.4</t>
  </si>
  <si>
    <t>Serviços de Gabinete: Processamento de Dados GNSS  e analise de dados, elaboração de planilhas eletrônicas, relatórios, cálculos, criação de Requerimentos no SIGEF</t>
  </si>
  <si>
    <t>2.5</t>
  </si>
  <si>
    <t>Serviço de Gabinete: Elaboração de peças técnicas para subsidiar o processo de usocapião  como:  Elaboração de plantas Topográficas em CAD e calculos necessários com impressão em formato ABNT em 3 vias com a elaboração do memorial descritivo</t>
  </si>
  <si>
    <t>unid </t>
  </si>
  <si>
    <t xml:space="preserve">Custo </t>
  </si>
  <si>
    <t>marcos</t>
  </si>
  <si>
    <t>Despesas Total</t>
  </si>
  <si>
    <t>Despachante</t>
  </si>
  <si>
    <t>Restante</t>
  </si>
  <si>
    <t>2.0</t>
  </si>
  <si>
    <t>2.1</t>
  </si>
  <si>
    <r>
      <t>ITENS</t>
    </r>
    <r>
      <rPr>
        <sz val="8"/>
        <color rgb="FF000000"/>
        <rFont val="Calibri"/>
        <family val="2"/>
      </rPr>
      <t> </t>
    </r>
  </si>
  <si>
    <r>
      <t>DESCRIÇÃO</t>
    </r>
    <r>
      <rPr>
        <sz val="8"/>
        <color rgb="FF000000"/>
        <rFont val="Calibri"/>
        <family val="2"/>
      </rPr>
      <t> </t>
    </r>
  </si>
  <si>
    <r>
      <t>UND</t>
    </r>
    <r>
      <rPr>
        <sz val="8"/>
        <color rgb="FF000000"/>
        <rFont val="Calibri"/>
        <family val="2"/>
      </rPr>
      <t> </t>
    </r>
  </si>
  <si>
    <r>
      <t>QUANT.</t>
    </r>
    <r>
      <rPr>
        <sz val="8"/>
        <color rgb="FF000000"/>
        <rFont val="Calibri"/>
        <family val="2"/>
      </rPr>
      <t> </t>
    </r>
  </si>
  <si>
    <r>
      <t>PREÇO </t>
    </r>
    <r>
      <rPr>
        <sz val="8"/>
        <color rgb="FF000000"/>
        <rFont val="Calibri"/>
        <family val="2"/>
      </rPr>
      <t> </t>
    </r>
  </si>
  <si>
    <r>
      <t>UNITÁRIIO</t>
    </r>
    <r>
      <rPr>
        <sz val="8"/>
        <color rgb="FF000000"/>
        <rFont val="Calibri"/>
        <family val="2"/>
      </rPr>
      <t> </t>
    </r>
  </si>
  <si>
    <r>
      <t>1.0</t>
    </r>
    <r>
      <rPr>
        <sz val="8"/>
        <color rgb="FF000000"/>
        <rFont val="Calibri"/>
        <family val="2"/>
      </rPr>
      <t> </t>
    </r>
  </si>
  <si>
    <t>ITENS</t>
  </si>
  <si>
    <t>PROPRIEDADE</t>
  </si>
  <si>
    <t>PREÇO</t>
  </si>
  <si>
    <t>DESPESAS</t>
  </si>
  <si>
    <t>DESPACHANTE</t>
  </si>
  <si>
    <t>UNIDADE 12</t>
  </si>
  <si>
    <t>CAMPO</t>
  </si>
  <si>
    <t>MALTA 9</t>
  </si>
  <si>
    <t>JOSIAS</t>
  </si>
  <si>
    <t>VALÉRIA</t>
  </si>
  <si>
    <t>CERCADO DE DONA NENA</t>
  </si>
  <si>
    <t>ZÉ DO GAS</t>
  </si>
  <si>
    <t>TOTAL</t>
  </si>
  <si>
    <t>ESCRITÓRIO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</si>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</sst>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Times New Roman"/>
      <family val="1"/>
    </font>
    <font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44" fontId="3" fillId="2" borderId="15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wrapText="1"/>
    </xf>
    <xf numFmtId="44" fontId="4" fillId="0" borderId="16" xfId="1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justify" vertical="center" wrapText="1"/>
    </xf>
    <xf numFmtId="0" fontId="4" fillId="0" borderId="16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left" vertical="center" wrapText="1"/>
    </xf>
    <xf numFmtId="44" fontId="0" fillId="0" borderId="0" xfId="0" applyNumberFormat="1"/>
    <xf numFmtId="44" fontId="0" fillId="4" borderId="0" xfId="0" applyNumberFormat="1" applyFill="1"/>
    <xf numFmtId="0" fontId="0" fillId="0" borderId="16" xfId="0" applyBorder="1" applyAlignment="1">
      <alignment horizontal="center"/>
    </xf>
    <xf numFmtId="0" fontId="0" fillId="0" borderId="16" xfId="0" applyBorder="1"/>
    <xf numFmtId="44" fontId="0" fillId="0" borderId="16" xfId="0" applyNumberFormat="1" applyBorder="1"/>
    <xf numFmtId="44" fontId="2" fillId="0" borderId="16" xfId="0" applyNumberFormat="1" applyFont="1" applyBorder="1"/>
    <xf numFmtId="0" fontId="2" fillId="5" borderId="16" xfId="0" applyFont="1" applyFill="1" applyBorder="1" applyAlignment="1">
      <alignment horizontal="center"/>
    </xf>
    <xf numFmtId="44" fontId="3" fillId="2" borderId="15" xfId="0" applyNumberFormat="1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justify" vertical="center" wrapText="1"/>
    </xf>
    <xf numFmtId="44" fontId="7" fillId="0" borderId="16" xfId="1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4" fontId="6" fillId="2" borderId="15" xfId="0" applyNumberFormat="1" applyFont="1" applyFill="1" applyBorder="1" applyAlignment="1">
      <alignment horizontal="center" vertical="center" wrapText="1"/>
    </xf>
    <xf numFmtId="44" fontId="3" fillId="4" borderId="15" xfId="0" applyNumberFormat="1" applyFont="1" applyFill="1" applyBorder="1" applyAlignment="1">
      <alignment vertical="center" wrapText="1"/>
    </xf>
    <xf numFmtId="44" fontId="4" fillId="0" borderId="16" xfId="1" applyFont="1" applyFill="1" applyBorder="1" applyAlignment="1">
      <alignment horizontal="center" vertical="center" wrapText="1"/>
    </xf>
    <xf numFmtId="0" fontId="9" fillId="0" borderId="0" xfId="0" applyFont="1"/>
    <xf numFmtId="0" fontId="2" fillId="5" borderId="0" xfId="0" applyFont="1" applyFill="1" applyAlignment="1">
      <alignment horizontal="center"/>
    </xf>
    <xf numFmtId="44" fontId="2" fillId="0" borderId="0" xfId="0" applyNumberFormat="1" applyFont="1"/>
    <xf numFmtId="0" fontId="9" fillId="6" borderId="0" xfId="0" applyFont="1" applyFill="1" applyAlignment="1">
      <alignment horizontal="center"/>
    </xf>
    <xf numFmtId="44" fontId="3" fillId="7" borderId="15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DEDE-1B38-4A59-9887-191121262BE0}">
  <sheetPr>
    <tabColor theme="4"/>
  </sheetPr>
  <dimension ref="A1:J12"/>
  <sheetViews>
    <sheetView topLeftCell="B6" zoomScale="186" zoomScaleNormal="186" workbookViewId="0">
      <selection activeCell="F12" sqref="F12"/>
    </sheetView>
  </sheetViews>
  <sheetFormatPr defaultRowHeight="14.4" x14ac:dyDescent="0.3"/>
  <cols>
    <col min="2" max="2" width="30.6640625" customWidth="1"/>
    <col min="7" max="7" width="11.88671875" bestFit="1" customWidth="1"/>
    <col min="9" max="9" width="8.77734375" customWidth="1"/>
    <col min="10" max="10" width="10.21875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10</v>
      </c>
      <c r="E4" s="9">
        <v>60</v>
      </c>
      <c r="F4" s="9">
        <f>D4*E4</f>
        <v>600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">
        <v>14</v>
      </c>
      <c r="C6" s="14" t="s">
        <v>15</v>
      </c>
      <c r="D6" s="14">
        <v>37.81</v>
      </c>
      <c r="E6" s="9">
        <f>50*1.1</f>
        <v>55.000000000000007</v>
      </c>
      <c r="F6" s="9">
        <f t="shared" ref="F6:F9" si="0">D6*E6</f>
        <v>2079.5500000000002</v>
      </c>
    </row>
    <row r="7" spans="1:10" ht="15.6" x14ac:dyDescent="0.3">
      <c r="A7" s="14" t="s">
        <v>16</v>
      </c>
      <c r="B7" s="15" t="s">
        <v>17</v>
      </c>
      <c r="C7" s="14" t="s">
        <v>18</v>
      </c>
      <c r="D7" s="14">
        <v>12</v>
      </c>
      <c r="E7" s="9">
        <f>25*1.1</f>
        <v>27.500000000000004</v>
      </c>
      <c r="F7" s="9">
        <f t="shared" si="0"/>
        <v>330.00000000000006</v>
      </c>
    </row>
    <row r="8" spans="1:10" ht="23.4" x14ac:dyDescent="0.3">
      <c r="A8" s="14" t="s">
        <v>19</v>
      </c>
      <c r="B8" s="15" t="s">
        <v>20</v>
      </c>
      <c r="C8" s="14" t="s">
        <v>15</v>
      </c>
      <c r="D8" s="14">
        <v>37.81</v>
      </c>
      <c r="E8" s="9">
        <f>10*1.1</f>
        <v>11</v>
      </c>
      <c r="F8" s="9">
        <f t="shared" si="0"/>
        <v>415.91</v>
      </c>
    </row>
    <row r="9" spans="1:10" ht="39" x14ac:dyDescent="0.3">
      <c r="A9" s="14" t="s">
        <v>21</v>
      </c>
      <c r="B9" s="16" t="s">
        <v>22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26">
        <f>SUM(F4:F9)</f>
        <v>4057.96</v>
      </c>
      <c r="G10" s="45">
        <v>1500</v>
      </c>
      <c r="H10" s="45">
        <f>35*12</f>
        <v>420</v>
      </c>
      <c r="I10" s="45">
        <f>G10+H10</f>
        <v>1920</v>
      </c>
      <c r="J10" s="45">
        <f>F10*0.1</f>
        <v>405.79600000000005</v>
      </c>
    </row>
    <row r="12" spans="1:10" x14ac:dyDescent="0.3">
      <c r="F12" s="47" t="s">
        <v>28</v>
      </c>
      <c r="G12" s="20">
        <f>F10-I10-J10</f>
        <v>1732.164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E607-FC40-459C-858A-70705A80CD00}">
  <sheetPr>
    <tabColor rgb="FFFF0000"/>
  </sheetPr>
  <dimension ref="A1:J12"/>
  <sheetViews>
    <sheetView tabSelected="1" zoomScale="148" zoomScaleNormal="148" workbookViewId="0">
      <selection activeCell="F12" sqref="F12"/>
    </sheetView>
  </sheetViews>
  <sheetFormatPr defaultRowHeight="14.4" x14ac:dyDescent="0.3"/>
  <cols>
    <col min="2" max="2" width="30.6640625" customWidth="1"/>
    <col min="7" max="7" width="12.33203125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tr">
        <f>'UNIDADE 12'!B4</f>
        <v>Mobilização de equipamentos e pessoas para realização do levantamento para adquação do levantamento para atender as especificações do Manual de Georreferenciamento (MTGIR, 2022) 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1" t="s">
        <v>29</v>
      </c>
      <c r="B5" s="18" t="s">
        <v>12</v>
      </c>
      <c r="C5" s="10"/>
      <c r="D5" s="10"/>
      <c r="E5" s="10"/>
      <c r="F5" s="10"/>
    </row>
    <row r="6" spans="1:10" ht="54.6" x14ac:dyDescent="0.3">
      <c r="A6" s="14" t="s">
        <v>30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10.14</v>
      </c>
      <c r="E6" s="9">
        <v>50</v>
      </c>
      <c r="F6" s="9">
        <f t="shared" ref="F6:F9" si="0">D6*E6</f>
        <v>507</v>
      </c>
    </row>
    <row r="7" spans="1:10" ht="15.6" x14ac:dyDescent="0.3">
      <c r="A7" s="14" t="s">
        <v>13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16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10.14</v>
      </c>
      <c r="E8" s="9">
        <f>10*1.1</f>
        <v>11</v>
      </c>
      <c r="F8" s="9">
        <f t="shared" si="0"/>
        <v>111.54</v>
      </c>
    </row>
    <row r="9" spans="1:10" ht="39" x14ac:dyDescent="0.3">
      <c r="A9" s="14" t="s">
        <v>19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2516.04</v>
      </c>
      <c r="G10" s="45">
        <v>700</v>
      </c>
      <c r="H10" s="45">
        <f>35*12</f>
        <v>420</v>
      </c>
      <c r="I10" s="45">
        <f>G10+H10</f>
        <v>1120</v>
      </c>
      <c r="J10" s="45">
        <f>F10*0.1</f>
        <v>251.60400000000001</v>
      </c>
    </row>
    <row r="12" spans="1:10" x14ac:dyDescent="0.3">
      <c r="F12" s="47" t="s">
        <v>28</v>
      </c>
      <c r="G12" s="20">
        <f>F10-I10-J10</f>
        <v>1144.4359999999999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6639-60C3-4122-8CD9-0D09A9713338}">
  <sheetPr>
    <tabColor rgb="FFFF0000"/>
  </sheetPr>
  <dimension ref="A1:J12"/>
  <sheetViews>
    <sheetView topLeftCell="A6" zoomScale="148" zoomScaleNormal="148" workbookViewId="0">
      <selection activeCell="F12" sqref="F12"/>
    </sheetView>
  </sheetViews>
  <sheetFormatPr defaultRowHeight="14.4" x14ac:dyDescent="0.3"/>
  <cols>
    <col min="2" max="2" width="30.6640625" customWidth="1"/>
    <col min="7" max="7" width="12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16.47</v>
      </c>
      <c r="E6" s="9">
        <v>50</v>
      </c>
      <c r="F6" s="9">
        <f t="shared" ref="F6:F9" si="0">D6*E6</f>
        <v>823.5</v>
      </c>
    </row>
    <row r="7" spans="1:10" ht="15.6" x14ac:dyDescent="0.3">
      <c r="A7" s="14" t="s">
        <v>16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19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16.47</v>
      </c>
      <c r="E8" s="9">
        <f>10*1.1</f>
        <v>11</v>
      </c>
      <c r="F8" s="9">
        <f t="shared" si="0"/>
        <v>181.17</v>
      </c>
    </row>
    <row r="9" spans="1:10" ht="39" x14ac:dyDescent="0.3">
      <c r="A9" s="14" t="s">
        <v>21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2902.17</v>
      </c>
      <c r="G10" s="45">
        <v>700</v>
      </c>
      <c r="H10" s="45">
        <f>35*12</f>
        <v>420</v>
      </c>
      <c r="I10" s="45">
        <f>G10+H10</f>
        <v>1120</v>
      </c>
      <c r="J10" s="45">
        <f>F10*0.1</f>
        <v>290.21700000000004</v>
      </c>
    </row>
    <row r="12" spans="1:10" x14ac:dyDescent="0.3">
      <c r="F12" s="47" t="s">
        <v>28</v>
      </c>
      <c r="G12" s="20">
        <f>F10-I10-J10</f>
        <v>1491.953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ECAC-4FEF-4D26-8D39-20A1B17B36DC}">
  <sheetPr>
    <tabColor rgb="FFFF0000"/>
  </sheetPr>
  <dimension ref="A1:J12"/>
  <sheetViews>
    <sheetView topLeftCell="A6" zoomScale="134" zoomScaleNormal="134" workbookViewId="0">
      <selection activeCell="I10" sqref="I10"/>
    </sheetView>
  </sheetViews>
  <sheetFormatPr defaultRowHeight="14.4" x14ac:dyDescent="0.3"/>
  <cols>
    <col min="2" max="2" width="30.6640625" customWidth="1"/>
    <col min="7" max="7" width="12.33203125" bestFit="1" customWidth="1"/>
    <col min="9" max="9" width="9.77734375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20.3</v>
      </c>
      <c r="E6" s="9">
        <v>50</v>
      </c>
      <c r="F6" s="9">
        <f t="shared" ref="F6:F9" si="0">D6*E6</f>
        <v>1015</v>
      </c>
    </row>
    <row r="7" spans="1:10" ht="15.6" x14ac:dyDescent="0.3">
      <c r="A7" s="14" t="s">
        <v>16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19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20.3</v>
      </c>
      <c r="E8" s="9">
        <f>10*1.1</f>
        <v>11</v>
      </c>
      <c r="F8" s="9">
        <f t="shared" si="0"/>
        <v>223.3</v>
      </c>
    </row>
    <row r="9" spans="1:10" ht="39" x14ac:dyDescent="0.3">
      <c r="A9" s="14" t="s">
        <v>21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3135.8</v>
      </c>
      <c r="G10" s="45">
        <v>1100</v>
      </c>
      <c r="H10" s="45">
        <f>35*12</f>
        <v>420</v>
      </c>
      <c r="I10" s="51">
        <f>G10+H10</f>
        <v>1520</v>
      </c>
      <c r="J10" s="45">
        <f>F10*0.1</f>
        <v>313.58000000000004</v>
      </c>
    </row>
    <row r="12" spans="1:10" x14ac:dyDescent="0.3">
      <c r="F12" s="47" t="s">
        <v>28</v>
      </c>
      <c r="G12" s="20">
        <f>F10-I10-J10</f>
        <v>1302.2200000000003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5888-6CA9-47B4-990E-2647509124BE}">
  <sheetPr>
    <tabColor rgb="FFFF0000"/>
  </sheetPr>
  <dimension ref="A1:J12"/>
  <sheetViews>
    <sheetView topLeftCell="A6" zoomScale="138" zoomScaleNormal="138" workbookViewId="0">
      <selection activeCell="F10" sqref="F10"/>
    </sheetView>
  </sheetViews>
  <sheetFormatPr defaultRowHeight="14.4" x14ac:dyDescent="0.3"/>
  <cols>
    <col min="2" max="2" width="30.6640625" customWidth="1"/>
    <col min="7" max="7" width="12.109375" bestFit="1" customWidth="1"/>
    <col min="9" max="9" width="10.21875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92.7</v>
      </c>
      <c r="E6" s="9">
        <v>50</v>
      </c>
      <c r="F6" s="9">
        <f t="shared" ref="F6:F9" si="0">D6*E6</f>
        <v>4635</v>
      </c>
    </row>
    <row r="7" spans="1:10" ht="15.6" x14ac:dyDescent="0.3">
      <c r="A7" s="14" t="s">
        <v>16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19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92.7</v>
      </c>
      <c r="E8" s="9">
        <f>10*1.1</f>
        <v>11</v>
      </c>
      <c r="F8" s="9">
        <f t="shared" si="0"/>
        <v>1019.7</v>
      </c>
    </row>
    <row r="9" spans="1:10" ht="39" x14ac:dyDescent="0.3">
      <c r="A9" s="14" t="s">
        <v>21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7552.2</v>
      </c>
      <c r="G10" s="45">
        <v>2000</v>
      </c>
      <c r="H10" s="45">
        <f>35*12</f>
        <v>420</v>
      </c>
      <c r="I10" s="51">
        <f>G10+H10</f>
        <v>2420</v>
      </c>
      <c r="J10" s="45">
        <f>F10*0.1</f>
        <v>755.22</v>
      </c>
    </row>
    <row r="12" spans="1:10" x14ac:dyDescent="0.3">
      <c r="F12" s="47" t="s">
        <v>28</v>
      </c>
      <c r="G12" s="20">
        <f>F10-I10-J10</f>
        <v>4376.9799999999996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1A1E-9042-42C6-8B69-D079D9E0005B}">
  <sheetPr>
    <tabColor rgb="FFFF0000"/>
  </sheetPr>
  <dimension ref="A1:J12"/>
  <sheetViews>
    <sheetView topLeftCell="A5" workbookViewId="0">
      <selection activeCell="F12" sqref="F12"/>
    </sheetView>
  </sheetViews>
  <sheetFormatPr defaultRowHeight="14.4" x14ac:dyDescent="0.3"/>
  <cols>
    <col min="2" max="2" width="30.6640625" customWidth="1"/>
    <col min="6" max="6" width="9.6640625" bestFit="1" customWidth="1"/>
    <col min="7" max="7" width="11.88671875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32.270000000000003</v>
      </c>
      <c r="E6" s="9">
        <v>50</v>
      </c>
      <c r="F6" s="9">
        <f t="shared" ref="F6:F9" si="0">D6*E6</f>
        <v>1613.5000000000002</v>
      </c>
    </row>
    <row r="7" spans="1:10" ht="15.6" x14ac:dyDescent="0.3">
      <c r="A7" s="14" t="s">
        <v>16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19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32.270000000000003</v>
      </c>
      <c r="E8" s="9">
        <f>10*1.1</f>
        <v>11</v>
      </c>
      <c r="F8" s="9">
        <f t="shared" si="0"/>
        <v>354.97</v>
      </c>
    </row>
    <row r="9" spans="1:10" ht="39" x14ac:dyDescent="0.3">
      <c r="A9" s="14" t="s">
        <v>21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3865.9700000000003</v>
      </c>
      <c r="G10" s="45">
        <v>1500</v>
      </c>
      <c r="H10" s="45">
        <f>35*12</f>
        <v>420</v>
      </c>
      <c r="I10" s="45">
        <f>G10+H10</f>
        <v>1920</v>
      </c>
      <c r="J10" s="45">
        <f>F10*0.1</f>
        <v>386.59700000000004</v>
      </c>
    </row>
    <row r="12" spans="1:10" x14ac:dyDescent="0.3">
      <c r="F12" s="47" t="s">
        <v>28</v>
      </c>
      <c r="G12" s="20">
        <f>F10-I10-J10</f>
        <v>1559.3730000000003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533C-543F-4652-8BAA-6C02FB431D36}">
  <sheetPr>
    <tabColor rgb="FFFF0000"/>
  </sheetPr>
  <dimension ref="A1:J12"/>
  <sheetViews>
    <sheetView topLeftCell="A6" zoomScale="136" zoomScaleNormal="136" workbookViewId="0">
      <selection activeCell="D12" sqref="D12"/>
    </sheetView>
  </sheetViews>
  <sheetFormatPr defaultRowHeight="14.4" x14ac:dyDescent="0.3"/>
  <cols>
    <col min="1" max="1" width="4.5546875" bestFit="1" customWidth="1"/>
    <col min="2" max="2" width="41.5546875" customWidth="1"/>
    <col min="5" max="5" width="7.6640625" bestFit="1" customWidth="1"/>
    <col min="6" max="6" width="11.88671875" customWidth="1"/>
    <col min="7" max="7" width="12.21875" bestFit="1" customWidth="1"/>
  </cols>
  <sheetData>
    <row r="1" spans="1:10" x14ac:dyDescent="0.3">
      <c r="A1" s="58" t="s">
        <v>31</v>
      </c>
      <c r="B1" s="60" t="s">
        <v>32</v>
      </c>
      <c r="C1" s="60" t="s">
        <v>33</v>
      </c>
      <c r="D1" s="60" t="s">
        <v>34</v>
      </c>
      <c r="E1" s="27" t="s">
        <v>35</v>
      </c>
      <c r="F1" s="62" t="s">
        <v>5</v>
      </c>
    </row>
    <row r="2" spans="1:10" ht="15" thickBot="1" x14ac:dyDescent="0.35">
      <c r="A2" s="59"/>
      <c r="B2" s="61"/>
      <c r="C2" s="61"/>
      <c r="D2" s="61"/>
      <c r="E2" s="28" t="s">
        <v>36</v>
      </c>
      <c r="F2" s="63"/>
    </row>
    <row r="3" spans="1:10" x14ac:dyDescent="0.3">
      <c r="A3" s="29" t="s">
        <v>37</v>
      </c>
      <c r="B3" s="30" t="s">
        <v>8</v>
      </c>
      <c r="C3" s="31"/>
      <c r="D3" s="31"/>
      <c r="E3" s="31"/>
      <c r="F3" s="32"/>
    </row>
    <row r="4" spans="1:10" ht="40.799999999999997" x14ac:dyDescent="0.3">
      <c r="A4" s="33" t="s">
        <v>9</v>
      </c>
      <c r="B4" s="34" t="s">
        <v>10</v>
      </c>
      <c r="C4" s="33" t="s">
        <v>11</v>
      </c>
      <c r="D4" s="33">
        <v>15</v>
      </c>
      <c r="E4" s="35">
        <f>60*1.1</f>
        <v>66</v>
      </c>
      <c r="F4" s="35">
        <f>D4*E4</f>
        <v>990</v>
      </c>
    </row>
    <row r="5" spans="1:10" x14ac:dyDescent="0.3">
      <c r="A5" s="36"/>
      <c r="B5" s="37" t="s">
        <v>12</v>
      </c>
      <c r="C5" s="38"/>
      <c r="D5" s="38"/>
      <c r="E5" s="38"/>
      <c r="F5" s="38"/>
    </row>
    <row r="6" spans="1:10" ht="61.2" x14ac:dyDescent="0.3">
      <c r="A6" s="33" t="s">
        <v>13</v>
      </c>
      <c r="B6" s="34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33" t="s">
        <v>15</v>
      </c>
      <c r="D6" s="33">
        <v>110.15</v>
      </c>
      <c r="E6" s="35">
        <v>50</v>
      </c>
      <c r="F6" s="35">
        <f t="shared" ref="F6:F9" si="0">D6*E6</f>
        <v>5507.5</v>
      </c>
    </row>
    <row r="7" spans="1:10" x14ac:dyDescent="0.3">
      <c r="A7" s="33" t="s">
        <v>16</v>
      </c>
      <c r="B7" s="34" t="str">
        <f>'UNIDADE 12'!B7</f>
        <v>Confecção e Implantação  de Marcos e plaquetas Padrão INCRA. </v>
      </c>
      <c r="C7" s="33" t="s">
        <v>18</v>
      </c>
      <c r="D7" s="33">
        <v>10</v>
      </c>
      <c r="E7" s="35">
        <f>25*1.1</f>
        <v>27.500000000000004</v>
      </c>
      <c r="F7" s="35">
        <f t="shared" si="0"/>
        <v>275.00000000000006</v>
      </c>
    </row>
    <row r="8" spans="1:10" ht="30.6" x14ac:dyDescent="0.3">
      <c r="A8" s="33" t="s">
        <v>19</v>
      </c>
      <c r="B8" s="34" t="str">
        <f>'UNIDADE 12'!B8</f>
        <v>Serviços de Gabinete: Processamento de Dados GNSS  e analise de dados, elaboração de planilhas eletrônicas, relatórios, cálculos, criação de Requerimentos no SIGEF</v>
      </c>
      <c r="C8" s="33" t="s">
        <v>15</v>
      </c>
      <c r="D8" s="33">
        <v>110.15</v>
      </c>
      <c r="E8" s="35">
        <f>10*1.1</f>
        <v>11</v>
      </c>
      <c r="F8" s="35">
        <f t="shared" si="0"/>
        <v>1211.6500000000001</v>
      </c>
    </row>
    <row r="9" spans="1:10" ht="43.95" customHeight="1" x14ac:dyDescent="0.3">
      <c r="A9" s="33" t="s">
        <v>21</v>
      </c>
      <c r="B9" s="39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33" t="s">
        <v>23</v>
      </c>
      <c r="D9" s="33">
        <v>5</v>
      </c>
      <c r="E9" s="35">
        <f>(15+100)*1.1</f>
        <v>126.50000000000001</v>
      </c>
      <c r="F9" s="35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x14ac:dyDescent="0.3">
      <c r="A10" s="40"/>
      <c r="B10" s="41"/>
      <c r="C10" s="42"/>
      <c r="D10" s="42"/>
      <c r="E10" s="43"/>
      <c r="F10" s="44">
        <f>SUM(F4:F9)</f>
        <v>8616.65</v>
      </c>
      <c r="G10" s="45">
        <v>2500</v>
      </c>
      <c r="H10" s="45">
        <f>35*12</f>
        <v>420</v>
      </c>
      <c r="I10" s="45">
        <f>G10+H10</f>
        <v>2920</v>
      </c>
      <c r="J10" s="45">
        <f>F10*0.1</f>
        <v>861.66499999999996</v>
      </c>
    </row>
    <row r="12" spans="1:10" x14ac:dyDescent="0.3">
      <c r="F12" s="50" t="s">
        <v>28</v>
      </c>
      <c r="G12" s="20">
        <f>F10-I10-J10</f>
        <v>4834.9849999999997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3CAE-50B3-4582-8ADC-22377A18CF5C}">
  <sheetPr>
    <tabColor rgb="FFFFC000"/>
  </sheetPr>
  <dimension ref="A1:G15"/>
  <sheetViews>
    <sheetView topLeftCell="A7" zoomScale="130" zoomScaleNormal="130" workbookViewId="0">
      <selection activeCell="C3" sqref="C3"/>
    </sheetView>
  </sheetViews>
  <sheetFormatPr defaultRowHeight="14.4" x14ac:dyDescent="0.3"/>
  <cols>
    <col min="2" max="2" width="28.77734375" customWidth="1"/>
    <col min="3" max="4" width="13.6640625" customWidth="1"/>
    <col min="5" max="5" width="14" bestFit="1" customWidth="1"/>
    <col min="7" max="7" width="13.6640625" bestFit="1" customWidth="1"/>
  </cols>
  <sheetData>
    <row r="1" spans="1:7" x14ac:dyDescent="0.3">
      <c r="A1" s="25" t="s">
        <v>38</v>
      </c>
      <c r="B1" s="25" t="s">
        <v>39</v>
      </c>
      <c r="C1" s="25" t="s">
        <v>40</v>
      </c>
      <c r="D1" s="48" t="s">
        <v>41</v>
      </c>
      <c r="E1" s="48" t="s">
        <v>42</v>
      </c>
    </row>
    <row r="2" spans="1:7" x14ac:dyDescent="0.3">
      <c r="A2" s="21">
        <v>1</v>
      </c>
      <c r="B2" s="22" t="s">
        <v>43</v>
      </c>
      <c r="C2" s="23">
        <f>'UNIDADE 12'!F10</f>
        <v>4057.96</v>
      </c>
      <c r="D2" s="19">
        <f>'UNIDADE 12'!I10</f>
        <v>1920</v>
      </c>
      <c r="E2" s="19">
        <f>C2*0.1</f>
        <v>405.79600000000005</v>
      </c>
    </row>
    <row r="3" spans="1:7" x14ac:dyDescent="0.3">
      <c r="A3" s="21">
        <v>2</v>
      </c>
      <c r="B3" s="22" t="s">
        <v>44</v>
      </c>
      <c r="C3" s="23">
        <f>CAMPO!F10</f>
        <v>2516.04</v>
      </c>
      <c r="D3" s="19">
        <f>CAMPO!I10</f>
        <v>1120</v>
      </c>
      <c r="E3" s="19">
        <f>C3*0.1</f>
        <v>251.60400000000001</v>
      </c>
    </row>
    <row r="4" spans="1:7" x14ac:dyDescent="0.3">
      <c r="A4" s="21">
        <v>3</v>
      </c>
      <c r="B4" s="22" t="s">
        <v>45</v>
      </c>
      <c r="C4" s="23">
        <f>'MALTA 9'!F10</f>
        <v>2902.17</v>
      </c>
      <c r="D4" s="19">
        <f>'MALTA 9'!I10</f>
        <v>1120</v>
      </c>
      <c r="E4" s="19">
        <f t="shared" ref="E4:E8" si="0">C4*0.1</f>
        <v>290.21700000000004</v>
      </c>
    </row>
    <row r="5" spans="1:7" x14ac:dyDescent="0.3">
      <c r="A5" s="21">
        <v>4</v>
      </c>
      <c r="B5" s="22" t="s">
        <v>46</v>
      </c>
      <c r="C5" s="23">
        <f>JOSIAS!F10</f>
        <v>3135.8</v>
      </c>
      <c r="D5" s="19">
        <f>JOSIAS!I10</f>
        <v>1520</v>
      </c>
      <c r="E5" s="19">
        <f t="shared" si="0"/>
        <v>313.58000000000004</v>
      </c>
    </row>
    <row r="6" spans="1:7" x14ac:dyDescent="0.3">
      <c r="A6" s="21">
        <v>5</v>
      </c>
      <c r="B6" s="22" t="s">
        <v>47</v>
      </c>
      <c r="C6" s="23">
        <f>VÁLERIA!F10</f>
        <v>7552.2</v>
      </c>
      <c r="D6" s="19">
        <f>VÁLERIA!I10</f>
        <v>2420</v>
      </c>
      <c r="E6" s="19">
        <f t="shared" si="0"/>
        <v>755.22</v>
      </c>
    </row>
    <row r="7" spans="1:7" x14ac:dyDescent="0.3">
      <c r="A7" s="21">
        <v>6</v>
      </c>
      <c r="B7" s="22" t="s">
        <v>48</v>
      </c>
      <c r="C7" s="23">
        <f>'CERCADO DE DONA NENA'!F10</f>
        <v>3865.9700000000003</v>
      </c>
      <c r="D7" s="19">
        <f>'CERCADO DE DONA NENA'!I10</f>
        <v>1920</v>
      </c>
      <c r="E7" s="19">
        <f t="shared" si="0"/>
        <v>386.59700000000004</v>
      </c>
    </row>
    <row r="8" spans="1:7" x14ac:dyDescent="0.3">
      <c r="A8" s="21">
        <v>7</v>
      </c>
      <c r="B8" s="22" t="s">
        <v>49</v>
      </c>
      <c r="C8" s="23">
        <f>'ZÉ DO GÁS'!F10</f>
        <v>8616.65</v>
      </c>
      <c r="D8" s="19">
        <f>'ZÉ DO GÁS'!I10</f>
        <v>2920</v>
      </c>
      <c r="E8" s="19">
        <f t="shared" si="0"/>
        <v>861.66499999999996</v>
      </c>
    </row>
    <row r="9" spans="1:7" x14ac:dyDescent="0.3">
      <c r="A9" s="64" t="s">
        <v>50</v>
      </c>
      <c r="B9" s="65"/>
      <c r="C9" s="24">
        <f>SUM(C2:C8)</f>
        <v>32646.79</v>
      </c>
      <c r="D9" s="49">
        <f>SUM(D2:D8)</f>
        <v>12940</v>
      </c>
      <c r="E9" s="19">
        <f>SUM(E2:E8)</f>
        <v>3264.6790000000001</v>
      </c>
    </row>
    <row r="10" spans="1:7" x14ac:dyDescent="0.3">
      <c r="C10" t="s">
        <v>52</v>
      </c>
    </row>
    <row r="11" spans="1:7" x14ac:dyDescent="0.3">
      <c r="C11" s="19">
        <f>C9*5%</f>
        <v>1632.3395</v>
      </c>
      <c r="E11" s="19">
        <f>C9-C11-D9-E9</f>
        <v>14809.771499999999</v>
      </c>
    </row>
    <row r="12" spans="1:7" x14ac:dyDescent="0.3">
      <c r="B12" t="s">
        <v>51</v>
      </c>
    </row>
    <row r="13" spans="1:7" ht="15" customHeight="1" x14ac:dyDescent="0.3">
      <c r="G13" s="19">
        <f>C9*1.15</f>
        <v>37543.808499999999</v>
      </c>
    </row>
    <row r="14" spans="1:7" x14ac:dyDescent="0.3">
      <c r="C14" s="20">
        <f>C9-E9</f>
        <v>29382.111000000001</v>
      </c>
      <c r="D14" s="20"/>
    </row>
    <row r="15" spans="1:7" ht="14.4" customHeight="1" x14ac:dyDescent="0.3"/>
  </sheetData>
  <mergeCells count="1">
    <mergeCell ref="A9:B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UNIDADE 12</vt:lpstr>
      <vt:lpstr>CAMPO</vt:lpstr>
      <vt:lpstr>MALTA 9</vt:lpstr>
      <vt:lpstr>JOSIAS</vt:lpstr>
      <vt:lpstr>VÁLERIA</vt:lpstr>
      <vt:lpstr>CERCADO DE DONA NENA</vt:lpstr>
      <vt:lpstr>ZÉ DO GÁS</vt:lpstr>
      <vt:lpstr>PLANILHA 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revision/>
  <cp:lastPrinted>2024-05-30T21:02:25Z</cp:lastPrinted>
  <dcterms:created xsi:type="dcterms:W3CDTF">2023-12-04T09:06:08Z</dcterms:created>
  <dcterms:modified xsi:type="dcterms:W3CDTF">2024-05-30T21:03:11Z</dcterms:modified>
  <cp:category/>
  <cp:contentStatus/>
</cp:coreProperties>
</file>