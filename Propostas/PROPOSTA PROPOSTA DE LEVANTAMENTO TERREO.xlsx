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PROPOSTA\"/>
    </mc:Choice>
  </mc:AlternateContent>
  <xr:revisionPtr revIDLastSave="0" documentId="8_{7D7F5F5C-52DB-4928-9C5E-C708E9804E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  <sheet name="Planilha1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8" i="1"/>
  <c r="I13" i="1"/>
  <c r="F7" i="1"/>
  <c r="I11" i="2"/>
  <c r="J11" i="2" s="1"/>
  <c r="J7" i="2"/>
  <c r="D5" i="2"/>
  <c r="J22" i="2"/>
  <c r="J24" i="2" s="1"/>
  <c r="J18" i="2"/>
  <c r="J12" i="2"/>
  <c r="J13" i="2"/>
  <c r="J3" i="2"/>
  <c r="J4" i="2"/>
  <c r="J5" i="2"/>
  <c r="J6" i="2"/>
  <c r="J8" i="2"/>
  <c r="J15" i="2" l="1"/>
  <c r="J9" i="2"/>
  <c r="J25" i="2" s="1"/>
  <c r="F3" i="1" s="1"/>
  <c r="F5" i="1"/>
  <c r="F10" i="1" l="1"/>
</calcChain>
</file>

<file path=xl/sharedStrings.xml><?xml version="1.0" encoding="utf-8"?>
<sst xmlns="http://schemas.openxmlformats.org/spreadsheetml/2006/main" count="105" uniqueCount="75">
  <si>
    <t>ITENS</t>
  </si>
  <si>
    <t xml:space="preserve">DESCRIÇÃO </t>
  </si>
  <si>
    <t>UND</t>
  </si>
  <si>
    <t>QUANTIDADE</t>
  </si>
  <si>
    <t>PREÇO UNITÁRIO</t>
  </si>
  <si>
    <t xml:space="preserve">PREÇO </t>
  </si>
  <si>
    <t>1.0</t>
  </si>
  <si>
    <t>1.1</t>
  </si>
  <si>
    <t>Eq.</t>
  </si>
  <si>
    <t>1.2</t>
  </si>
  <si>
    <t>1.3</t>
  </si>
  <si>
    <t>2.0</t>
  </si>
  <si>
    <t>VERBA</t>
  </si>
  <si>
    <t>TOTAL:</t>
  </si>
  <si>
    <t>DESCRIÇÃO</t>
  </si>
  <si>
    <t>QUANT.</t>
  </si>
  <si>
    <t>CLASS</t>
  </si>
  <si>
    <t>COEF.</t>
  </si>
  <si>
    <t>PERIODO</t>
  </si>
  <si>
    <t>UNID PERIODO</t>
  </si>
  <si>
    <t>PREÇO UNIT</t>
  </si>
  <si>
    <t>PREÇO TOTAL</t>
  </si>
  <si>
    <t>LOGISTICA</t>
  </si>
  <si>
    <t>PASSAGEM  AÉREA</t>
  </si>
  <si>
    <t>UNID</t>
  </si>
  <si>
    <t>DESP</t>
  </si>
  <si>
    <t xml:space="preserve">ALUGUEL DE VEICULO </t>
  </si>
  <si>
    <t>DIAS</t>
  </si>
  <si>
    <t>GASOLINA</t>
  </si>
  <si>
    <t>LITROS</t>
  </si>
  <si>
    <t>1.4</t>
  </si>
  <si>
    <t>HOSPEDAGEM</t>
  </si>
  <si>
    <t>1.5</t>
  </si>
  <si>
    <t>ALIMENTAÇÃO</t>
  </si>
  <si>
    <t>1.6</t>
  </si>
  <si>
    <t>SEGURANÇA</t>
  </si>
  <si>
    <t>SUB-TOTAL</t>
  </si>
  <si>
    <t>EQUIPE DE CAMPO</t>
  </si>
  <si>
    <t>2.1</t>
  </si>
  <si>
    <t>ENGENHEIRO</t>
  </si>
  <si>
    <t>2.2</t>
  </si>
  <si>
    <t>AUXILIAR</t>
  </si>
  <si>
    <t>2.3</t>
  </si>
  <si>
    <t>MOTORISTA</t>
  </si>
  <si>
    <t>3.0</t>
  </si>
  <si>
    <t>MONUMENTAÇÃO</t>
  </si>
  <si>
    <t>3.1</t>
  </si>
  <si>
    <t>MARCOS DE CONCRETO P/LEVABTAMENTO GPS (8X12X60 CM ) COM PLAQUETA</t>
  </si>
  <si>
    <t>3.2</t>
  </si>
  <si>
    <t>PIQUETES (2X2X 40 CM)</t>
  </si>
  <si>
    <t>4.0</t>
  </si>
  <si>
    <t>LOCAÇÃO DE EQUIPAMENTOS</t>
  </si>
  <si>
    <t>4.1</t>
  </si>
  <si>
    <t xml:space="preserve">LOCAÇÃO DE RECEPTORES DE DUPLA FEQUENCIA </t>
  </si>
  <si>
    <t>DIÁRIAS</t>
  </si>
  <si>
    <t>4.2</t>
  </si>
  <si>
    <t>LOCAÇÃO DE RTK</t>
  </si>
  <si>
    <t>DIÁRIAS (PAR)</t>
  </si>
  <si>
    <t>4.3</t>
  </si>
  <si>
    <t>LOCAÇÃO DE ESTAÇÃO TOTAL</t>
  </si>
  <si>
    <t>TOTAL</t>
  </si>
  <si>
    <t>despesas de Campo</t>
  </si>
  <si>
    <t>ART</t>
  </si>
  <si>
    <t>IMPRESSÃO DA PLANTA</t>
  </si>
  <si>
    <t>DESPESAS</t>
  </si>
  <si>
    <t xml:space="preserve">Mobilização de pessoas e equipamentos </t>
  </si>
  <si>
    <t>Levantamento topográfico planialtimétrico</t>
  </si>
  <si>
    <t>Levantamento topográfico planialtimétrico, utilizando receptor GNSS/GPS de Dupla frequencia pelo método relativo estático rápido RTK em Rede (NTRIP) ou por estação total ou aerolevantamento por Drone com apoio terrestre sem implantação de marcos sem plaquetas e confecção de desenho na escala variando de 1:100 a 1:1000  com curvas de nível de 1metro em 3 vias devidamente assinadas em com anotação de responsabilidade técnica (ART).</t>
  </si>
  <si>
    <t>verba</t>
  </si>
  <si>
    <t xml:space="preserve">Implantação e Rastreio de Pontos de Checlist e apoio com uso de Receptores GNSS </t>
  </si>
  <si>
    <t xml:space="preserve">Mobilização de pessoas e equipamentos para  até 75 Km e Perícia e Recohecimento dos limites </t>
  </si>
  <si>
    <t>Aerolevantamento com uso de Drone para geração de MDTe  ortoimagem para acessorar ao projeto de remembramento</t>
  </si>
  <si>
    <t>3.3</t>
  </si>
  <si>
    <t xml:space="preserve">Confeção de plantas e memorias descritivos </t>
  </si>
  <si>
    <t>Hectares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</si>
</sst>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6"/>
      <color rgb="FF333333"/>
      <name val="Arial"/>
      <family val="2"/>
    </font>
    <font>
      <b/>
      <sz val="9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8">
    <xf numFmtId="0" fontId="0" fillId="0" borderId="0" xfId="0"/>
    <xf numFmtId="0" fontId="3" fillId="0" borderId="0" xfId="0" applyFont="1"/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wrapText="1"/>
    </xf>
    <xf numFmtId="0" fontId="5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left" vertical="top" wrapText="1"/>
    </xf>
    <xf numFmtId="44" fontId="5" fillId="0" borderId="2" xfId="1" applyFont="1" applyBorder="1" applyAlignment="1">
      <alignment horizontal="center" vertical="top" wrapText="1"/>
    </xf>
    <xf numFmtId="44" fontId="5" fillId="0" borderId="1" xfId="1" applyFont="1" applyBorder="1" applyAlignment="1">
      <alignment horizontal="center" vertical="top"/>
    </xf>
    <xf numFmtId="164" fontId="6" fillId="0" borderId="2" xfId="0" applyNumberFormat="1" applyFont="1" applyBorder="1" applyAlignment="1">
      <alignment horizontal="center" vertical="top" wrapText="1"/>
    </xf>
    <xf numFmtId="0" fontId="2" fillId="2" borderId="3" xfId="0" applyFont="1" applyFill="1" applyBorder="1"/>
    <xf numFmtId="0" fontId="2" fillId="2" borderId="4" xfId="0" applyFont="1" applyFill="1" applyBorder="1"/>
    <xf numFmtId="0" fontId="7" fillId="2" borderId="4" xfId="0" applyFont="1" applyFill="1" applyBorder="1"/>
    <xf numFmtId="164" fontId="8" fillId="2" borderId="5" xfId="0" applyNumberFormat="1" applyFont="1" applyFill="1" applyBorder="1"/>
    <xf numFmtId="0" fontId="9" fillId="0" borderId="1" xfId="0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3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44" fontId="0" fillId="0" borderId="1" xfId="1" applyFont="1" applyBorder="1"/>
    <xf numFmtId="44" fontId="0" fillId="0" borderId="1" xfId="0" applyNumberFormat="1" applyBorder="1"/>
    <xf numFmtId="0" fontId="11" fillId="0" borderId="1" xfId="0" applyFont="1" applyBorder="1"/>
    <xf numFmtId="44" fontId="11" fillId="0" borderId="1" xfId="0" applyNumberFormat="1" applyFont="1" applyBorder="1"/>
    <xf numFmtId="2" fontId="0" fillId="0" borderId="1" xfId="0" applyNumberFormat="1" applyBorder="1"/>
    <xf numFmtId="0" fontId="11" fillId="0" borderId="1" xfId="0" applyFont="1" applyBorder="1" applyAlignment="1">
      <alignment horizontal="center"/>
    </xf>
    <xf numFmtId="0" fontId="4" fillId="2" borderId="2" xfId="0" applyFont="1" applyFill="1" applyBorder="1" applyAlignment="1">
      <alignment horizontal="center" wrapText="1"/>
    </xf>
    <xf numFmtId="44" fontId="0" fillId="0" borderId="0" xfId="1" applyFont="1"/>
    <xf numFmtId="0" fontId="3" fillId="4" borderId="0" xfId="0" applyFont="1" applyFill="1"/>
    <xf numFmtId="44" fontId="0" fillId="4" borderId="0" xfId="0" applyNumberFormat="1" applyFill="1"/>
    <xf numFmtId="0" fontId="6" fillId="0" borderId="0" xfId="0" applyFont="1" applyAlignment="1">
      <alignment horizontal="left" vertical="top" wrapText="1"/>
    </xf>
    <xf numFmtId="0" fontId="5" fillId="0" borderId="6" xfId="0" applyFont="1" applyBorder="1" applyAlignment="1">
      <alignment horizontal="center" vertical="top"/>
    </xf>
    <xf numFmtId="44" fontId="5" fillId="0" borderId="1" xfId="0" applyNumberFormat="1" applyFont="1" applyBorder="1" applyAlignment="1">
      <alignment horizontal="center" vertical="top" wrapText="1"/>
    </xf>
    <xf numFmtId="44" fontId="5" fillId="0" borderId="1" xfId="1" applyFont="1" applyBorder="1" applyAlignment="1">
      <alignment horizontal="center" vertical="top" wrapText="1"/>
    </xf>
    <xf numFmtId="44" fontId="5" fillId="0" borderId="2" xfId="1" applyFont="1" applyBorder="1" applyAlignment="1">
      <alignment horizontal="center" vertical="top"/>
    </xf>
    <xf numFmtId="0" fontId="4" fillId="2" borderId="1" xfId="0" applyFont="1" applyFill="1" applyBorder="1" applyAlignment="1">
      <alignment horizontal="left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zoomScale="190" zoomScaleNormal="190" workbookViewId="0">
      <selection activeCell="A7" sqref="A7:XFD7"/>
    </sheetView>
  </sheetViews>
  <sheetFormatPr defaultRowHeight="14.4" x14ac:dyDescent="0.3"/>
  <cols>
    <col min="1" max="1" width="4.5546875" bestFit="1" customWidth="1"/>
    <col min="2" max="2" width="36.5546875" customWidth="1"/>
    <col min="3" max="3" width="4.88671875" customWidth="1"/>
    <col min="4" max="4" width="6.109375" customWidth="1"/>
    <col min="5" max="5" width="8.5546875" customWidth="1"/>
    <col min="6" max="6" width="10.5546875" bestFit="1" customWidth="1"/>
    <col min="8" max="8" width="21.88671875" customWidth="1"/>
    <col min="9" max="9" width="12.109375" bestFit="1" customWidth="1"/>
  </cols>
  <sheetData>
    <row r="1" spans="1:9" ht="18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9" x14ac:dyDescent="0.3">
      <c r="A2" s="5" t="s">
        <v>6</v>
      </c>
      <c r="B2" s="37" t="s">
        <v>65</v>
      </c>
      <c r="C2" s="5"/>
      <c r="D2" s="5"/>
      <c r="E2" s="5"/>
      <c r="F2" s="28"/>
    </row>
    <row r="3" spans="1:9" ht="18.600000000000001" customHeight="1" x14ac:dyDescent="0.3">
      <c r="A3" s="2" t="s">
        <v>7</v>
      </c>
      <c r="B3" s="3" t="s">
        <v>70</v>
      </c>
      <c r="C3" s="4" t="s">
        <v>8</v>
      </c>
      <c r="D3" s="4">
        <v>1</v>
      </c>
      <c r="E3" s="9">
        <v>350</v>
      </c>
      <c r="F3" s="9">
        <f t="shared" ref="F3:F7" si="0">D3*E3</f>
        <v>350</v>
      </c>
      <c r="G3" s="1"/>
      <c r="H3" s="1"/>
    </row>
    <row r="4" spans="1:9" ht="10.199999999999999" customHeight="1" x14ac:dyDescent="0.3">
      <c r="A4" s="5" t="s">
        <v>11</v>
      </c>
      <c r="B4" s="37" t="s">
        <v>66</v>
      </c>
      <c r="C4" s="5"/>
      <c r="D4" s="5"/>
      <c r="E4" s="5"/>
      <c r="F4" s="28"/>
      <c r="G4" s="1"/>
      <c r="H4" s="1"/>
    </row>
    <row r="5" spans="1:9" ht="54.6" x14ac:dyDescent="0.3">
      <c r="A5" s="2" t="s">
        <v>9</v>
      </c>
      <c r="B5" s="7" t="s">
        <v>67</v>
      </c>
      <c r="C5" s="7" t="s">
        <v>74</v>
      </c>
      <c r="D5" s="6">
        <v>4</v>
      </c>
      <c r="E5" s="36">
        <v>350</v>
      </c>
      <c r="F5" s="8">
        <f t="shared" si="0"/>
        <v>1400</v>
      </c>
      <c r="G5" s="10"/>
      <c r="H5" s="1"/>
    </row>
    <row r="6" spans="1:9" x14ac:dyDescent="0.3">
      <c r="A6" s="5" t="s">
        <v>44</v>
      </c>
      <c r="B6" s="37" t="s">
        <v>66</v>
      </c>
      <c r="C6" s="5"/>
      <c r="D6" s="5"/>
      <c r="E6" s="5"/>
      <c r="F6" s="28"/>
      <c r="G6" s="1"/>
      <c r="H6" s="1"/>
    </row>
    <row r="7" spans="1:9" ht="15.6" x14ac:dyDescent="0.3">
      <c r="A7" s="2" t="s">
        <v>46</v>
      </c>
      <c r="B7" s="3" t="s">
        <v>71</v>
      </c>
      <c r="C7" s="2" t="s">
        <v>68</v>
      </c>
      <c r="D7" s="2">
        <v>1</v>
      </c>
      <c r="E7" s="34">
        <v>1500</v>
      </c>
      <c r="F7" s="35">
        <f t="shared" si="0"/>
        <v>1500</v>
      </c>
      <c r="G7" s="1"/>
      <c r="H7" s="1"/>
    </row>
    <row r="8" spans="1:9" ht="15.6" x14ac:dyDescent="0.3">
      <c r="A8" s="2" t="s">
        <v>48</v>
      </c>
      <c r="B8" s="3" t="s">
        <v>69</v>
      </c>
      <c r="C8" s="2" t="s">
        <v>68</v>
      </c>
      <c r="D8" s="2">
        <v>1</v>
      </c>
      <c r="E8" s="34">
        <v>1500</v>
      </c>
      <c r="F8" s="35">
        <f t="shared" ref="F8:F9" si="1">D8*E8</f>
        <v>1500</v>
      </c>
      <c r="G8" s="1"/>
      <c r="H8" s="1"/>
    </row>
    <row r="9" spans="1:9" x14ac:dyDescent="0.3">
      <c r="A9" s="2" t="s">
        <v>72</v>
      </c>
      <c r="B9" s="32" t="s">
        <v>73</v>
      </c>
      <c r="C9" s="33" t="s">
        <v>68</v>
      </c>
      <c r="D9" s="2">
        <v>1</v>
      </c>
      <c r="E9" s="34">
        <v>300</v>
      </c>
      <c r="F9" s="35">
        <f t="shared" si="1"/>
        <v>300</v>
      </c>
      <c r="G9" s="1"/>
      <c r="H9" s="1"/>
    </row>
    <row r="10" spans="1:9" ht="15" thickBot="1" x14ac:dyDescent="0.35">
      <c r="A10" s="11"/>
      <c r="B10" s="12"/>
      <c r="C10" s="12"/>
      <c r="D10" s="13" t="s">
        <v>13</v>
      </c>
      <c r="E10" s="13"/>
      <c r="F10" s="14">
        <f>SUM(F3:F9)</f>
        <v>5050</v>
      </c>
      <c r="G10" s="1"/>
      <c r="H10" s="1" t="s">
        <v>61</v>
      </c>
      <c r="I10" s="29">
        <v>1800</v>
      </c>
    </row>
    <row r="11" spans="1:9" x14ac:dyDescent="0.3">
      <c r="H11" t="s">
        <v>62</v>
      </c>
      <c r="I11" s="29">
        <v>100</v>
      </c>
    </row>
    <row r="12" spans="1:9" x14ac:dyDescent="0.3">
      <c r="H12" t="s">
        <v>63</v>
      </c>
      <c r="I12" s="29">
        <v>35</v>
      </c>
    </row>
    <row r="13" spans="1:9" x14ac:dyDescent="0.3">
      <c r="H13" s="30" t="s">
        <v>64</v>
      </c>
      <c r="I13" s="31">
        <f>SUM(I10:I12)</f>
        <v>1935</v>
      </c>
    </row>
  </sheetData>
  <phoneticPr fontId="10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A7A9D-7AD6-4673-9A4B-8C378FF5D380}">
  <dimension ref="A1:J25"/>
  <sheetViews>
    <sheetView showGridLines="0" zoomScale="86" zoomScaleNormal="86" workbookViewId="0">
      <selection activeCell="J25" sqref="J25"/>
    </sheetView>
  </sheetViews>
  <sheetFormatPr defaultRowHeight="14.4" x14ac:dyDescent="0.3"/>
  <cols>
    <col min="2" max="2" width="70.5546875" customWidth="1"/>
    <col min="3" max="3" width="13.5546875" bestFit="1" customWidth="1"/>
    <col min="7" max="7" width="9.5546875" customWidth="1"/>
    <col min="8" max="8" width="14.44140625" bestFit="1" customWidth="1"/>
    <col min="9" max="9" width="11.5546875" bestFit="1" customWidth="1"/>
    <col min="10" max="10" width="13.44140625" customWidth="1"/>
  </cols>
  <sheetData>
    <row r="1" spans="1:10" x14ac:dyDescent="0.3">
      <c r="A1" s="15" t="s">
        <v>0</v>
      </c>
      <c r="B1" s="15" t="s">
        <v>14</v>
      </c>
      <c r="C1" s="15" t="s">
        <v>2</v>
      </c>
      <c r="D1" s="15" t="s">
        <v>15</v>
      </c>
      <c r="E1" s="15" t="s">
        <v>16</v>
      </c>
      <c r="F1" s="15" t="s">
        <v>17</v>
      </c>
      <c r="G1" s="15" t="s">
        <v>18</v>
      </c>
      <c r="H1" s="15" t="s">
        <v>19</v>
      </c>
      <c r="I1" s="15" t="s">
        <v>20</v>
      </c>
      <c r="J1" s="15" t="s">
        <v>21</v>
      </c>
    </row>
    <row r="2" spans="1:10" x14ac:dyDescent="0.3">
      <c r="A2" s="16" t="s">
        <v>6</v>
      </c>
      <c r="B2" s="17" t="s">
        <v>22</v>
      </c>
      <c r="C2" s="17"/>
      <c r="D2" s="17"/>
      <c r="E2" s="17"/>
      <c r="F2" s="17"/>
      <c r="G2" s="17"/>
      <c r="H2" s="17"/>
      <c r="I2" s="17"/>
      <c r="J2" s="17"/>
    </row>
    <row r="3" spans="1:10" x14ac:dyDescent="0.3">
      <c r="A3" s="18" t="s">
        <v>7</v>
      </c>
      <c r="B3" s="19" t="s">
        <v>23</v>
      </c>
      <c r="C3" s="19" t="s">
        <v>24</v>
      </c>
      <c r="D3" s="19">
        <v>0</v>
      </c>
      <c r="E3" s="19" t="s">
        <v>25</v>
      </c>
      <c r="F3" s="18">
        <v>1</v>
      </c>
      <c r="G3" s="19"/>
      <c r="H3" s="18">
        <v>1</v>
      </c>
      <c r="I3" s="22">
        <v>500</v>
      </c>
      <c r="J3" s="23">
        <f t="shared" ref="J3:J8" si="0">D3*F3*I3</f>
        <v>0</v>
      </c>
    </row>
    <row r="4" spans="1:10" x14ac:dyDescent="0.3">
      <c r="A4" s="18" t="s">
        <v>9</v>
      </c>
      <c r="B4" s="19" t="s">
        <v>26</v>
      </c>
      <c r="C4" s="19" t="s">
        <v>27</v>
      </c>
      <c r="D4" s="19">
        <v>1</v>
      </c>
      <c r="E4" s="19" t="s">
        <v>25</v>
      </c>
      <c r="F4" s="18">
        <v>1</v>
      </c>
      <c r="G4" s="19"/>
      <c r="H4" s="18">
        <v>1</v>
      </c>
      <c r="I4" s="22">
        <v>130</v>
      </c>
      <c r="J4" s="23">
        <f t="shared" si="0"/>
        <v>130</v>
      </c>
    </row>
    <row r="5" spans="1:10" x14ac:dyDescent="0.3">
      <c r="A5" s="18" t="s">
        <v>10</v>
      </c>
      <c r="B5" s="19" t="s">
        <v>28</v>
      </c>
      <c r="C5" s="19" t="s">
        <v>29</v>
      </c>
      <c r="D5" s="19">
        <f>50*4/12</f>
        <v>16.666666666666668</v>
      </c>
      <c r="E5" s="19" t="s">
        <v>25</v>
      </c>
      <c r="F5" s="18">
        <v>1</v>
      </c>
      <c r="G5" s="19"/>
      <c r="H5" s="18">
        <v>1</v>
      </c>
      <c r="I5" s="22">
        <v>4.5</v>
      </c>
      <c r="J5" s="23">
        <f t="shared" si="0"/>
        <v>75</v>
      </c>
    </row>
    <row r="6" spans="1:10" x14ac:dyDescent="0.3">
      <c r="A6" s="18" t="s">
        <v>30</v>
      </c>
      <c r="B6" s="19" t="s">
        <v>31</v>
      </c>
      <c r="C6" s="19" t="s">
        <v>27</v>
      </c>
      <c r="D6" s="19">
        <v>0</v>
      </c>
      <c r="E6" s="19" t="s">
        <v>25</v>
      </c>
      <c r="F6" s="18">
        <v>1</v>
      </c>
      <c r="G6" s="19"/>
      <c r="H6" s="18">
        <v>1</v>
      </c>
      <c r="I6" s="22">
        <v>80</v>
      </c>
      <c r="J6" s="23">
        <f t="shared" si="0"/>
        <v>0</v>
      </c>
    </row>
    <row r="7" spans="1:10" x14ac:dyDescent="0.3">
      <c r="A7" s="18" t="s">
        <v>32</v>
      </c>
      <c r="B7" s="19" t="s">
        <v>33</v>
      </c>
      <c r="C7" s="19" t="s">
        <v>27</v>
      </c>
      <c r="D7" s="19">
        <v>2</v>
      </c>
      <c r="E7" s="19" t="s">
        <v>25</v>
      </c>
      <c r="F7" s="18">
        <v>1</v>
      </c>
      <c r="G7" s="19"/>
      <c r="H7" s="18">
        <v>6</v>
      </c>
      <c r="I7" s="22">
        <v>25</v>
      </c>
      <c r="J7" s="23">
        <f>D7*F7*I7*H7</f>
        <v>300</v>
      </c>
    </row>
    <row r="8" spans="1:10" x14ac:dyDescent="0.3">
      <c r="A8" s="18" t="s">
        <v>34</v>
      </c>
      <c r="B8" s="19" t="s">
        <v>35</v>
      </c>
      <c r="C8" s="19" t="s">
        <v>12</v>
      </c>
      <c r="D8" s="19">
        <v>0</v>
      </c>
      <c r="E8" s="19" t="s">
        <v>25</v>
      </c>
      <c r="F8" s="18">
        <v>1</v>
      </c>
      <c r="G8" s="19"/>
      <c r="H8" s="18">
        <v>1</v>
      </c>
      <c r="I8" s="22">
        <v>150</v>
      </c>
      <c r="J8" s="23">
        <f t="shared" si="0"/>
        <v>0</v>
      </c>
    </row>
    <row r="9" spans="1:10" x14ac:dyDescent="0.3">
      <c r="A9" s="19"/>
      <c r="B9" s="19"/>
      <c r="C9" s="19"/>
      <c r="D9" s="19"/>
      <c r="E9" s="19"/>
      <c r="F9" s="19"/>
      <c r="G9" s="19"/>
      <c r="H9" s="19"/>
      <c r="I9" s="24" t="s">
        <v>36</v>
      </c>
      <c r="J9" s="25">
        <f>SUM(J3:J8)</f>
        <v>505</v>
      </c>
    </row>
    <row r="10" spans="1:10" x14ac:dyDescent="0.3">
      <c r="A10" s="20" t="s">
        <v>11</v>
      </c>
      <c r="B10" s="21" t="s">
        <v>37</v>
      </c>
      <c r="C10" s="21"/>
      <c r="D10" s="21"/>
      <c r="E10" s="21"/>
      <c r="F10" s="21"/>
      <c r="G10" s="21"/>
      <c r="H10" s="21"/>
      <c r="I10" s="21"/>
      <c r="J10" s="21"/>
    </row>
    <row r="11" spans="1:10" x14ac:dyDescent="0.3">
      <c r="A11" s="18" t="s">
        <v>38</v>
      </c>
      <c r="B11" s="19" t="s">
        <v>39</v>
      </c>
      <c r="C11" s="19" t="s">
        <v>12</v>
      </c>
      <c r="D11" s="18">
        <v>1</v>
      </c>
      <c r="E11" s="19" t="s">
        <v>25</v>
      </c>
      <c r="F11" s="18">
        <v>1</v>
      </c>
      <c r="G11" s="19"/>
      <c r="H11" s="19"/>
      <c r="I11" s="19">
        <f>8*1302</f>
        <v>10416</v>
      </c>
      <c r="J11" s="23">
        <f t="shared" ref="J11:J13" si="1">D11*F11*I11</f>
        <v>10416</v>
      </c>
    </row>
    <row r="12" spans="1:10" x14ac:dyDescent="0.3">
      <c r="A12" s="18" t="s">
        <v>40</v>
      </c>
      <c r="B12" s="19" t="s">
        <v>41</v>
      </c>
      <c r="C12" s="19" t="s">
        <v>12</v>
      </c>
      <c r="D12" s="18">
        <v>2</v>
      </c>
      <c r="E12" s="19" t="s">
        <v>25</v>
      </c>
      <c r="F12" s="18">
        <v>1</v>
      </c>
      <c r="G12" s="19"/>
      <c r="H12" s="19"/>
      <c r="I12" s="19">
        <v>100</v>
      </c>
      <c r="J12" s="23">
        <f t="shared" si="1"/>
        <v>200</v>
      </c>
    </row>
    <row r="13" spans="1:10" x14ac:dyDescent="0.3">
      <c r="A13" s="18" t="s">
        <v>42</v>
      </c>
      <c r="B13" s="19" t="s">
        <v>43</v>
      </c>
      <c r="C13" s="19" t="s">
        <v>12</v>
      </c>
      <c r="D13" s="18">
        <v>0</v>
      </c>
      <c r="E13" s="19" t="s">
        <v>25</v>
      </c>
      <c r="F13" s="18">
        <v>1</v>
      </c>
      <c r="G13" s="19"/>
      <c r="H13" s="19"/>
      <c r="I13" s="19">
        <v>45.36</v>
      </c>
      <c r="J13" s="23">
        <f t="shared" si="1"/>
        <v>0</v>
      </c>
    </row>
    <row r="14" spans="1:10" x14ac:dyDescent="0.3">
      <c r="A14" s="19"/>
      <c r="B14" s="19"/>
      <c r="C14" s="19"/>
      <c r="D14" s="19"/>
      <c r="E14" s="19"/>
      <c r="F14" s="19"/>
      <c r="G14" s="19"/>
      <c r="H14" s="19"/>
      <c r="I14" s="19"/>
      <c r="J14" s="19"/>
    </row>
    <row r="15" spans="1:10" x14ac:dyDescent="0.3">
      <c r="A15" s="19"/>
      <c r="B15" s="19"/>
      <c r="C15" s="19"/>
      <c r="D15" s="19"/>
      <c r="E15" s="19"/>
      <c r="F15" s="19"/>
      <c r="G15" s="19"/>
      <c r="H15" s="19"/>
      <c r="I15" s="24" t="s">
        <v>36</v>
      </c>
      <c r="J15" s="25">
        <f>SUM(J11:J14)</f>
        <v>10616</v>
      </c>
    </row>
    <row r="16" spans="1:10" x14ac:dyDescent="0.3">
      <c r="A16" s="20" t="s">
        <v>44</v>
      </c>
      <c r="B16" s="21" t="s">
        <v>45</v>
      </c>
      <c r="C16" s="21"/>
      <c r="D16" s="21"/>
      <c r="E16" s="21"/>
      <c r="F16" s="21"/>
      <c r="G16" s="21"/>
      <c r="H16" s="21"/>
      <c r="I16" s="21"/>
      <c r="J16" s="21"/>
    </row>
    <row r="17" spans="1:10" x14ac:dyDescent="0.3">
      <c r="A17" s="18" t="s">
        <v>46</v>
      </c>
      <c r="B17" s="19" t="s">
        <v>47</v>
      </c>
      <c r="C17" s="19" t="s">
        <v>24</v>
      </c>
      <c r="D17" s="19"/>
      <c r="E17" s="19"/>
      <c r="F17" s="19"/>
      <c r="G17" s="19"/>
      <c r="H17" s="19"/>
      <c r="I17" s="19"/>
      <c r="J17" s="19"/>
    </row>
    <row r="18" spans="1:10" x14ac:dyDescent="0.3">
      <c r="A18" s="18" t="s">
        <v>48</v>
      </c>
      <c r="B18" s="19" t="s">
        <v>49</v>
      </c>
      <c r="C18" s="19" t="s">
        <v>24</v>
      </c>
      <c r="D18" s="19">
        <v>100</v>
      </c>
      <c r="E18" s="19"/>
      <c r="F18" s="19"/>
      <c r="G18" s="19"/>
      <c r="H18" s="19"/>
      <c r="I18" s="22">
        <v>1.81</v>
      </c>
      <c r="J18" s="26">
        <f>D18*I18</f>
        <v>181</v>
      </c>
    </row>
    <row r="19" spans="1:10" x14ac:dyDescent="0.3">
      <c r="A19" s="19"/>
      <c r="B19" s="19"/>
      <c r="C19" s="19"/>
      <c r="D19" s="19"/>
      <c r="E19" s="19"/>
      <c r="F19" s="19"/>
      <c r="G19" s="19"/>
      <c r="H19" s="19"/>
      <c r="I19" s="19"/>
      <c r="J19" s="19"/>
    </row>
    <row r="20" spans="1:10" x14ac:dyDescent="0.3">
      <c r="A20" s="20" t="s">
        <v>50</v>
      </c>
      <c r="B20" s="21" t="s">
        <v>51</v>
      </c>
      <c r="C20" s="21"/>
      <c r="D20" s="21"/>
      <c r="E20" s="21"/>
      <c r="F20" s="21"/>
      <c r="G20" s="21"/>
      <c r="H20" s="21"/>
      <c r="I20" s="21"/>
      <c r="J20" s="21"/>
    </row>
    <row r="21" spans="1:10" x14ac:dyDescent="0.3">
      <c r="A21" s="18" t="s">
        <v>52</v>
      </c>
      <c r="B21" s="19" t="s">
        <v>53</v>
      </c>
      <c r="C21" s="19" t="s">
        <v>54</v>
      </c>
      <c r="D21" s="19"/>
      <c r="E21" s="19"/>
      <c r="F21" s="19"/>
      <c r="G21" s="19"/>
      <c r="H21" s="19"/>
      <c r="I21" s="19"/>
      <c r="J21" s="19"/>
    </row>
    <row r="22" spans="1:10" x14ac:dyDescent="0.3">
      <c r="A22" s="18" t="s">
        <v>55</v>
      </c>
      <c r="B22" s="19" t="s">
        <v>56</v>
      </c>
      <c r="C22" s="19" t="s">
        <v>57</v>
      </c>
      <c r="D22" s="19">
        <v>2</v>
      </c>
      <c r="E22" s="19"/>
      <c r="F22" s="19"/>
      <c r="G22" s="19"/>
      <c r="H22" s="19"/>
      <c r="I22" s="22">
        <v>250</v>
      </c>
      <c r="J22" s="23">
        <f>D22*I22</f>
        <v>500</v>
      </c>
    </row>
    <row r="23" spans="1:10" x14ac:dyDescent="0.3">
      <c r="A23" s="18" t="s">
        <v>58</v>
      </c>
      <c r="B23" s="19" t="s">
        <v>59</v>
      </c>
      <c r="C23" s="19" t="s">
        <v>54</v>
      </c>
      <c r="D23" s="19"/>
      <c r="E23" s="19"/>
      <c r="F23" s="19"/>
      <c r="G23" s="19"/>
      <c r="H23" s="19"/>
      <c r="I23" s="19"/>
      <c r="J23" s="19"/>
    </row>
    <row r="24" spans="1:10" x14ac:dyDescent="0.3">
      <c r="I24" s="24" t="s">
        <v>36</v>
      </c>
      <c r="J24" s="25">
        <f>SUM(J20:J23)</f>
        <v>500</v>
      </c>
    </row>
    <row r="25" spans="1:10" x14ac:dyDescent="0.3">
      <c r="I25" s="27" t="s">
        <v>60</v>
      </c>
      <c r="J25" s="25">
        <f>SUM(J9,J15,J24)</f>
        <v>11621</v>
      </c>
    </row>
  </sheetData>
  <phoneticPr fontId="10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</dc:creator>
  <cp:keywords/>
  <dc:description/>
  <cp:lastModifiedBy>PC</cp:lastModifiedBy>
  <cp:revision/>
  <dcterms:created xsi:type="dcterms:W3CDTF">2015-09-13T23:17:44Z</dcterms:created>
  <dcterms:modified xsi:type="dcterms:W3CDTF">2024-11-26T12:29:04Z</dcterms:modified>
  <cp:category/>
  <cp:contentStatus/>
</cp:coreProperties>
</file>