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47B48A29-E3AD-437A-A747-BE692E2C8C62}" xr6:coauthVersionLast="47" xr6:coauthVersionMax="47" xr10:uidLastSave="{00000000-0000-0000-0000-000000000000}"/>
  <bookViews>
    <workbookView xWindow="-108" yWindow="-108" windowWidth="23256" windowHeight="12456" xr2:uid="{BF1A5A34-7DC4-43AA-9767-2C716462EE5E}"/>
  </bookViews>
  <sheets>
    <sheet name="Granja A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6" i="1"/>
  <c r="F7" i="1"/>
  <c r="F5" i="1"/>
  <c r="F3" i="1"/>
  <c r="F8" i="1" l="1"/>
  <c r="H9" i="1" s="1"/>
</calcChain>
</file>

<file path=xl/sharedStrings.xml><?xml version="1.0" encoding="utf-8"?>
<sst xmlns="http://schemas.openxmlformats.org/spreadsheetml/2006/main" count="26" uniqueCount="26">
  <si>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</si>
  <si>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</si>
  <si>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</si>
  <si>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</si>
  <si>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</si>
  <si>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</si>
  <si>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</si>
  <si>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</si>
  <si>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</si>
  <si>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</si>
  <si>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</si>
  <si>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</si>
  <si>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</si>
  <si>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</si>
  <si>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</si>
  <si>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</si>
  <si>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</si>
  <si>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</si>
  <si>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</si>
  <si>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>Despesas</t>
  </si>
  <si>
    <t>ha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</si>
  <si>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</si>
  <si>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</si>
  <si>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Projeto de Certificação junto ao Sistema de Gestão Fundiária (SIGF) do INCRA com elaboração e submissão de Planilha ODS junto ao SIGEF, geração de plantas em CAD  e cálulos e memoriais descritivos, declaração conjunta  necessários com impressão em formato ABNT em 3 vias com a elaboração do memorial descritivo, com Anotação de Responsabilidade Técnica - ART</t>
  </si>
  <si>
    <t xml:space="preserve">Plotagem </t>
  </si>
  <si>
    <t>Gasolina+Deprecisão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</si>
</sst>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0" fillId="0" borderId="0" xfId="0" applyNumberForma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0" fillId="2" borderId="0" xfId="0" applyFill="1" applyBorder="1"/>
    <xf numFmtId="0" fontId="0" fillId="2" borderId="2" xfId="0" applyFill="1" applyBorder="1"/>
    <xf numFmtId="44" fontId="0" fillId="2" borderId="2" xfId="1" applyFont="1" applyFill="1" applyBorder="1"/>
    <xf numFmtId="44" fontId="6" fillId="0" borderId="0" xfId="0" applyNumberFormat="1" applyFont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6"/>
  <sheetViews>
    <sheetView tabSelected="1" zoomScale="130" zoomScaleNormal="130" workbookViewId="0">
      <selection activeCell="F7" sqref="F7"/>
    </sheetView>
  </sheetViews>
  <sheetFormatPr defaultRowHeight="14.4" x14ac:dyDescent="0.3"/>
  <cols>
    <col min="1" max="1" width="6" customWidth="1"/>
    <col min="2" max="2" width="42.5546875" customWidth="1"/>
    <col min="3" max="3" width="10.6640625" customWidth="1"/>
    <col min="4" max="4" width="12.6640625" bestFit="1" customWidth="1"/>
    <col min="5" max="5" width="18.777343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3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96" x14ac:dyDescent="0.3">
      <c r="A5" s="16" t="s">
        <v>13</v>
      </c>
      <c r="B5" s="17" t="s">
        <v>21</v>
      </c>
      <c r="C5" s="10" t="s">
        <v>20</v>
      </c>
      <c r="D5" s="10">
        <v>20</v>
      </c>
      <c r="E5" s="18">
        <v>45</v>
      </c>
      <c r="F5" s="18">
        <f>D5*E5</f>
        <v>900</v>
      </c>
    </row>
    <row r="6" spans="1:8" s="5" customFormat="1" x14ac:dyDescent="0.25">
      <c r="A6" s="25" t="s">
        <v>14</v>
      </c>
      <c r="B6" s="14" t="s">
        <v>15</v>
      </c>
      <c r="C6" s="13"/>
      <c r="D6" s="13"/>
      <c r="E6" s="13"/>
      <c r="F6" s="19"/>
    </row>
    <row r="7" spans="1:8" s="5" customFormat="1" ht="90.6" customHeight="1" x14ac:dyDescent="0.3">
      <c r="A7" s="16" t="s">
        <v>16</v>
      </c>
      <c r="B7" s="17" t="s">
        <v>23</v>
      </c>
      <c r="C7" s="10" t="s">
        <v>22</v>
      </c>
      <c r="D7" s="10">
        <v>1</v>
      </c>
      <c r="E7" s="18">
        <v>900</v>
      </c>
      <c r="F7" s="18">
        <f>D7*E7</f>
        <v>900</v>
      </c>
    </row>
    <row r="8" spans="1:8" s="5" customFormat="1" x14ac:dyDescent="0.3">
      <c r="A8" s="20"/>
      <c r="B8" s="21" t="s">
        <v>0</v>
      </c>
      <c r="C8" s="20"/>
      <c r="D8" s="20"/>
      <c r="E8" s="20"/>
      <c r="F8" s="22">
        <f>SUM(F2:F7)</f>
        <v>2250</v>
      </c>
    </row>
    <row r="9" spans="1:8" s="5" customFormat="1" x14ac:dyDescent="0.3">
      <c r="A9" s="2"/>
      <c r="B9" s="3"/>
      <c r="C9" s="2"/>
      <c r="D9" s="6"/>
      <c r="E9" s="7"/>
      <c r="H9" s="24">
        <f>F10-F8</f>
        <v>-1420</v>
      </c>
    </row>
    <row r="10" spans="1:8" s="5" customFormat="1" x14ac:dyDescent="0.3">
      <c r="A10" s="2"/>
      <c r="B10" s="3"/>
      <c r="C10" s="2"/>
      <c r="D10" s="6"/>
      <c r="E10" s="7"/>
      <c r="F10" s="29">
        <f>F16</f>
        <v>830</v>
      </c>
    </row>
    <row r="11" spans="1:8" x14ac:dyDescent="0.3">
      <c r="D11" s="1"/>
      <c r="E11" s="4"/>
    </row>
    <row r="12" spans="1:8" x14ac:dyDescent="0.3">
      <c r="E12" s="26" t="s">
        <v>19</v>
      </c>
      <c r="F12" s="26">
        <v>500</v>
      </c>
    </row>
    <row r="13" spans="1:8" x14ac:dyDescent="0.3">
      <c r="E13" s="26" t="s">
        <v>18</v>
      </c>
      <c r="F13" s="26">
        <v>180</v>
      </c>
    </row>
    <row r="14" spans="1:8" x14ac:dyDescent="0.3">
      <c r="E14" s="26" t="s">
        <v>24</v>
      </c>
      <c r="F14" s="26">
        <v>50</v>
      </c>
    </row>
    <row r="15" spans="1:8" x14ac:dyDescent="0.3">
      <c r="E15" s="26" t="s">
        <v>25</v>
      </c>
      <c r="F15" s="26">
        <v>100</v>
      </c>
    </row>
    <row r="16" spans="1:8" x14ac:dyDescent="0.3">
      <c r="E16" s="27"/>
      <c r="F16" s="28">
        <f>SUM(F12:F15)</f>
        <v>830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Granja Aline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2026-01-28T02:46:05Z</dcterms:modified>
  <cp:category/>
  <cp:contentStatus/>
</cp:coreProperties>
</file>