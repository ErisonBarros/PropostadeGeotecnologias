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" documentId="8_{9568B162-44DF-4EE7-8EB1-B42B63759BCF}" xr6:coauthVersionLast="47" xr6:coauthVersionMax="47" xr10:uidLastSave="{8AAE45B5-A882-4F99-B836-F878ACE3E7D5}"/>
  <bookViews>
    <workbookView xWindow="-108" yWindow="-108" windowWidth="23256" windowHeight="12456" xr2:uid="{7FAB50AD-714B-4EA3-92BC-F92836CCF4D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17" i="1"/>
  <c r="E10" i="1"/>
  <c r="F10" i="1" s="1"/>
  <c r="E11" i="1"/>
  <c r="F11" i="1" s="1"/>
  <c r="E12" i="1"/>
  <c r="F12" i="1" s="1"/>
  <c r="E13" i="1"/>
  <c r="F13" i="1" s="1"/>
  <c r="E14" i="1"/>
  <c r="F14" i="1" s="1"/>
  <c r="E9" i="1"/>
  <c r="F9" i="1" s="1"/>
  <c r="F7" i="1"/>
  <c r="F8" i="1"/>
  <c r="F6" i="1"/>
  <c r="F3" i="1"/>
  <c r="F23" i="1" l="1"/>
</calcChain>
</file>

<file path=xl/sharedStrings.xml><?xml version="1.0" encoding="utf-8"?>
<sst xmlns="http://schemas.openxmlformats.org/spreadsheetml/2006/main" count="51" uniqueCount="42">
  <si>
    <t>Item</t>
  </si>
  <si>
    <t>DESCRIÇÃO</t>
  </si>
  <si>
    <t>UND.</t>
  </si>
  <si>
    <t>QUANT.</t>
  </si>
  <si>
    <t>VALOR UNIT.</t>
  </si>
  <si>
    <t>VALOR TOTALS</t>
  </si>
  <si>
    <t>1.0</t>
  </si>
  <si>
    <t>Mobilização de Equipamentos e pessoas para levantamento</t>
  </si>
  <si>
    <t>1.1</t>
  </si>
  <si>
    <t>verba</t>
  </si>
  <si>
    <t>2.0</t>
  </si>
  <si>
    <t>Aerolevantamento</t>
  </si>
  <si>
    <t>2.1</t>
  </si>
  <si>
    <t xml:space="preserve">Aerolventamento com uso de Drone em pontos de Controle e Geração de MDT e MDS e Ortomosaico </t>
  </si>
  <si>
    <t>ha</t>
  </si>
  <si>
    <t>2.2</t>
  </si>
  <si>
    <t>Implantação e Rastreio de Pontos de Apoio</t>
  </si>
  <si>
    <t>unidade</t>
  </si>
  <si>
    <t>2.3</t>
  </si>
  <si>
    <t>Vôo com Drone (com toda a regulamentação necessária)</t>
  </si>
  <si>
    <t>hora</t>
  </si>
  <si>
    <t>2.4</t>
  </si>
  <si>
    <t>Geração de Produtos Cartógraficos</t>
  </si>
  <si>
    <t>conjunto</t>
  </si>
  <si>
    <t>2.5</t>
  </si>
  <si>
    <t>Geração de Ortoimagem</t>
  </si>
  <si>
    <t>2.6</t>
  </si>
  <si>
    <t>MDT</t>
  </si>
  <si>
    <t>2.7</t>
  </si>
  <si>
    <t>MDS</t>
  </si>
  <si>
    <t>2.8</t>
  </si>
  <si>
    <t>Nuvem de Pontos</t>
  </si>
  <si>
    <t>2.9</t>
  </si>
  <si>
    <t>Curvas de Nível</t>
  </si>
  <si>
    <t>Geração  Banco de Dados Parcela</t>
  </si>
  <si>
    <t>Geração de Banco dados Espaciais das Parcelas georreferencaidas</t>
  </si>
  <si>
    <t>hectares</t>
  </si>
  <si>
    <t>3.0</t>
  </si>
  <si>
    <t>Geração de Peças</t>
  </si>
  <si>
    <t>3.1</t>
  </si>
  <si>
    <t>Geração da Plantas e Memorias Descritivos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</si>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</sst>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7" fillId="0" borderId="0" xfId="0" applyFont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44" fontId="5" fillId="0" borderId="0" xfId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4" fontId="5" fillId="0" borderId="0" xfId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8" fontId="5" fillId="0" borderId="0" xfId="0" applyNumberFormat="1" applyFont="1" applyAlignment="1">
      <alignment vertical="center" wrapText="1"/>
    </xf>
    <xf numFmtId="8" fontId="4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2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8" fontId="6" fillId="0" borderId="0" xfId="0" applyNumberFormat="1" applyFont="1" applyAlignment="1">
      <alignment vertical="center" wrapText="1"/>
    </xf>
  </cellXfs>
  <cellStyles count="3">
    <cellStyle name="Moeda" xfId="1" builtinId="4"/>
    <cellStyle name="Normal" xfId="0" builtinId="0"/>
    <cellStyle name="Normal 2" xfId="2" xr:uid="{AE3A1A48-C6BB-46BA-A778-243634C24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6540-4608-4C9B-9678-0801F62BB84A}">
  <dimension ref="A1:F23"/>
  <sheetViews>
    <sheetView tabSelected="1" topLeftCell="A15" zoomScale="148" zoomScaleNormal="148" workbookViewId="0">
      <selection activeCell="C22" sqref="C22"/>
    </sheetView>
  </sheetViews>
  <sheetFormatPr defaultRowHeight="14.45"/>
  <cols>
    <col min="1" max="1" width="4.5703125" customWidth="1"/>
    <col min="2" max="2" width="49" bestFit="1" customWidth="1"/>
    <col min="5" max="5" width="10.28515625" customWidth="1"/>
    <col min="6" max="6" width="13.140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/>
      <c r="D2" s="3"/>
      <c r="E2" s="3"/>
      <c r="F2" s="3"/>
    </row>
    <row r="3" spans="1:6">
      <c r="A3" s="10" t="s">
        <v>8</v>
      </c>
      <c r="B3" s="6" t="s">
        <v>7</v>
      </c>
      <c r="C3" s="8" t="s">
        <v>9</v>
      </c>
      <c r="D3" s="8">
        <v>5</v>
      </c>
      <c r="E3" s="9">
        <v>850</v>
      </c>
      <c r="F3" s="9">
        <f>D3*E3</f>
        <v>4250</v>
      </c>
    </row>
    <row r="4" spans="1:6">
      <c r="A4" s="10"/>
      <c r="B4" s="6"/>
      <c r="C4" s="10"/>
      <c r="D4" s="10"/>
      <c r="E4" s="12"/>
      <c r="F4" s="12"/>
    </row>
    <row r="5" spans="1:6">
      <c r="A5" s="3" t="s">
        <v>10</v>
      </c>
      <c r="B5" s="13" t="s">
        <v>11</v>
      </c>
      <c r="C5" s="3"/>
      <c r="D5" s="3"/>
      <c r="E5" s="3"/>
      <c r="F5" s="3"/>
    </row>
    <row r="6" spans="1:6" ht="20.45">
      <c r="A6" s="8" t="s">
        <v>12</v>
      </c>
      <c r="B6" s="6" t="s">
        <v>13</v>
      </c>
      <c r="C6" s="8" t="s">
        <v>14</v>
      </c>
      <c r="D6" s="14">
        <v>35</v>
      </c>
      <c r="E6" s="7">
        <v>180</v>
      </c>
      <c r="F6" s="9">
        <f>D6*E6</f>
        <v>6300</v>
      </c>
    </row>
    <row r="7" spans="1:6">
      <c r="A7" s="8" t="s">
        <v>15</v>
      </c>
      <c r="B7" s="6" t="s">
        <v>16</v>
      </c>
      <c r="C7" s="8" t="s">
        <v>17</v>
      </c>
      <c r="D7" s="14">
        <v>20</v>
      </c>
      <c r="E7" s="7">
        <v>50.123016228315613</v>
      </c>
      <c r="F7" s="9">
        <f>D7*E7</f>
        <v>1002.4603245663122</v>
      </c>
    </row>
    <row r="8" spans="1:6" ht="13.9" customHeight="1">
      <c r="A8" s="8" t="s">
        <v>18</v>
      </c>
      <c r="B8" s="6" t="s">
        <v>19</v>
      </c>
      <c r="C8" s="8" t="s">
        <v>20</v>
      </c>
      <c r="D8" s="8">
        <v>8</v>
      </c>
      <c r="E8" s="9">
        <v>247.75851706771127</v>
      </c>
      <c r="F8" s="9">
        <f>D8*E8</f>
        <v>1982.0681365416901</v>
      </c>
    </row>
    <row r="9" spans="1:6">
      <c r="A9" s="8" t="s">
        <v>21</v>
      </c>
      <c r="B9" s="6" t="s">
        <v>22</v>
      </c>
      <c r="C9" s="8" t="s">
        <v>23</v>
      </c>
      <c r="D9" s="8">
        <v>3</v>
      </c>
      <c r="E9" s="9">
        <f>10*40.9239115836598</f>
        <v>409.23911583659799</v>
      </c>
      <c r="F9" s="9">
        <f>D9*E9</f>
        <v>1227.7173475097939</v>
      </c>
    </row>
    <row r="10" spans="1:6">
      <c r="A10" s="8" t="s">
        <v>24</v>
      </c>
      <c r="B10" s="6" t="s">
        <v>25</v>
      </c>
      <c r="C10" s="8" t="s">
        <v>23</v>
      </c>
      <c r="D10" s="8">
        <v>3</v>
      </c>
      <c r="E10" s="9">
        <f t="shared" ref="E10:E14" si="0">10*40.9239115836598</f>
        <v>409.23911583659799</v>
      </c>
      <c r="F10" s="9">
        <f>D10*E10</f>
        <v>1227.7173475097939</v>
      </c>
    </row>
    <row r="11" spans="1:6">
      <c r="A11" s="8" t="s">
        <v>26</v>
      </c>
      <c r="B11" s="6" t="s">
        <v>27</v>
      </c>
      <c r="C11" s="8" t="s">
        <v>17</v>
      </c>
      <c r="D11" s="8">
        <v>1</v>
      </c>
      <c r="E11" s="9">
        <f t="shared" si="0"/>
        <v>409.23911583659799</v>
      </c>
      <c r="F11" s="9">
        <f t="shared" ref="F11:F14" si="1">D11*E11</f>
        <v>409.23911583659799</v>
      </c>
    </row>
    <row r="12" spans="1:6">
      <c r="A12" s="8" t="s">
        <v>28</v>
      </c>
      <c r="B12" s="6" t="s">
        <v>29</v>
      </c>
      <c r="C12" s="8" t="s">
        <v>17</v>
      </c>
      <c r="D12" s="8">
        <v>1</v>
      </c>
      <c r="E12" s="9">
        <f t="shared" si="0"/>
        <v>409.23911583659799</v>
      </c>
      <c r="F12" s="9">
        <f t="shared" si="1"/>
        <v>409.23911583659799</v>
      </c>
    </row>
    <row r="13" spans="1:6">
      <c r="A13" s="8" t="s">
        <v>30</v>
      </c>
      <c r="B13" s="6" t="s">
        <v>31</v>
      </c>
      <c r="C13" s="8" t="s">
        <v>17</v>
      </c>
      <c r="D13" s="8">
        <v>1</v>
      </c>
      <c r="E13" s="9">
        <f t="shared" si="0"/>
        <v>409.23911583659799</v>
      </c>
      <c r="F13" s="9">
        <f t="shared" si="1"/>
        <v>409.23911583659799</v>
      </c>
    </row>
    <row r="14" spans="1:6">
      <c r="A14" s="8" t="s">
        <v>32</v>
      </c>
      <c r="B14" s="5" t="s">
        <v>33</v>
      </c>
      <c r="C14" s="8" t="s">
        <v>17</v>
      </c>
      <c r="D14" s="8">
        <v>1</v>
      </c>
      <c r="E14" s="9">
        <f t="shared" si="0"/>
        <v>409.23911583659799</v>
      </c>
      <c r="F14" s="9">
        <f t="shared" si="1"/>
        <v>409.23911583659799</v>
      </c>
    </row>
    <row r="15" spans="1:6">
      <c r="A15" s="4"/>
      <c r="B15" s="5"/>
      <c r="C15" s="5"/>
      <c r="D15" s="5"/>
      <c r="F15" s="5"/>
    </row>
    <row r="16" spans="1:6" ht="13.9" customHeight="1">
      <c r="A16" s="3" t="s">
        <v>10</v>
      </c>
      <c r="B16" s="13" t="s">
        <v>34</v>
      </c>
      <c r="C16" s="3"/>
      <c r="D16" s="3"/>
      <c r="E16" s="3"/>
      <c r="F16" s="3"/>
    </row>
    <row r="17" spans="1:6" ht="14.45" customHeight="1">
      <c r="A17" s="8" t="s">
        <v>12</v>
      </c>
      <c r="B17" s="6" t="s">
        <v>35</v>
      </c>
      <c r="C17" s="8" t="s">
        <v>36</v>
      </c>
      <c r="D17" s="14">
        <v>35</v>
      </c>
      <c r="E17" s="11">
        <v>350</v>
      </c>
      <c r="F17" s="11">
        <f>D17*E17</f>
        <v>12250</v>
      </c>
    </row>
    <row r="18" spans="1:6" ht="14.45" customHeight="1">
      <c r="A18" s="6"/>
      <c r="B18" s="6"/>
      <c r="C18" s="10"/>
      <c r="D18" s="14"/>
      <c r="E18" s="11"/>
      <c r="F18" s="11"/>
    </row>
    <row r="19" spans="1:6">
      <c r="A19" s="3" t="s">
        <v>37</v>
      </c>
      <c r="B19" s="13" t="s">
        <v>38</v>
      </c>
      <c r="C19" s="3"/>
      <c r="D19" s="3"/>
      <c r="E19" s="3"/>
      <c r="F19" s="3"/>
    </row>
    <row r="20" spans="1:6">
      <c r="A20" s="8" t="s">
        <v>39</v>
      </c>
      <c r="B20" s="6" t="s">
        <v>40</v>
      </c>
      <c r="C20" s="8" t="s">
        <v>36</v>
      </c>
      <c r="D20" s="14">
        <v>35</v>
      </c>
      <c r="E20" s="11">
        <v>350</v>
      </c>
      <c r="F20" s="11">
        <f>D20*E20</f>
        <v>12250</v>
      </c>
    </row>
    <row r="21" spans="1:6">
      <c r="A21" s="6"/>
      <c r="B21" s="6"/>
      <c r="C21" s="10"/>
      <c r="D21" s="6"/>
      <c r="E21" s="11"/>
      <c r="F21" s="11"/>
    </row>
    <row r="22" spans="1:6">
      <c r="A22" s="6"/>
      <c r="B22" s="6"/>
      <c r="C22" s="10"/>
      <c r="D22" s="6"/>
      <c r="E22" s="11"/>
      <c r="F22" s="11"/>
    </row>
    <row r="23" spans="1:6">
      <c r="A23" s="1"/>
      <c r="E23" s="15" t="s">
        <v>41</v>
      </c>
      <c r="F23" s="16">
        <f>SUM(F3:F22)</f>
        <v>42126.919619473978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2023-07-14T17:22:56Z</dcterms:created>
  <dcterms:modified xsi:type="dcterms:W3CDTF">2023-12-05T20:36:14Z</dcterms:modified>
  <cp:category/>
  <cp:contentStatus/>
</cp:coreProperties>
</file>