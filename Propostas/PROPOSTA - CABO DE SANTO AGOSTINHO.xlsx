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1" documentId="8_{1AFBECAA-2BEA-44F3-B7A7-2D20FF892F9D}" xr6:coauthVersionLast="47" xr6:coauthVersionMax="47" xr10:uidLastSave="{2BB61531-FE99-44C8-93E5-FD3869930316}"/>
  <bookViews>
    <workbookView xWindow="-108" yWindow="-108" windowWidth="23256" windowHeight="12456" firstSheet="1" activeTab="1" xr2:uid="{E6096AFB-3FF2-48F4-8114-59A1BBC6C9D8}"/>
  </bookViews>
  <sheets>
    <sheet name="CUSTOS" sheetId="1" r:id="rId1"/>
    <sheet name="Planilh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2" l="1"/>
  <c r="F10" i="2"/>
  <c r="C20" i="2"/>
  <c r="F12" i="2"/>
  <c r="F9" i="2"/>
  <c r="F8" i="2"/>
  <c r="F6" i="2"/>
  <c r="F5" i="2"/>
  <c r="F3" i="2"/>
  <c r="F14" i="2" s="1"/>
</calcChain>
</file>

<file path=xl/sharedStrings.xml><?xml version="1.0" encoding="utf-8"?>
<sst xmlns="http://schemas.openxmlformats.org/spreadsheetml/2006/main" count="92" uniqueCount="80">
  <si>
    <t>Item</t>
  </si>
  <si>
    <t>Unidade</t>
  </si>
  <si>
    <t>Quantidade</t>
  </si>
  <si>
    <t>Valor Unitário (R$)</t>
  </si>
  <si>
    <t>Custo Total (R$)</t>
  </si>
  <si>
    <t>Observações</t>
  </si>
  <si>
    <t>1. Características do Imóvel</t>
  </si>
  <si>
    <t>Área total do imóvel</t>
  </si>
  <si>
    <t>hectares (ha)</t>
  </si>
  <si>
    <t>Inserir valor manualmente</t>
  </si>
  <si>
    <t>Número de vértices</t>
  </si>
  <si>
    <t>unidades</t>
  </si>
  <si>
    <t>Distância de mobilização</t>
  </si>
  <si>
    <t>km (ida e volta)</t>
  </si>
  <si>
    <t>Desde sede da empresa</t>
  </si>
  <si>
    <t>2. Mão de Obra – Campo</t>
  </si>
  <si>
    <t>Topógrafo</t>
  </si>
  <si>
    <t>hora</t>
  </si>
  <si>
    <t>Auxiliar de campo</t>
  </si>
  <si>
    <t>Diárias de alimentação</t>
  </si>
  <si>
    <t>diária/pessoa</t>
  </si>
  <si>
    <t>3. Mão de Obra – Escritório</t>
  </si>
  <si>
    <t>Processamento de dados</t>
  </si>
  <si>
    <t>Software, vetorização, ajuste</t>
  </si>
  <si>
    <t>Elaboração de planta/memorial</t>
  </si>
  <si>
    <t>Inclui ABNT e SIGEF</t>
  </si>
  <si>
    <t>Revisão e conferência técnica</t>
  </si>
  <si>
    <t>4. Equipamentos</t>
  </si>
  <si>
    <t>GNSS RTK (depreciação + uso)</t>
  </si>
  <si>
    <t>diária</t>
  </si>
  <si>
    <t>Estação total (se aplicável)</t>
  </si>
  <si>
    <t>Veículo (depreciação + uso)</t>
  </si>
  <si>
    <t>diária/km</t>
  </si>
  <si>
    <t>Considerar combustível e desgaste</t>
  </si>
  <si>
    <t>Acessórios topográficos</t>
  </si>
  <si>
    <t>Tripé, bastão, rádio, etc.</t>
  </si>
  <si>
    <t>5. Custos Indiretos (%)</t>
  </si>
  <si>
    <t>% sobre diretos</t>
  </si>
  <si>
    <t>%</t>
  </si>
  <si>
    <t>Administração, seguros, etc.</t>
  </si>
  <si>
    <t>6. Margem de Lucro (%)</t>
  </si>
  <si>
    <t>% sobre total</t>
  </si>
  <si>
    <t>TOTAL GERAL</t>
  </si>
  <si>
    <t>ITENS</t>
  </si>
  <si>
    <t>DESCRIÇÃO</t>
  </si>
  <si>
    <t>UND</t>
  </si>
  <si>
    <t>QUANT</t>
  </si>
  <si>
    <t>PREÇO UNIT</t>
  </si>
  <si>
    <t>PREÇO</t>
  </si>
  <si>
    <t>1.0</t>
  </si>
  <si>
    <t>MOBILIZAÇÃO</t>
  </si>
  <si>
    <t>1.1</t>
  </si>
  <si>
    <t>Mobilização de equipamentos e pessoas para realização do levantamento</t>
  </si>
  <si>
    <t>VERBA</t>
  </si>
  <si>
    <t>2.0</t>
  </si>
  <si>
    <t>LEVANTAMENTO TOPOGRÁFICO E INSUMOS DE CAMPO</t>
  </si>
  <si>
    <t>2.1</t>
  </si>
  <si>
    <t>Levantamento Territorial Cadastral do Limites Georreferenciado por receptores geodésicos de posicionamento por satélite (GNSS) de Dupla frequecia pelo método relativo estático  rápido ou stop-go/NTRIP /RTK  para pontos de apoio ou para  levantar os limites legais (naturais e artificiais do imóvel) para atendimento Manual Técnico para Georreferenciamento de Imóveis Rurais -MTGIR - 2ª Edição.</t>
  </si>
  <si>
    <t>hectres</t>
  </si>
  <si>
    <t>2.2</t>
  </si>
  <si>
    <t>Implantação de Marcos Padrão INCRA  com codificação do credenciado</t>
  </si>
  <si>
    <t>Und</t>
  </si>
  <si>
    <t xml:space="preserve">3.0 </t>
  </si>
  <si>
    <t>ESCRITÓRIO</t>
  </si>
  <si>
    <t>3.1</t>
  </si>
  <si>
    <t>Elaboração de planta em CAD e calculos e memoriais descritivos  necessários com impressão em formato ABNT em 3 vias com a elaboração do memorial descritivo, com Anotação de Responsabilidade Técnica - ART</t>
  </si>
  <si>
    <t>3.2</t>
  </si>
  <si>
    <t>Elaboração de Planilha ODS para inserção no SIGEF com a Devida Responsabilidade Técnica conforme MTGIR 2° Edição.</t>
  </si>
  <si>
    <t>3.3</t>
  </si>
  <si>
    <t>Confeção e Subção do Cadastrala Ambiental Rural - CAR e submissão ao SICAR.</t>
  </si>
  <si>
    <t>4.0</t>
  </si>
  <si>
    <t>DESPACHANTE</t>
  </si>
  <si>
    <t>4.1</t>
  </si>
  <si>
    <t>Serviço de Despacnhate  imobiliário para emissão, consulta e atualização  CCIR, CIB (antigo CIB) , ITR,e Certidões de Inteiro Teor e redação de requerimentose dar entrada no processo de averbação de certificação.</t>
  </si>
  <si>
    <t>4.2</t>
  </si>
  <si>
    <t>Verificação da necessidade de Requalificação da situação dacastral do imóvel as necessidades do proprietário</t>
  </si>
  <si>
    <t>TOTAL</t>
  </si>
  <si>
    <t>Pessoal que vai ajudar no Levantamento+ MARCOS</t>
  </si>
  <si>
    <t>Parte de Escritório e Responsabilidade</t>
  </si>
  <si>
    <t>DESPESAS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</si>
</sst>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8" fontId="2" fillId="3" borderId="0" xfId="0" applyNumberFormat="1" applyFont="1" applyFill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4" fillId="0" borderId="1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8" fontId="6" fillId="0" borderId="0" xfId="0" applyNumberFormat="1" applyFont="1"/>
    <xf numFmtId="0" fontId="2" fillId="0" borderId="0" xfId="0" applyFont="1"/>
    <xf numFmtId="44" fontId="2" fillId="0" borderId="0" xfId="0" applyNumberFormat="1" applyFont="1"/>
    <xf numFmtId="0" fontId="0" fillId="4" borderId="0" xfId="0" applyFill="1"/>
    <xf numFmtId="44" fontId="0" fillId="4" borderId="0" xfId="1" applyFont="1" applyFill="1"/>
    <xf numFmtId="0" fontId="2" fillId="4" borderId="0" xfId="0" applyFont="1" applyFill="1"/>
    <xf numFmtId="44" fontId="2" fillId="4" borderId="0" xfId="0" applyNumberFormat="1" applyFont="1" applyFill="1"/>
    <xf numFmtId="44" fontId="4" fillId="6" borderId="1" xfId="2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44" fontId="4" fillId="6" borderId="1" xfId="2" applyFont="1" applyFill="1" applyBorder="1" applyAlignment="1">
      <alignment vertical="center"/>
    </xf>
    <xf numFmtId="44" fontId="2" fillId="7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44" fontId="4" fillId="0" borderId="1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</cellXfs>
  <cellStyles count="3">
    <cellStyle name="Moeda" xfId="1" builtinId="4"/>
    <cellStyle name="Moeda 2" xfId="2" xr:uid="{EA102577-3740-42FF-BAA2-4C3FCB31839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01EAB-5113-4ED9-A75D-54D7DADE3519}">
  <dimension ref="A1:F26"/>
  <sheetViews>
    <sheetView workbookViewId="0">
      <selection activeCell="C6" sqref="C6"/>
    </sheetView>
  </sheetViews>
  <sheetFormatPr defaultColWidth="8.7109375" defaultRowHeight="14.45"/>
  <cols>
    <col min="1" max="1" width="42.28515625" customWidth="1"/>
    <col min="2" max="2" width="33" customWidth="1"/>
    <col min="3" max="3" width="14.7109375" customWidth="1"/>
    <col min="6" max="6" width="24.28515625" bestFit="1" customWidth="1"/>
  </cols>
  <sheetData>
    <row r="1" spans="1:6" ht="43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4" t="s">
        <v>6</v>
      </c>
      <c r="B2" s="5"/>
      <c r="C2" s="5"/>
      <c r="D2" s="5"/>
      <c r="E2" s="5"/>
      <c r="F2" s="5"/>
    </row>
    <row r="3" spans="1:6">
      <c r="A3" s="1" t="s">
        <v>7</v>
      </c>
      <c r="B3" s="1" t="s">
        <v>8</v>
      </c>
      <c r="C3" s="1">
        <v>4.0999999999999996</v>
      </c>
      <c r="D3" s="1"/>
      <c r="E3" s="1"/>
      <c r="F3" s="1" t="s">
        <v>9</v>
      </c>
    </row>
    <row r="4" spans="1:6">
      <c r="A4" s="1" t="s">
        <v>10</v>
      </c>
      <c r="B4" s="1" t="s">
        <v>11</v>
      </c>
      <c r="C4" s="1">
        <v>10</v>
      </c>
      <c r="D4" s="1"/>
      <c r="E4" s="1"/>
      <c r="F4" s="1"/>
    </row>
    <row r="5" spans="1:6" ht="22.9" customHeight="1">
      <c r="A5" s="1" t="s">
        <v>12</v>
      </c>
      <c r="B5" s="1" t="s">
        <v>13</v>
      </c>
      <c r="C5" s="1">
        <v>140</v>
      </c>
      <c r="D5" s="1"/>
      <c r="E5" s="1"/>
      <c r="F5" s="1" t="s">
        <v>14</v>
      </c>
    </row>
    <row r="6" spans="1:6">
      <c r="A6" s="1"/>
      <c r="B6" s="1"/>
      <c r="C6" s="1"/>
      <c r="D6" s="1"/>
      <c r="E6" s="1"/>
      <c r="F6" s="1"/>
    </row>
    <row r="7" spans="1:6">
      <c r="A7" s="4" t="s">
        <v>15</v>
      </c>
      <c r="B7" s="5"/>
      <c r="C7" s="5"/>
      <c r="D7" s="5"/>
      <c r="E7" s="5"/>
      <c r="F7" s="5"/>
    </row>
    <row r="8" spans="1:6">
      <c r="A8" s="1" t="s">
        <v>16</v>
      </c>
      <c r="B8" s="1" t="s">
        <v>17</v>
      </c>
      <c r="C8" s="1">
        <v>4</v>
      </c>
      <c r="D8" s="1"/>
      <c r="E8" s="1"/>
      <c r="F8" s="1"/>
    </row>
    <row r="9" spans="1:6">
      <c r="A9" s="1" t="s">
        <v>18</v>
      </c>
      <c r="B9" s="1" t="s">
        <v>17</v>
      </c>
      <c r="C9" s="1">
        <v>1</v>
      </c>
      <c r="D9" s="1"/>
      <c r="E9" s="1"/>
      <c r="F9" s="1"/>
    </row>
    <row r="10" spans="1:6">
      <c r="A10" s="1" t="s">
        <v>19</v>
      </c>
      <c r="B10" s="1" t="s">
        <v>20</v>
      </c>
      <c r="C10" s="1">
        <v>150</v>
      </c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>
      <c r="A12" s="4" t="s">
        <v>21</v>
      </c>
      <c r="B12" s="5"/>
      <c r="C12" s="5"/>
      <c r="D12" s="5"/>
      <c r="E12" s="5"/>
      <c r="F12" s="5"/>
    </row>
    <row r="13" spans="1:6" ht="22.9" customHeight="1">
      <c r="A13" s="1" t="s">
        <v>22</v>
      </c>
      <c r="B13" s="1" t="s">
        <v>17</v>
      </c>
      <c r="C13" s="1">
        <v>2</v>
      </c>
      <c r="D13" s="1"/>
      <c r="E13" s="1"/>
      <c r="F13" s="1" t="s">
        <v>23</v>
      </c>
    </row>
    <row r="14" spans="1:6" ht="27.4" customHeight="1">
      <c r="A14" s="1" t="s">
        <v>24</v>
      </c>
      <c r="B14" s="1" t="s">
        <v>17</v>
      </c>
      <c r="C14" s="1">
        <v>2</v>
      </c>
      <c r="D14" s="1"/>
      <c r="E14" s="1"/>
      <c r="F14" s="1" t="s">
        <v>25</v>
      </c>
    </row>
    <row r="15" spans="1:6" ht="27.4" customHeight="1">
      <c r="A15" s="1" t="s">
        <v>26</v>
      </c>
      <c r="B15" s="1" t="s">
        <v>17</v>
      </c>
      <c r="C15" s="1">
        <v>1</v>
      </c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>
      <c r="A17" s="4" t="s">
        <v>27</v>
      </c>
      <c r="B17" s="5"/>
      <c r="C17" s="5"/>
      <c r="D17" s="5"/>
      <c r="E17" s="5"/>
      <c r="F17" s="5"/>
    </row>
    <row r="18" spans="1:6">
      <c r="A18" s="1" t="s">
        <v>28</v>
      </c>
      <c r="B18" s="1" t="s">
        <v>29</v>
      </c>
      <c r="C18" s="1">
        <v>350</v>
      </c>
      <c r="D18" s="1"/>
      <c r="E18" s="1"/>
      <c r="F18" s="1"/>
    </row>
    <row r="19" spans="1:6">
      <c r="A19" s="1" t="s">
        <v>30</v>
      </c>
      <c r="B19" s="1" t="s">
        <v>29</v>
      </c>
      <c r="C19" s="1">
        <v>0</v>
      </c>
      <c r="D19" s="1"/>
      <c r="E19" s="1"/>
      <c r="F19" s="1"/>
    </row>
    <row r="20" spans="1:6" ht="28.9">
      <c r="A20" s="1" t="s">
        <v>31</v>
      </c>
      <c r="B20" s="1" t="s">
        <v>32</v>
      </c>
      <c r="C20" s="1"/>
      <c r="D20" s="1"/>
      <c r="E20" s="1"/>
      <c r="F20" s="1" t="s">
        <v>33</v>
      </c>
    </row>
    <row r="21" spans="1:6">
      <c r="A21" s="1" t="s">
        <v>34</v>
      </c>
      <c r="B21" s="1" t="s">
        <v>29</v>
      </c>
      <c r="C21" s="1"/>
      <c r="D21" s="1"/>
      <c r="E21" s="1"/>
      <c r="F21" s="1" t="s">
        <v>35</v>
      </c>
    </row>
    <row r="22" spans="1:6">
      <c r="A22" s="1"/>
      <c r="B22" s="1"/>
      <c r="C22" s="1"/>
      <c r="D22" s="1"/>
      <c r="E22" s="1"/>
      <c r="F22" s="1"/>
    </row>
    <row r="23" spans="1:6">
      <c r="A23" s="2" t="s">
        <v>36</v>
      </c>
      <c r="B23" s="1" t="s">
        <v>37</v>
      </c>
      <c r="C23" s="1" t="s">
        <v>38</v>
      </c>
      <c r="D23" s="1"/>
      <c r="E23" s="1"/>
      <c r="F23" s="1" t="s">
        <v>39</v>
      </c>
    </row>
    <row r="24" spans="1:6">
      <c r="A24" s="2" t="s">
        <v>40</v>
      </c>
      <c r="B24" s="1" t="s">
        <v>41</v>
      </c>
      <c r="C24" s="1" t="s">
        <v>38</v>
      </c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4" t="s">
        <v>42</v>
      </c>
      <c r="B26" s="5"/>
      <c r="C26" s="5"/>
      <c r="D26" s="5"/>
      <c r="E26" s="6">
        <v>0</v>
      </c>
      <c r="F26" s="5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6F02D-A649-47AF-810A-C93898BD1B43}">
  <dimension ref="A1:F21"/>
  <sheetViews>
    <sheetView showGridLines="0" tabSelected="1" zoomScale="110" zoomScaleNormal="110" workbookViewId="0">
      <selection activeCell="A14" sqref="A14:XFD14"/>
    </sheetView>
  </sheetViews>
  <sheetFormatPr defaultColWidth="8.7109375" defaultRowHeight="14.45"/>
  <cols>
    <col min="2" max="2" width="42.140625" bestFit="1" customWidth="1"/>
    <col min="3" max="3" width="10.28515625" bestFit="1" customWidth="1"/>
    <col min="5" max="5" width="11.140625" bestFit="1" customWidth="1"/>
    <col min="6" max="6" width="12.7109375" bestFit="1" customWidth="1"/>
  </cols>
  <sheetData>
    <row r="1" spans="1:6">
      <c r="A1" s="22" t="s">
        <v>43</v>
      </c>
      <c r="B1" s="22" t="s">
        <v>44</v>
      </c>
      <c r="C1" s="22" t="s">
        <v>45</v>
      </c>
      <c r="D1" s="22" t="s">
        <v>46</v>
      </c>
      <c r="E1" s="22" t="s">
        <v>47</v>
      </c>
      <c r="F1" s="22" t="s">
        <v>48</v>
      </c>
    </row>
    <row r="2" spans="1:6">
      <c r="A2" s="23" t="s">
        <v>49</v>
      </c>
      <c r="B2" s="23" t="s">
        <v>50</v>
      </c>
      <c r="C2" s="24"/>
      <c r="D2" s="24"/>
      <c r="E2" s="24"/>
      <c r="F2" s="24"/>
    </row>
    <row r="3" spans="1:6" ht="24">
      <c r="A3" s="8" t="s">
        <v>51</v>
      </c>
      <c r="B3" s="33" t="s">
        <v>52</v>
      </c>
      <c r="C3" s="7" t="s">
        <v>53</v>
      </c>
      <c r="D3" s="8">
        <v>1</v>
      </c>
      <c r="E3" s="9">
        <v>1500</v>
      </c>
      <c r="F3" s="9">
        <f>D3*E3</f>
        <v>1500</v>
      </c>
    </row>
    <row r="4" spans="1:6">
      <c r="A4" s="27" t="s">
        <v>54</v>
      </c>
      <c r="B4" s="25" t="s">
        <v>55</v>
      </c>
      <c r="C4" s="26"/>
      <c r="D4" s="26"/>
      <c r="E4" s="26"/>
      <c r="F4" s="21"/>
    </row>
    <row r="5" spans="1:6" ht="96">
      <c r="A5" s="7" t="s">
        <v>56</v>
      </c>
      <c r="B5" s="33" t="s">
        <v>57</v>
      </c>
      <c r="C5" s="7" t="s">
        <v>58</v>
      </c>
      <c r="D5" s="7">
        <v>4.1025999999999998</v>
      </c>
      <c r="E5" s="9">
        <v>85</v>
      </c>
      <c r="F5" s="9">
        <f>D5*E5</f>
        <v>348.721</v>
      </c>
    </row>
    <row r="6" spans="1:6" ht="24">
      <c r="A6" s="7" t="s">
        <v>59</v>
      </c>
      <c r="B6" s="33" t="s">
        <v>60</v>
      </c>
      <c r="C6" s="7" t="s">
        <v>61</v>
      </c>
      <c r="D6" s="7">
        <v>2</v>
      </c>
      <c r="E6" s="9">
        <v>350</v>
      </c>
      <c r="F6" s="9">
        <f>D6*E6</f>
        <v>700</v>
      </c>
    </row>
    <row r="7" spans="1:6">
      <c r="A7" s="27" t="s">
        <v>62</v>
      </c>
      <c r="B7" s="25" t="s">
        <v>63</v>
      </c>
      <c r="C7" s="26"/>
      <c r="D7" s="26"/>
      <c r="E7" s="26"/>
      <c r="F7" s="30"/>
    </row>
    <row r="8" spans="1:6" ht="48">
      <c r="A8" s="7" t="s">
        <v>64</v>
      </c>
      <c r="B8" s="33" t="s">
        <v>65</v>
      </c>
      <c r="C8" s="7" t="s">
        <v>53</v>
      </c>
      <c r="D8" s="7">
        <v>1</v>
      </c>
      <c r="E8" s="9">
        <v>800</v>
      </c>
      <c r="F8" s="9">
        <f>D8*E8</f>
        <v>800</v>
      </c>
    </row>
    <row r="9" spans="1:6" ht="36">
      <c r="A9" s="7" t="s">
        <v>66</v>
      </c>
      <c r="B9" s="33" t="s">
        <v>67</v>
      </c>
      <c r="C9" s="7" t="s">
        <v>53</v>
      </c>
      <c r="D9" s="7">
        <v>1</v>
      </c>
      <c r="E9" s="9">
        <v>500</v>
      </c>
      <c r="F9" s="9">
        <f>D9*E9</f>
        <v>500</v>
      </c>
    </row>
    <row r="10" spans="1:6" ht="24">
      <c r="A10" s="7" t="s">
        <v>68</v>
      </c>
      <c r="B10" s="33" t="s">
        <v>69</v>
      </c>
      <c r="C10" s="7" t="s">
        <v>53</v>
      </c>
      <c r="D10" s="7">
        <v>1</v>
      </c>
      <c r="E10" s="9">
        <v>500</v>
      </c>
      <c r="F10" s="9">
        <f>D10*E10</f>
        <v>500</v>
      </c>
    </row>
    <row r="11" spans="1:6">
      <c r="A11" s="27" t="s">
        <v>70</v>
      </c>
      <c r="B11" s="25" t="s">
        <v>71</v>
      </c>
      <c r="C11" s="25"/>
      <c r="D11" s="25"/>
      <c r="E11" s="25"/>
      <c r="F11" s="25"/>
    </row>
    <row r="12" spans="1:6" ht="48">
      <c r="A12" s="28" t="s">
        <v>72</v>
      </c>
      <c r="B12" s="32" t="s">
        <v>73</v>
      </c>
      <c r="C12" s="7" t="s">
        <v>53</v>
      </c>
      <c r="D12" s="7">
        <v>1</v>
      </c>
      <c r="E12" s="9">
        <v>2000</v>
      </c>
      <c r="F12" s="34">
        <f>D12*E12</f>
        <v>2000</v>
      </c>
    </row>
    <row r="13" spans="1:6" ht="31.15" customHeight="1">
      <c r="A13" s="35" t="s">
        <v>74</v>
      </c>
      <c r="B13" s="36" t="s">
        <v>75</v>
      </c>
      <c r="C13" s="7" t="s">
        <v>53</v>
      </c>
      <c r="D13" s="7">
        <v>1</v>
      </c>
      <c r="E13" s="9">
        <v>500</v>
      </c>
      <c r="F13" s="34">
        <f>D13*E13</f>
        <v>500</v>
      </c>
    </row>
    <row r="14" spans="1:6">
      <c r="A14" s="29"/>
      <c r="B14" s="37" t="s">
        <v>76</v>
      </c>
      <c r="C14" s="38"/>
      <c r="D14" s="38"/>
      <c r="E14" s="39"/>
      <c r="F14" s="31">
        <f>SUM(F2:F13)</f>
        <v>6848.7209999999995</v>
      </c>
    </row>
    <row r="15" spans="1:6">
      <c r="A15" s="10"/>
      <c r="B15" s="1"/>
      <c r="C15" s="10"/>
      <c r="D15" s="11"/>
      <c r="E15" s="12"/>
      <c r="F15" s="13"/>
    </row>
    <row r="16" spans="1:6">
      <c r="A16" s="10"/>
      <c r="B16" s="1"/>
      <c r="C16" s="10"/>
      <c r="D16" s="11"/>
      <c r="E16" s="12"/>
      <c r="F16" s="14"/>
    </row>
    <row r="17" spans="2:5">
      <c r="D17" s="15"/>
      <c r="E17" s="16"/>
    </row>
    <row r="18" spans="2:5">
      <c r="B18" s="17" t="s">
        <v>77</v>
      </c>
      <c r="C18" s="18">
        <v>200</v>
      </c>
    </row>
    <row r="19" spans="2:5">
      <c r="B19" s="17" t="s">
        <v>78</v>
      </c>
      <c r="C19" s="18">
        <v>500</v>
      </c>
    </row>
    <row r="20" spans="2:5">
      <c r="B20" s="19" t="s">
        <v>79</v>
      </c>
      <c r="C20" s="20">
        <f>SUM(C18:C19)</f>
        <v>700</v>
      </c>
    </row>
    <row r="21" spans="2:5" ht="15"/>
  </sheetData>
  <mergeCells count="1">
    <mergeCell ref="B14:E1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Usuário Convidado</cp:lastModifiedBy>
  <cp:revision/>
  <dcterms:created xsi:type="dcterms:W3CDTF">2025-06-15T14:46:16Z</dcterms:created>
  <dcterms:modified xsi:type="dcterms:W3CDTF">2025-08-15T13:24:18Z</dcterms:modified>
  <cp:category/>
  <cp:contentStatus/>
</cp:coreProperties>
</file>