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2" documentId="8_{6765271F-81F2-4B15-9CC4-9F1D4521DE25}" xr6:coauthVersionLast="47" xr6:coauthVersionMax="47" xr10:uidLastSave="{5C91DFD9-7CBC-4265-9676-076C6EF519E4}"/>
  <bookViews>
    <workbookView xWindow="-108" yWindow="-108" windowWidth="23256" windowHeight="12456" xr2:uid="{CF606EC9-AD9B-4C9C-8E0D-D88BB9E763AF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18" i="1"/>
  <c r="F14" i="1"/>
  <c r="F17" i="1"/>
  <c r="F16" i="1"/>
  <c r="F4" i="1"/>
  <c r="F13" i="1"/>
  <c r="F12" i="1"/>
  <c r="F11" i="1"/>
  <c r="F8" i="1"/>
  <c r="F9" i="1" s="1"/>
  <c r="F7" i="1"/>
  <c r="F3" i="1"/>
</calcChain>
</file>

<file path=xl/sharedStrings.xml><?xml version="1.0" encoding="utf-8"?>
<sst xmlns="http://schemas.openxmlformats.org/spreadsheetml/2006/main" count="45" uniqueCount="34">
  <si>
    <t>ITENS</t>
  </si>
  <si>
    <t>DESCRIÇÃO</t>
  </si>
  <si>
    <t>UND</t>
  </si>
  <si>
    <t>QUANT.</t>
  </si>
  <si>
    <t>PREÇO UNITÁRIIO</t>
  </si>
  <si>
    <t>PREÇO</t>
  </si>
  <si>
    <t>1.0</t>
  </si>
  <si>
    <t xml:space="preserve">Mobilização </t>
  </si>
  <si>
    <t>1.1</t>
  </si>
  <si>
    <t>Mobilização de equipamentos e pessoas para  realização do levantamento</t>
  </si>
  <si>
    <t>VERBA</t>
  </si>
  <si>
    <t>Sub total</t>
  </si>
  <si>
    <t>2.0</t>
  </si>
  <si>
    <t>Levantamento Territorial</t>
  </si>
  <si>
    <t>2.1</t>
  </si>
  <si>
    <t>Aerolevantamento com uso de Drone  com Apoio check e apoio e as devidas autorizaçãoes de Vôo. (Aproximadamente 110 hectares)</t>
  </si>
  <si>
    <t>2.3</t>
  </si>
  <si>
    <t>Geração de de Ortomoisaico e plantas topográficas com uso de Imagens de Drone com a devida responsabilidade técnica. (Aproximadamente 110 hectares)</t>
  </si>
  <si>
    <t>Levantamento Arquitetonico</t>
  </si>
  <si>
    <t>Levantamento Arquitetonico de Galinheiros de ( 20  x 120 m) aproximadamentecom a confecção de 3 jogos de  planta (1 planta baixa, 2 cortes, 2 fachada, planta de locação e situação) com Anotação de Responsabilidade, CIM e aprovação Técnica  em sistema eletrônico- ART de regularização da edificação</t>
  </si>
  <si>
    <t>UNID</t>
  </si>
  <si>
    <t>custos</t>
  </si>
  <si>
    <t>Levantamento Arquitetonico de galpões aproximadamentecom a confecção de 3 jogos de  planta (1 planta baixa, 2 cortes, 2 fachada, planta de locação e situação) com Anotação de Responsabilidade, CIM e aprovação Técnica  em sistema eletrônico- ART de regularização da edificação</t>
  </si>
  <si>
    <t>2.4</t>
  </si>
  <si>
    <t>Levantamento Arquitetonico de Predios Administrativos e Coletivos aproximadamentecom a confecção de 3 jogos de  planta (1 planta baixa, 2 cortes, 2 fachada, planta de locação e situação) com Anotação de Responsabilidade, CIM e aprovação Técnica  em sistema eletrônico- ART de regularização da edificação</t>
  </si>
  <si>
    <t>SISTEMA DE INFORMAÇÕES GEOGRÁFICAS  BASE PLANTAS ARQUITETONICAS</t>
  </si>
  <si>
    <t>3.1</t>
  </si>
  <si>
    <t>Sistema de Gerenciamento de Banco de Dados para armazenar plantas e alteraçãoes na fabrica</t>
  </si>
  <si>
    <t>verba</t>
  </si>
  <si>
    <t>3.2</t>
  </si>
  <si>
    <t>Criação de um Sistema de Informações Geográficas</t>
  </si>
  <si>
    <t>Benedito</t>
  </si>
  <si>
    <t>Total</t>
  </si>
  <si>
    <t>Custo do Levantamento / gerenciamento / colaboradores/ 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</si>
</sst>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wrapText="1"/>
    </xf>
    <xf numFmtId="8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3" borderId="0" xfId="0" applyFont="1" applyFill="1"/>
    <xf numFmtId="0" fontId="2" fillId="4" borderId="0" xfId="0" applyFont="1" applyFill="1"/>
    <xf numFmtId="44" fontId="0" fillId="0" borderId="0" xfId="1" applyFont="1"/>
    <xf numFmtId="0" fontId="0" fillId="2" borderId="1" xfId="0" applyFill="1" applyBorder="1"/>
    <xf numFmtId="8" fontId="3" fillId="2" borderId="1" xfId="0" applyNumberFormat="1" applyFont="1" applyFill="1" applyBorder="1"/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/>
    </xf>
    <xf numFmtId="8" fontId="0" fillId="5" borderId="1" xfId="0" applyNumberFormat="1" applyFill="1" applyBorder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8" fontId="3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wrapText="1"/>
    </xf>
    <xf numFmtId="0" fontId="0" fillId="6" borderId="1" xfId="0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2CD7-9B66-4F99-87AE-2DF3385A3540}">
  <dimension ref="A1:I21"/>
  <sheetViews>
    <sheetView tabSelected="1" workbookViewId="0">
      <selection activeCell="I24" sqref="I24"/>
    </sheetView>
  </sheetViews>
  <sheetFormatPr defaultRowHeight="14.45"/>
  <cols>
    <col min="1" max="1" width="5.7109375" customWidth="1"/>
    <col min="2" max="2" width="51.140625" customWidth="1"/>
    <col min="3" max="3" width="6.28515625" style="15" customWidth="1"/>
    <col min="4" max="4" width="8.42578125" bestFit="1" customWidth="1"/>
    <col min="5" max="5" width="14.140625" customWidth="1"/>
    <col min="6" max="6" width="13" bestFit="1" customWidth="1"/>
    <col min="7" max="7" width="11.28515625" customWidth="1"/>
    <col min="8" max="8" width="52.7109375" bestFit="1" customWidth="1"/>
    <col min="9" max="9" width="12.85546875" bestFit="1" customWidth="1"/>
  </cols>
  <sheetData>
    <row r="1" spans="1:9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A2" s="21" t="s">
        <v>6</v>
      </c>
      <c r="B2" s="22" t="s">
        <v>7</v>
      </c>
      <c r="C2" s="23"/>
      <c r="D2" s="23"/>
      <c r="E2" s="23"/>
      <c r="F2" s="23"/>
    </row>
    <row r="3" spans="1:9" ht="28.9">
      <c r="A3" s="6" t="s">
        <v>8</v>
      </c>
      <c r="B3" s="7" t="s">
        <v>9</v>
      </c>
      <c r="C3" s="5" t="s">
        <v>10</v>
      </c>
      <c r="D3" s="5">
        <v>12</v>
      </c>
      <c r="E3" s="8">
        <v>350</v>
      </c>
      <c r="F3" s="8">
        <f>D3*E3</f>
        <v>4200</v>
      </c>
    </row>
    <row r="4" spans="1:9">
      <c r="A4" s="16"/>
      <c r="B4" s="19" t="s">
        <v>11</v>
      </c>
      <c r="C4" s="17"/>
      <c r="D4" s="17"/>
      <c r="E4" s="18"/>
      <c r="F4" s="20">
        <f>SUM(F3)</f>
        <v>4200</v>
      </c>
    </row>
    <row r="5" spans="1:9">
      <c r="A5" s="6"/>
      <c r="B5" s="7"/>
      <c r="C5" s="5"/>
      <c r="D5" s="5"/>
      <c r="E5" s="8"/>
      <c r="F5" s="8"/>
    </row>
    <row r="6" spans="1:9">
      <c r="A6" s="21" t="s">
        <v>12</v>
      </c>
      <c r="B6" s="22" t="s">
        <v>13</v>
      </c>
      <c r="C6" s="23"/>
      <c r="D6" s="23"/>
      <c r="E6" s="23"/>
      <c r="F6" s="23"/>
    </row>
    <row r="7" spans="1:9" ht="43.15">
      <c r="A7" s="6" t="s">
        <v>14</v>
      </c>
      <c r="B7" s="7" t="s">
        <v>15</v>
      </c>
      <c r="C7" s="5" t="s">
        <v>10</v>
      </c>
      <c r="D7" s="5">
        <v>1</v>
      </c>
      <c r="E7" s="8">
        <v>6000</v>
      </c>
      <c r="F7" s="8">
        <f>D7*E7</f>
        <v>6000</v>
      </c>
    </row>
    <row r="8" spans="1:9" ht="43.15">
      <c r="A8" s="6" t="s">
        <v>16</v>
      </c>
      <c r="B8" s="7" t="s">
        <v>17</v>
      </c>
      <c r="C8" s="5" t="s">
        <v>10</v>
      </c>
      <c r="D8" s="5">
        <v>1</v>
      </c>
      <c r="E8" s="8">
        <v>4000</v>
      </c>
      <c r="F8" s="8">
        <f>D8*E8</f>
        <v>4000</v>
      </c>
    </row>
    <row r="9" spans="1:9" ht="21" customHeight="1">
      <c r="A9" s="16"/>
      <c r="B9" s="19" t="s">
        <v>11</v>
      </c>
      <c r="C9" s="17"/>
      <c r="D9" s="17"/>
      <c r="E9" s="18"/>
      <c r="F9" s="20">
        <f>SUM(F7:F8)</f>
        <v>10000</v>
      </c>
    </row>
    <row r="10" spans="1:9">
      <c r="A10" s="21" t="s">
        <v>12</v>
      </c>
      <c r="B10" s="22" t="s">
        <v>18</v>
      </c>
      <c r="C10" s="23"/>
      <c r="D10" s="23"/>
      <c r="E10" s="23"/>
      <c r="F10" s="23"/>
    </row>
    <row r="11" spans="1:9" ht="86.45">
      <c r="A11" s="6" t="s">
        <v>14</v>
      </c>
      <c r="B11" s="7" t="s">
        <v>19</v>
      </c>
      <c r="C11" s="5" t="s">
        <v>20</v>
      </c>
      <c r="D11" s="9">
        <v>8</v>
      </c>
      <c r="E11" s="8">
        <v>3000</v>
      </c>
      <c r="F11" s="8">
        <f>D11*E11</f>
        <v>24000</v>
      </c>
      <c r="I11" s="24" t="s">
        <v>21</v>
      </c>
    </row>
    <row r="12" spans="1:9" ht="86.45" customHeight="1">
      <c r="A12" s="6" t="s">
        <v>16</v>
      </c>
      <c r="B12" s="7" t="s">
        <v>22</v>
      </c>
      <c r="C12" s="5" t="s">
        <v>20</v>
      </c>
      <c r="D12" s="9">
        <v>51</v>
      </c>
      <c r="E12" s="8">
        <v>1000</v>
      </c>
      <c r="F12" s="8">
        <f>D12*E12</f>
        <v>51000</v>
      </c>
      <c r="I12" s="10"/>
    </row>
    <row r="13" spans="1:9" ht="86.45">
      <c r="A13" s="6" t="s">
        <v>23</v>
      </c>
      <c r="B13" s="7" t="s">
        <v>24</v>
      </c>
      <c r="C13" s="5" t="s">
        <v>20</v>
      </c>
      <c r="D13" s="9">
        <v>7</v>
      </c>
      <c r="E13" s="8">
        <v>1500</v>
      </c>
      <c r="F13" s="8">
        <f>D13*E13</f>
        <v>10500</v>
      </c>
      <c r="I13" s="10"/>
    </row>
    <row r="14" spans="1:9">
      <c r="A14" s="16"/>
      <c r="B14" s="19" t="s">
        <v>11</v>
      </c>
      <c r="C14" s="17"/>
      <c r="D14" s="17"/>
      <c r="E14" s="18"/>
      <c r="F14" s="20">
        <f>SUM(F11:F13)</f>
        <v>85500</v>
      </c>
      <c r="I14" s="10"/>
    </row>
    <row r="15" spans="1:9" ht="28.9">
      <c r="A15" s="21">
        <v>3</v>
      </c>
      <c r="B15" s="22" t="s">
        <v>25</v>
      </c>
      <c r="C15" s="23"/>
      <c r="D15" s="23"/>
      <c r="E15" s="23"/>
      <c r="F15" s="23"/>
      <c r="I15" s="10"/>
    </row>
    <row r="16" spans="1:9" ht="28.9">
      <c r="A16" s="6" t="s">
        <v>26</v>
      </c>
      <c r="B16" s="7" t="s">
        <v>27</v>
      </c>
      <c r="C16" s="5" t="s">
        <v>28</v>
      </c>
      <c r="D16" s="9">
        <v>1</v>
      </c>
      <c r="E16" s="8">
        <v>5000</v>
      </c>
      <c r="F16" s="8">
        <f>D16*E16</f>
        <v>5000</v>
      </c>
      <c r="I16" s="10"/>
    </row>
    <row r="17" spans="1:9">
      <c r="A17" s="6" t="s">
        <v>29</v>
      </c>
      <c r="B17" s="7" t="s">
        <v>30</v>
      </c>
      <c r="C17" s="5" t="s">
        <v>28</v>
      </c>
      <c r="D17" s="9">
        <v>1</v>
      </c>
      <c r="E17" s="8">
        <v>10000</v>
      </c>
      <c r="F17" s="8">
        <f>D17*E17</f>
        <v>10000</v>
      </c>
      <c r="I17" s="10"/>
    </row>
    <row r="18" spans="1:9">
      <c r="A18" s="16"/>
      <c r="B18" s="19" t="s">
        <v>11</v>
      </c>
      <c r="C18" s="17"/>
      <c r="D18" s="17"/>
      <c r="E18" s="18"/>
      <c r="F18" s="20">
        <f>SUM(F16:F17)</f>
        <v>15000</v>
      </c>
      <c r="I18" s="10"/>
    </row>
    <row r="19" spans="1:9">
      <c r="A19" s="3"/>
      <c r="B19" s="4"/>
      <c r="C19" s="5"/>
      <c r="D19" s="5"/>
      <c r="E19" s="8"/>
      <c r="F19" s="8"/>
      <c r="H19" s="11" t="s">
        <v>31</v>
      </c>
      <c r="I19" s="12">
        <v>15000</v>
      </c>
    </row>
    <row r="20" spans="1:9">
      <c r="A20" s="13"/>
      <c r="B20" s="13"/>
      <c r="C20" s="25" t="s">
        <v>32</v>
      </c>
      <c r="D20" s="25"/>
      <c r="E20" s="25"/>
      <c r="F20" s="14">
        <f>SUM(F4,F9,F14,F18)</f>
        <v>114700</v>
      </c>
      <c r="H20" s="11" t="s">
        <v>33</v>
      </c>
      <c r="I20" s="12">
        <v>50000</v>
      </c>
    </row>
    <row r="21" spans="1:9">
      <c r="H21" s="11"/>
      <c r="I21" s="12"/>
    </row>
  </sheetData>
  <mergeCells count="1">
    <mergeCell ref="C20:E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Erison Barros</cp:lastModifiedBy>
  <cp:revision/>
  <dcterms:created xsi:type="dcterms:W3CDTF">2024-03-07T05:15:31Z</dcterms:created>
  <dcterms:modified xsi:type="dcterms:W3CDTF">2024-03-11T13:36:21Z</dcterms:modified>
  <cp:category/>
  <cp:contentStatus/>
</cp:coreProperties>
</file>