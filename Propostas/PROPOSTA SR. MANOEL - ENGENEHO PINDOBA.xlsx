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16" documentId="8_{81B4BD97-58C0-479A-BDD9-282665741555}" xr6:coauthVersionLast="47" xr6:coauthVersionMax="47" xr10:uidLastSave="{6B667681-29B2-4F2B-8C39-304B66E6CC4C}"/>
  <bookViews>
    <workbookView minimized="1" xWindow="2664" yWindow="1872" windowWidth="17280" windowHeight="8880" xr2:uid="{F88F7009-83D0-496A-8373-3B15FC1ECB47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E21" i="1"/>
  <c r="E20" i="1"/>
  <c r="E19" i="1"/>
  <c r="E18" i="1"/>
  <c r="F11" i="1"/>
  <c r="E17" i="1"/>
  <c r="E16" i="1"/>
  <c r="F8" i="1"/>
  <c r="F9" i="1"/>
  <c r="F7" i="1"/>
  <c r="F6" i="1"/>
  <c r="F4" i="1"/>
  <c r="E23" i="1" l="1"/>
  <c r="F12" i="1"/>
  <c r="G12" i="1" l="1"/>
</calcChain>
</file>

<file path=xl/sharedStrings.xml><?xml version="1.0" encoding="utf-8"?>
<sst xmlns="http://schemas.openxmlformats.org/spreadsheetml/2006/main" count="58" uniqueCount="41">
  <si>
    <r>
      <t>ITENS</t>
    </r>
    <r>
      <rPr>
        <sz val="6"/>
        <color rgb="FF000000"/>
        <rFont val="Calibri"/>
        <family val="2"/>
      </rPr>
      <t> </t>
    </r>
  </si>
  <si>
    <r>
      <t>DESCRIÇÃO</t>
    </r>
    <r>
      <rPr>
        <sz val="6"/>
        <color rgb="FF000000"/>
        <rFont val="Calibri"/>
        <family val="2"/>
      </rPr>
      <t> </t>
    </r>
  </si>
  <si>
    <r>
      <t>UND</t>
    </r>
    <r>
      <rPr>
        <sz val="6"/>
        <color rgb="FF000000"/>
        <rFont val="Calibri"/>
        <family val="2"/>
      </rPr>
      <t> </t>
    </r>
  </si>
  <si>
    <r>
      <t>QUANT.</t>
    </r>
    <r>
      <rPr>
        <sz val="6"/>
        <color rgb="FF000000"/>
        <rFont val="Calibri"/>
        <family val="2"/>
      </rPr>
      <t> </t>
    </r>
  </si>
  <si>
    <r>
      <t>PREÇO </t>
    </r>
    <r>
      <rPr>
        <sz val="6"/>
        <color rgb="FF000000"/>
        <rFont val="Calibri"/>
        <family val="2"/>
      </rPr>
      <t> </t>
    </r>
  </si>
  <si>
    <t>VALOR</t>
  </si>
  <si>
    <r>
      <t>UNITÁRIIO</t>
    </r>
    <r>
      <rPr>
        <sz val="6"/>
        <color rgb="FF000000"/>
        <rFont val="Calibri"/>
        <family val="2"/>
      </rPr>
      <t> </t>
    </r>
  </si>
  <si>
    <r>
      <t>1.0</t>
    </r>
    <r>
      <rPr>
        <sz val="6"/>
        <color rgb="FF000000"/>
        <rFont val="Calibri"/>
        <family val="2"/>
      </rPr>
      <t> </t>
    </r>
  </si>
  <si>
    <r>
      <t>Mobilização </t>
    </r>
    <r>
      <rPr>
        <sz val="6"/>
        <color rgb="FF000000"/>
        <rFont val="Calibri"/>
        <family val="2"/>
      </rPr>
      <t> </t>
    </r>
  </si>
  <si>
    <t>  </t>
  </si>
  <si>
    <t>1.1 </t>
  </si>
  <si>
    <t>Mobilização de equipamentos e pessoas para realização do levantamento para adquação do levantamento para atender as especificações do Manual de Georreferenciamento (MTGIR, 2022) </t>
  </si>
  <si>
    <t>VERBA</t>
  </si>
  <si>
    <r>
      <t>2.0</t>
    </r>
    <r>
      <rPr>
        <sz val="6"/>
        <color rgb="FF000000"/>
        <rFont val="Calibri"/>
        <family val="2"/>
      </rPr>
      <t> </t>
    </r>
  </si>
  <si>
    <r>
      <t>Levantamento Cadastral  Territorial </t>
    </r>
    <r>
      <rPr>
        <sz val="6"/>
        <color rgb="FF000000"/>
        <rFont val="Calibri"/>
        <family val="2"/>
      </rPr>
      <t> </t>
    </r>
  </si>
  <si>
    <t>2.3</t>
  </si>
  <si>
    <t>Confecção e Implantação  de Marcos e plaquetas Padrão INCRA. </t>
  </si>
  <si>
    <t>UNID </t>
  </si>
  <si>
    <t>2.2</t>
  </si>
  <si>
    <t>Serviços de campo para medição e Georreferenciamento dos vértices definidores do perímetro total conforme estabelece o Manual Técnico de Georrferenciamendo Imóveis Rurais 2022. </t>
  </si>
  <si>
    <t>hectares </t>
  </si>
  <si>
    <t>2.4</t>
  </si>
  <si>
    <t>Serviços de Gabinete: processamento e analise de dados, elaboração de planilhas eletrônicas, relatórios, cálculos. </t>
  </si>
  <si>
    <t>2.6</t>
  </si>
  <si>
    <t>Elaboração de planta em CAD e calculos necessários com impressão em formato ABNT em 3 vias com a elaboração do memorial descritivo, com Registro de ART junto ao CREA, Honorários de responsabilidade técnica e consultoria. </t>
  </si>
  <si>
    <t>Cadastro Ambiental Rural</t>
  </si>
  <si>
    <t>2.1</t>
  </si>
  <si>
    <t>Confeção e cadastramento do imóvel no SICAR para imersão do cadastro Rural</t>
  </si>
  <si>
    <t>verba</t>
  </si>
  <si>
    <t>RECEITA</t>
  </si>
  <si>
    <r>
      <t>Total</t>
    </r>
    <r>
      <rPr>
        <sz val="6"/>
        <color rgb="FF000000"/>
        <rFont val="Calibri"/>
        <family val="2"/>
      </rPr>
      <t> </t>
    </r>
  </si>
  <si>
    <t>DESPESAS</t>
  </si>
  <si>
    <t>QUANT</t>
  </si>
  <si>
    <t>PREÇO</t>
  </si>
  <si>
    <t>ALIMENTAÇÃO</t>
  </si>
  <si>
    <t>HOSPEDAGEM</t>
  </si>
  <si>
    <t>COMBUSTIVEL</t>
  </si>
  <si>
    <t>AJUDANTES</t>
  </si>
  <si>
    <t>PLAQUETAS</t>
  </si>
  <si>
    <t>PROCESSAMENTO DOS DADOS</t>
  </si>
  <si>
    <t>INDICAÇÃO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</si>
</sst>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color rgb="FF000000"/>
      <name val="Calibri"/>
      <family val="2"/>
    </font>
    <font>
      <sz val="6"/>
      <color rgb="FF000000"/>
      <name val="Calibri"/>
      <family val="2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center" vertical="center" wrapText="1"/>
    </xf>
    <xf numFmtId="44" fontId="3" fillId="0" borderId="6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justify" vertical="center" wrapText="1"/>
    </xf>
    <xf numFmtId="44" fontId="0" fillId="0" borderId="0" xfId="0" applyNumberFormat="1"/>
    <xf numFmtId="44" fontId="3" fillId="0" borderId="16" xfId="1" applyFont="1" applyBorder="1" applyAlignment="1">
      <alignment horizontal="center" vertical="center" wrapText="1"/>
    </xf>
    <xf numFmtId="44" fontId="3" fillId="0" borderId="14" xfId="1" applyFont="1" applyBorder="1" applyAlignment="1">
      <alignment horizontal="center" vertical="center" wrapText="1"/>
    </xf>
    <xf numFmtId="44" fontId="0" fillId="4" borderId="0" xfId="0" applyNumberFormat="1" applyFill="1"/>
    <xf numFmtId="44" fontId="0" fillId="0" borderId="0" xfId="1" applyFont="1"/>
    <xf numFmtId="0" fontId="0" fillId="4" borderId="0" xfId="0" applyFill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2" fillId="3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BC8D2-DB58-4DBE-AFBB-53255E1ED8BE}">
  <dimension ref="A1:G23"/>
  <sheetViews>
    <sheetView tabSelected="1" zoomScale="171" zoomScaleNormal="171" workbookViewId="0">
      <selection activeCell="F17" sqref="F17"/>
    </sheetView>
  </sheetViews>
  <sheetFormatPr defaultRowHeight="14.4" x14ac:dyDescent="0.3"/>
  <cols>
    <col min="2" max="2" width="36" customWidth="1"/>
    <col min="4" max="5" width="11.88671875" bestFit="1" customWidth="1"/>
    <col min="6" max="6" width="12.88671875" bestFit="1" customWidth="1"/>
    <col min="7" max="7" width="11.88671875" bestFit="1" customWidth="1"/>
  </cols>
  <sheetData>
    <row r="1" spans="1:7" x14ac:dyDescent="0.3">
      <c r="A1" s="31" t="s">
        <v>0</v>
      </c>
      <c r="B1" s="33" t="s">
        <v>1</v>
      </c>
      <c r="C1" s="33" t="s">
        <v>2</v>
      </c>
      <c r="D1" s="33" t="s">
        <v>3</v>
      </c>
      <c r="E1" s="1" t="s">
        <v>4</v>
      </c>
      <c r="F1" s="33" t="s">
        <v>5</v>
      </c>
    </row>
    <row r="2" spans="1:7" ht="15" thickBot="1" x14ac:dyDescent="0.35">
      <c r="A2" s="32"/>
      <c r="B2" s="34"/>
      <c r="C2" s="34"/>
      <c r="D2" s="34"/>
      <c r="E2" s="2" t="s">
        <v>6</v>
      </c>
      <c r="F2" s="34" t="s">
        <v>5</v>
      </c>
    </row>
    <row r="3" spans="1:7" ht="16.2" thickBot="1" x14ac:dyDescent="0.35">
      <c r="A3" s="3" t="s">
        <v>7</v>
      </c>
      <c r="B3" s="4" t="s">
        <v>8</v>
      </c>
      <c r="C3" s="5" t="s">
        <v>9</v>
      </c>
      <c r="D3" s="5" t="s">
        <v>9</v>
      </c>
      <c r="E3" s="5" t="s">
        <v>9</v>
      </c>
      <c r="F3" s="5"/>
    </row>
    <row r="4" spans="1:7" ht="24" thickBot="1" x14ac:dyDescent="0.35">
      <c r="A4" s="6" t="s">
        <v>10</v>
      </c>
      <c r="B4" s="7" t="s">
        <v>11</v>
      </c>
      <c r="C4" s="8" t="s">
        <v>12</v>
      </c>
      <c r="D4" s="8">
        <v>1</v>
      </c>
      <c r="E4" s="23">
        <v>450</v>
      </c>
      <c r="F4" s="24">
        <f>D4*E4</f>
        <v>450</v>
      </c>
    </row>
    <row r="5" spans="1:7" ht="16.2" thickBot="1" x14ac:dyDescent="0.35">
      <c r="A5" s="3" t="s">
        <v>13</v>
      </c>
      <c r="B5" s="4" t="s">
        <v>14</v>
      </c>
      <c r="C5" s="5" t="s">
        <v>9</v>
      </c>
      <c r="D5" s="5" t="s">
        <v>9</v>
      </c>
      <c r="E5" s="5" t="s">
        <v>9</v>
      </c>
      <c r="F5" s="5"/>
    </row>
    <row r="6" spans="1:7" ht="15" thickBot="1" x14ac:dyDescent="0.35">
      <c r="A6" s="6" t="s">
        <v>15</v>
      </c>
      <c r="B6" s="21" t="s">
        <v>16</v>
      </c>
      <c r="C6" s="10" t="s">
        <v>17</v>
      </c>
      <c r="D6" s="11">
        <v>15</v>
      </c>
      <c r="E6" s="9">
        <v>35</v>
      </c>
      <c r="F6" s="9">
        <f>D6*E6</f>
        <v>525</v>
      </c>
    </row>
    <row r="7" spans="1:7" ht="24" thickBot="1" x14ac:dyDescent="0.35">
      <c r="A7" s="19" t="s">
        <v>18</v>
      </c>
      <c r="B7" s="13" t="s">
        <v>19</v>
      </c>
      <c r="C7" s="14" t="s">
        <v>20</v>
      </c>
      <c r="D7" s="14">
        <v>79</v>
      </c>
      <c r="E7" s="9">
        <v>25</v>
      </c>
      <c r="F7" s="9">
        <f>D7*E7</f>
        <v>1975</v>
      </c>
    </row>
    <row r="8" spans="1:7" ht="16.2" thickBot="1" x14ac:dyDescent="0.35">
      <c r="A8" s="12" t="s">
        <v>21</v>
      </c>
      <c r="B8" s="13" t="s">
        <v>22</v>
      </c>
      <c r="C8" s="10" t="s">
        <v>20</v>
      </c>
      <c r="D8" s="10">
        <v>79</v>
      </c>
      <c r="E8" s="9">
        <v>5</v>
      </c>
      <c r="F8" s="9">
        <f t="shared" ref="F8:F11" si="0">D8*E8</f>
        <v>395</v>
      </c>
    </row>
    <row r="9" spans="1:7" ht="31.8" thickBot="1" x14ac:dyDescent="0.35">
      <c r="A9" s="12" t="s">
        <v>23</v>
      </c>
      <c r="B9" s="13" t="s">
        <v>24</v>
      </c>
      <c r="C9" s="10" t="s">
        <v>20</v>
      </c>
      <c r="D9" s="10">
        <v>79</v>
      </c>
      <c r="E9" s="9">
        <v>5</v>
      </c>
      <c r="F9" s="9">
        <f t="shared" si="0"/>
        <v>395</v>
      </c>
    </row>
    <row r="10" spans="1:7" ht="16.2" thickBot="1" x14ac:dyDescent="0.35">
      <c r="A10" s="30" t="s">
        <v>13</v>
      </c>
      <c r="B10" s="4" t="s">
        <v>25</v>
      </c>
      <c r="C10" s="5" t="s">
        <v>9</v>
      </c>
      <c r="D10" s="5" t="s">
        <v>9</v>
      </c>
      <c r="E10" s="5" t="s">
        <v>9</v>
      </c>
      <c r="F10" s="5"/>
    </row>
    <row r="11" spans="1:7" ht="16.2" thickBot="1" x14ac:dyDescent="0.35">
      <c r="A11" s="20" t="s">
        <v>26</v>
      </c>
      <c r="B11" s="13" t="s">
        <v>27</v>
      </c>
      <c r="C11" s="10" t="s">
        <v>28</v>
      </c>
      <c r="D11" s="10">
        <v>1</v>
      </c>
      <c r="E11" s="9">
        <v>350</v>
      </c>
      <c r="F11" s="9">
        <f t="shared" si="0"/>
        <v>350</v>
      </c>
      <c r="G11" s="28" t="s">
        <v>29</v>
      </c>
    </row>
    <row r="12" spans="1:7" ht="15.6" x14ac:dyDescent="0.3">
      <c r="A12" s="15" t="s">
        <v>9</v>
      </c>
      <c r="B12" s="16" t="s">
        <v>30</v>
      </c>
      <c r="C12" s="17" t="s">
        <v>9</v>
      </c>
      <c r="D12" s="17" t="s">
        <v>9</v>
      </c>
      <c r="E12" s="18" t="s">
        <v>9</v>
      </c>
      <c r="F12" s="25">
        <f>SUM(F4:F11)</f>
        <v>4090</v>
      </c>
      <c r="G12" s="22">
        <f>F12-E23</f>
        <v>2270</v>
      </c>
    </row>
    <row r="15" spans="1:7" x14ac:dyDescent="0.3">
      <c r="B15" s="27" t="s">
        <v>31</v>
      </c>
      <c r="C15" s="27" t="s">
        <v>32</v>
      </c>
      <c r="D15" s="27" t="s">
        <v>33</v>
      </c>
      <c r="E15" s="27" t="s">
        <v>5</v>
      </c>
    </row>
    <row r="16" spans="1:7" x14ac:dyDescent="0.3">
      <c r="B16" t="s">
        <v>34</v>
      </c>
      <c r="C16" s="28">
        <v>4</v>
      </c>
      <c r="D16" s="29">
        <v>50</v>
      </c>
      <c r="E16" s="29">
        <f t="shared" ref="E16:E22" si="1">C16*D16</f>
        <v>200</v>
      </c>
    </row>
    <row r="17" spans="2:5" x14ac:dyDescent="0.3">
      <c r="B17" t="s">
        <v>35</v>
      </c>
      <c r="C17" s="28">
        <v>0</v>
      </c>
      <c r="D17" s="29">
        <v>250</v>
      </c>
      <c r="E17" s="29">
        <f t="shared" si="1"/>
        <v>0</v>
      </c>
    </row>
    <row r="18" spans="2:5" x14ac:dyDescent="0.3">
      <c r="B18" t="s">
        <v>36</v>
      </c>
      <c r="C18" s="28">
        <v>1</v>
      </c>
      <c r="D18" s="26">
        <v>170</v>
      </c>
      <c r="E18" s="29">
        <f t="shared" si="1"/>
        <v>170</v>
      </c>
    </row>
    <row r="19" spans="2:5" x14ac:dyDescent="0.3">
      <c r="B19" t="s">
        <v>37</v>
      </c>
      <c r="C19" s="28">
        <v>1</v>
      </c>
      <c r="D19" s="26">
        <v>250</v>
      </c>
      <c r="E19" s="29">
        <f t="shared" si="1"/>
        <v>250</v>
      </c>
    </row>
    <row r="20" spans="2:5" x14ac:dyDescent="0.3">
      <c r="B20" t="s">
        <v>38</v>
      </c>
      <c r="C20" s="28">
        <v>15</v>
      </c>
      <c r="D20" s="26">
        <v>30</v>
      </c>
      <c r="E20" s="29">
        <f t="shared" si="1"/>
        <v>450</v>
      </c>
    </row>
    <row r="21" spans="2:5" x14ac:dyDescent="0.3">
      <c r="B21" t="s">
        <v>39</v>
      </c>
      <c r="C21" s="28">
        <v>1</v>
      </c>
      <c r="D21" s="26">
        <v>750</v>
      </c>
      <c r="E21" s="29">
        <f t="shared" si="1"/>
        <v>750</v>
      </c>
    </row>
    <row r="22" spans="2:5" x14ac:dyDescent="0.3">
      <c r="B22" t="s">
        <v>40</v>
      </c>
      <c r="C22" s="28">
        <v>0</v>
      </c>
      <c r="D22" s="26">
        <v>500</v>
      </c>
      <c r="E22" s="29">
        <f t="shared" si="1"/>
        <v>0</v>
      </c>
    </row>
    <row r="23" spans="2:5" x14ac:dyDescent="0.3">
      <c r="E23" s="22">
        <f>SUM(E16:E22)</f>
        <v>1820</v>
      </c>
    </row>
  </sheetData>
  <mergeCells count="5">
    <mergeCell ref="A1:A2"/>
    <mergeCell ref="B1:B2"/>
    <mergeCell ref="C1:C2"/>
    <mergeCell ref="D1:D2"/>
    <mergeCell ref="F1:F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Erison Barros</cp:lastModifiedBy>
  <cp:revision/>
  <dcterms:created xsi:type="dcterms:W3CDTF">2024-08-28T09:30:11Z</dcterms:created>
  <dcterms:modified xsi:type="dcterms:W3CDTF">2024-09-09T15:26:57Z</dcterms:modified>
  <cp:category/>
  <cp:contentStatus/>
</cp:coreProperties>
</file>