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"/>
    </mc:Choice>
  </mc:AlternateContent>
  <xr:revisionPtr revIDLastSave="41" documentId="11_DF1239D053C770133DBCA8551CAB954773201014" xr6:coauthVersionLast="47" xr6:coauthVersionMax="47" xr10:uidLastSave="{03CDAFDA-9AC6-4CCB-A017-BFF2065E93DF}"/>
  <bookViews>
    <workbookView xWindow="-108" yWindow="-108" windowWidth="23256" windowHeight="12456" tabRatio="500" xr2:uid="{00000000-000D-0000-FFFF-FFFF00000000}"/>
  </bookViews>
  <sheets>
    <sheet name="Orçamento Certificação" sheetId="1" r:id="rId1"/>
  </sheets>
  <calcPr calcId="191028" iterate="1" iterateCount="1000" iterateDelta="0.0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1" l="1"/>
  <c r="F25" i="1"/>
  <c r="F24" i="1"/>
  <c r="F22" i="1"/>
  <c r="F21" i="1"/>
  <c r="F20" i="1"/>
  <c r="F18" i="1"/>
  <c r="F17" i="1"/>
  <c r="F16" i="1"/>
  <c r="F14" i="1"/>
  <c r="F13" i="1"/>
  <c r="F12" i="1"/>
  <c r="F11" i="1"/>
  <c r="F28" i="1" l="1"/>
  <c r="F30" i="1"/>
  <c r="F27" i="1"/>
  <c r="F29" i="1"/>
  <c r="H21" i="1"/>
  <c r="F32" i="1" l="1"/>
</calcChain>
</file>

<file path=xl/sharedStrings.xml><?xml version="1.0" encoding="utf-8"?>
<sst xmlns="http://schemas.openxmlformats.org/spreadsheetml/2006/main" count="75" uniqueCount="68">
  <si>
    <t>ORÇAMENTO DE SERVIÇOS DE GEORREFERENCIAMENTO</t>
  </si>
  <si>
    <t>Certificação de Imóvel Rural - INCRA/SIGEF</t>
  </si>
  <si>
    <t>DADOS DO IMÓVEL</t>
  </si>
  <si>
    <t>Área Total:</t>
  </si>
  <si>
    <t>7,0000 hectares</t>
  </si>
  <si>
    <t>Situação:</t>
  </si>
  <si>
    <t>Área encravada em polígono já certificado</t>
  </si>
  <si>
    <t>Normativa:</t>
  </si>
  <si>
    <t>3ª Edição da NTGIR - Norma Técnica para Georreferenciamento de Imóveis Rurais</t>
  </si>
  <si>
    <t>ITEM</t>
  </si>
  <si>
    <t>DESCRIÇÃO DOS SERVIÇOS</t>
  </si>
  <si>
    <t>UNIDADE</t>
  </si>
  <si>
    <t>QUANTIDADE</t>
  </si>
  <si>
    <t>VALOR UNIT. (R$)</t>
  </si>
  <si>
    <t>VALOR TOTAL (R$)</t>
  </si>
  <si>
    <t>OBSERVAÇÕES</t>
  </si>
  <si>
    <t>1. SERVIÇOS TÉCNICOS</t>
  </si>
  <si>
    <t>Elaboração de projeto técnico, análise de documentação, consulta de matrículas confrontantes e planejamento do levantamento</t>
  </si>
  <si>
    <t>Serviço</t>
  </si>
  <si>
    <t>Análise prévia e planejamento</t>
  </si>
  <si>
    <t>Levantamento topográfico/geodésico em campo - Rastreio GNSS dos vértices do perímetro com receptor geodésico L1/L2</t>
  </si>
  <si>
    <t>Diária</t>
  </si>
  <si>
    <t>Estimativa 4-6 vértices</t>
  </si>
  <si>
    <t>Processamento de dados GNSS, ajustamento de coordenadas e elaboração de peças técnicas (planta, memorial descritivo)</t>
  </si>
  <si>
    <t>Pós-processamento e CAD</t>
  </si>
  <si>
    <t>Submissão ao SIGEF, acompanhamento do processo e obtenção da certificação junto ao INCRA</t>
  </si>
  <si>
    <t>Inclui correções se necessário</t>
  </si>
  <si>
    <t>CUSTO DE LEVANTAMENTO</t>
  </si>
  <si>
    <t>2. ALUGUEL DE EQUIPAMENTOS GEODÉSICOS</t>
  </si>
  <si>
    <t>Receptor GNSS Geodésico L1/L2 (base) com tripé e bastão - precisão milimétrica</t>
  </si>
  <si>
    <t>RTK ou pós-processado</t>
  </si>
  <si>
    <t>EDURDO BARROSO</t>
  </si>
  <si>
    <t>Receptor GNSS Geodésico L1/L2 (rover) com controladora e acessórios</t>
  </si>
  <si>
    <t>Para método relativo</t>
  </si>
  <si>
    <t>AJUDANTE</t>
  </si>
  <si>
    <t>Kit de materialização de vértices (marcos de concreto ou chapas metálicas)</t>
  </si>
  <si>
    <t>Unidade</t>
  </si>
  <si>
    <t>Estimativa de 6 vértices</t>
  </si>
  <si>
    <t>COMBUSTIVEL</t>
  </si>
  <si>
    <t>3. DESLOCAMENTO E LOGÍSTICA</t>
  </si>
  <si>
    <t>ALIMENTAÇÃO</t>
  </si>
  <si>
    <t>Deslocamento veículo até o imóvel (ida e volta) - combustível e desgaste</t>
  </si>
  <si>
    <t>km</t>
  </si>
  <si>
    <t>Ajustar conforme distância real</t>
  </si>
  <si>
    <t>DIÁRIAS</t>
  </si>
  <si>
    <t>Diária de campo (alimentação e despesas do profissional)</t>
  </si>
  <si>
    <t>Inclui refeições</t>
  </si>
  <si>
    <t>Hospedagem (se necessário pernoite)</t>
  </si>
  <si>
    <t>Sob demanda</t>
  </si>
  <si>
    <t>4. TAXAS E EMOLUMENTOS</t>
  </si>
  <si>
    <t>ART - Anotação de Responsabilidade Técnica (CREA)</t>
  </si>
  <si>
    <t>Taxa obrigatória</t>
  </si>
  <si>
    <t>Certidões e documentos complementares (se necessário)</t>
  </si>
  <si>
    <t>Verba</t>
  </si>
  <si>
    <t>Estimativa</t>
  </si>
  <si>
    <t>SUBTOTAL SERVIÇOS TÉCNICOS (Itens 1.1 a 1.4):</t>
  </si>
  <si>
    <t>SUBTOTAL EQUIPAMENTOS (Itens 2.1 a 2.3):</t>
  </si>
  <si>
    <t>SUBTOTAL DESLOCAMENTO (Itens 3.1 a 3.3):</t>
  </si>
  <si>
    <t>SUBTOTAL TAXAS (Itens 4.1 a 4.2):</t>
  </si>
  <si>
    <t>VALOR TOTAL DO ORÇAMENTO:</t>
  </si>
  <si>
    <t>OBSERVAÇÕES E CONDIÇÕES:</t>
  </si>
  <si>
    <t>• Valores estimados para área de 7 ha encravada. Por estar dentro de polígono já certificado, não há necessidade de certificar confrontantes.</t>
  </si>
  <si>
    <t>• Prazo estimado de execução: 15 a 30 dias úteis após aprovação do orçamento.</t>
  </si>
  <si>
    <t>• O número de vértices pode variar conforme a geometria real do imóvel (estimativa de 4 a 8 vértices).</t>
  </si>
  <si>
    <t>• Custos de deslocamento devem ser ajustados conforme a distância real até o imóvel.</t>
  </si>
  <si>
    <t>• Equipamentos: Receptores GNSS geodésicos com precisão compatível às exigências do INCRA (≤ 0,50m).</t>
  </si>
  <si>
    <t>• Pagamento: 50% na aprovação e 50% na entrega da certificação.</t>
  </si>
  <si>
    <t>• Validade do orçamento: 30 dias.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</si>
</sst>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[$$-416]#,##0.00"/>
  </numFmts>
  <fonts count="10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6"/>
      <color rgb="FFFFFFFF"/>
      <name val="Aptos Narrow"/>
    </font>
    <font>
      <b/>
      <sz val="12"/>
      <color rgb="FFFFFFFF"/>
      <name val="Aptos Narrow"/>
    </font>
    <font>
      <b/>
      <sz val="11"/>
      <name val="Aptos Narrow"/>
    </font>
    <font>
      <b/>
      <sz val="11"/>
      <color rgb="FFFFFFFF"/>
      <name val="Aptos Narrow"/>
    </font>
    <font>
      <sz val="11"/>
      <name val="Calibri"/>
      <scheme val="minor"/>
    </font>
    <font>
      <b/>
      <sz val="14"/>
      <color rgb="FFFFFFFF"/>
      <name val="Aptos Narrow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4472C4"/>
      </patternFill>
    </fill>
    <fill>
      <patternFill patternType="solid">
        <fgColor rgb="FFD9D9D9"/>
      </patternFill>
    </fill>
    <fill>
      <patternFill patternType="solid">
        <fgColor rgb="FFE7E6E6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>
      <alignment vertical="top"/>
    </xf>
    <xf numFmtId="44" fontId="8" fillId="0" borderId="0" applyFont="0" applyFill="0" applyBorder="0" applyAlignment="0" applyProtection="0"/>
  </cellStyleXfs>
  <cellXfs count="22">
    <xf numFmtId="0" fontId="0" fillId="0" borderId="1" xfId="0">
      <alignment vertical="top"/>
    </xf>
    <xf numFmtId="0" fontId="5" fillId="3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0" fillId="0" borderId="1" xfId="0">
      <alignment vertical="top"/>
    </xf>
    <xf numFmtId="44" fontId="6" fillId="0" borderId="2" xfId="1" applyFont="1" applyBorder="1" applyAlignment="1">
      <alignment horizontal="center" vertical="center"/>
    </xf>
    <xf numFmtId="44" fontId="0" fillId="0" borderId="1" xfId="0" applyNumberFormat="1">
      <alignment vertical="top"/>
    </xf>
    <xf numFmtId="44" fontId="0" fillId="0" borderId="1" xfId="1" applyFont="1" applyBorder="1" applyAlignment="1">
      <alignment vertical="top"/>
    </xf>
    <xf numFmtId="0" fontId="9" fillId="0" borderId="1" xfId="0" applyFont="1" applyAlignment="1">
      <alignment horizontal="center" vertical="top"/>
    </xf>
    <xf numFmtId="0" fontId="1" fillId="0" borderId="1" xfId="0" applyFont="1">
      <alignment vertical="top"/>
    </xf>
    <xf numFmtId="44" fontId="0" fillId="0" borderId="1" xfId="1" applyFont="1" applyFill="1" applyBorder="1" applyAlignment="1">
      <alignment vertical="top"/>
    </xf>
    <xf numFmtId="0" fontId="4" fillId="5" borderId="2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Alignment="1">
      <alignment vertical="top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vertical="top"/>
    </xf>
    <xf numFmtId="0" fontId="4" fillId="0" borderId="1" xfId="0" applyFont="1" applyBorder="1" applyAlignment="1">
      <alignment horizontal="right" vertical="center"/>
    </xf>
    <xf numFmtId="44" fontId="6" fillId="0" borderId="1" xfId="1" applyFont="1" applyBorder="1" applyAlignment="1">
      <alignment vertical="top"/>
    </xf>
    <xf numFmtId="164" fontId="6" fillId="0" borderId="1" xfId="0" applyNumberFormat="1" applyFont="1" applyBorder="1">
      <alignment vertical="top"/>
    </xf>
    <xf numFmtId="0" fontId="7" fillId="2" borderId="1" xfId="0" applyFont="1" applyFill="1" applyBorder="1" applyAlignment="1">
      <alignment horizontal="right" vertical="center"/>
    </xf>
    <xf numFmtId="44" fontId="7" fillId="2" borderId="1" xfId="1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D5968-A1E8-00B8-A5AA-DB6B64515BF8}">
  <dimension ref="A1:J41"/>
  <sheetViews>
    <sheetView tabSelected="1" topLeftCell="B3" workbookViewId="0">
      <selection activeCell="H28" sqref="H28"/>
    </sheetView>
  </sheetViews>
  <sheetFormatPr defaultColWidth="8.85546875" defaultRowHeight="15" customHeight="1"/>
  <cols>
    <col min="1" max="1" width="8.5703125" customWidth="1"/>
    <col min="2" max="2" width="108.42578125" bestFit="1" customWidth="1"/>
    <col min="3" max="3" width="12.85546875" customWidth="1"/>
    <col min="4" max="4" width="14.28515625" customWidth="1"/>
    <col min="5" max="6" width="18.5703125" customWidth="1"/>
    <col min="7" max="7" width="26.140625" customWidth="1"/>
    <col min="8" max="8" width="12.85546875" customWidth="1"/>
  </cols>
  <sheetData>
    <row r="1" spans="1:10" ht="21" customHeight="1">
      <c r="A1" s="12" t="s">
        <v>0</v>
      </c>
      <c r="B1" s="13"/>
      <c r="C1" s="13"/>
      <c r="D1" s="13"/>
      <c r="E1" s="13"/>
      <c r="F1" s="13"/>
      <c r="G1" s="13"/>
      <c r="H1" s="4"/>
      <c r="I1" s="4"/>
      <c r="J1" s="4"/>
    </row>
    <row r="2" spans="1:10" ht="15.75" customHeight="1">
      <c r="A2" s="14" t="s">
        <v>1</v>
      </c>
      <c r="B2" s="13"/>
      <c r="C2" s="13"/>
      <c r="D2" s="13"/>
      <c r="E2" s="13"/>
      <c r="F2" s="13"/>
      <c r="G2" s="13"/>
      <c r="H2" s="4"/>
      <c r="I2" s="4"/>
      <c r="J2" s="4"/>
    </row>
    <row r="4" spans="1:10" ht="15" customHeight="1">
      <c r="A4" s="15" t="s">
        <v>2</v>
      </c>
      <c r="B4" s="13"/>
      <c r="C4" s="13"/>
      <c r="D4" s="13"/>
      <c r="E4" s="13"/>
      <c r="F4" s="13"/>
      <c r="G4" s="13"/>
      <c r="H4" s="4"/>
      <c r="I4" s="4"/>
      <c r="J4" s="4"/>
    </row>
    <row r="5" spans="1:10" ht="15" customHeight="1">
      <c r="A5" s="4" t="s">
        <v>3</v>
      </c>
      <c r="B5" s="4" t="s">
        <v>4</v>
      </c>
      <c r="C5" s="4"/>
      <c r="D5" s="4"/>
      <c r="E5" s="4"/>
      <c r="F5" s="4"/>
      <c r="G5" s="4"/>
      <c r="H5" s="4"/>
      <c r="I5" s="4"/>
      <c r="J5" s="4"/>
    </row>
    <row r="6" spans="1:10" ht="15" customHeight="1">
      <c r="A6" s="4" t="s">
        <v>5</v>
      </c>
      <c r="B6" s="4" t="s">
        <v>6</v>
      </c>
      <c r="C6" s="4"/>
      <c r="D6" s="4"/>
      <c r="E6" s="4"/>
      <c r="F6" s="4"/>
      <c r="G6" s="4"/>
      <c r="H6" s="4"/>
      <c r="I6" s="4"/>
      <c r="J6" s="4"/>
    </row>
    <row r="7" spans="1:10" ht="15" customHeight="1">
      <c r="A7" s="4" t="s">
        <v>7</v>
      </c>
      <c r="B7" s="4" t="s">
        <v>8</v>
      </c>
      <c r="C7" s="4"/>
      <c r="D7" s="4"/>
      <c r="E7" s="4"/>
      <c r="F7" s="4"/>
      <c r="G7" s="4"/>
      <c r="H7" s="4"/>
      <c r="I7" s="4"/>
      <c r="J7" s="4"/>
    </row>
    <row r="9" spans="1:10" ht="15" customHeight="1">
      <c r="A9" s="1" t="s">
        <v>9</v>
      </c>
      <c r="B9" s="1" t="s">
        <v>10</v>
      </c>
      <c r="C9" s="1" t="s">
        <v>11</v>
      </c>
      <c r="D9" s="1" t="s">
        <v>12</v>
      </c>
      <c r="E9" s="1" t="s">
        <v>13</v>
      </c>
      <c r="F9" s="1" t="s">
        <v>14</v>
      </c>
      <c r="G9" s="1" t="s">
        <v>15</v>
      </c>
      <c r="H9" s="4"/>
      <c r="I9" s="4"/>
      <c r="J9" s="4"/>
    </row>
    <row r="10" spans="1:10" ht="15" customHeight="1">
      <c r="A10" s="11" t="s">
        <v>16</v>
      </c>
      <c r="B10" s="16"/>
      <c r="C10" s="16"/>
      <c r="D10" s="16"/>
      <c r="E10" s="16"/>
      <c r="F10" s="16"/>
      <c r="G10" s="16"/>
      <c r="H10" s="4"/>
      <c r="I10" s="4"/>
      <c r="J10" s="4"/>
    </row>
    <row r="11" spans="1:10" ht="15" customHeight="1">
      <c r="A11" s="2">
        <v>1.1000000000000001</v>
      </c>
      <c r="B11" s="3" t="s">
        <v>17</v>
      </c>
      <c r="C11" s="2" t="s">
        <v>18</v>
      </c>
      <c r="D11" s="2">
        <v>1</v>
      </c>
      <c r="E11" s="5">
        <v>800</v>
      </c>
      <c r="F11" s="5">
        <f t="shared" ref="F11:F25" si="0">D11*E11</f>
        <v>800</v>
      </c>
      <c r="G11" s="3" t="s">
        <v>19</v>
      </c>
      <c r="H11" s="4"/>
      <c r="I11" s="4"/>
      <c r="J11" s="4"/>
    </row>
    <row r="12" spans="1:10" ht="15" customHeight="1">
      <c r="A12" s="2">
        <v>1.2</v>
      </c>
      <c r="B12" s="3" t="s">
        <v>20</v>
      </c>
      <c r="C12" s="2" t="s">
        <v>21</v>
      </c>
      <c r="D12" s="2">
        <v>1</v>
      </c>
      <c r="E12" s="5">
        <v>1200</v>
      </c>
      <c r="F12" s="5">
        <f t="shared" si="0"/>
        <v>1200</v>
      </c>
      <c r="G12" s="3" t="s">
        <v>22</v>
      </c>
      <c r="H12" s="4"/>
      <c r="I12" s="4"/>
      <c r="J12" s="4"/>
    </row>
    <row r="13" spans="1:10" ht="15" customHeight="1">
      <c r="A13" s="2">
        <v>1.3</v>
      </c>
      <c r="B13" s="3" t="s">
        <v>23</v>
      </c>
      <c r="C13" s="2" t="s">
        <v>18</v>
      </c>
      <c r="D13" s="2">
        <v>1</v>
      </c>
      <c r="E13" s="5">
        <v>900</v>
      </c>
      <c r="F13" s="5">
        <f t="shared" si="0"/>
        <v>900</v>
      </c>
      <c r="G13" s="3" t="s">
        <v>24</v>
      </c>
      <c r="H13" s="4"/>
      <c r="I13" s="4"/>
      <c r="J13" s="4"/>
    </row>
    <row r="14" spans="1:10" ht="15" customHeight="1">
      <c r="A14" s="2">
        <v>1.4</v>
      </c>
      <c r="B14" s="3" t="s">
        <v>25</v>
      </c>
      <c r="C14" s="2" t="s">
        <v>18</v>
      </c>
      <c r="D14" s="2">
        <v>1</v>
      </c>
      <c r="E14" s="5">
        <v>600</v>
      </c>
      <c r="F14" s="5">
        <f t="shared" si="0"/>
        <v>600</v>
      </c>
      <c r="G14" s="3" t="s">
        <v>26</v>
      </c>
      <c r="H14" s="8" t="s">
        <v>27</v>
      </c>
      <c r="I14" s="8"/>
      <c r="J14" s="8"/>
    </row>
    <row r="15" spans="1:10" ht="15" customHeight="1">
      <c r="A15" s="11" t="s">
        <v>28</v>
      </c>
      <c r="B15" s="16"/>
      <c r="C15" s="16"/>
      <c r="D15" s="16"/>
      <c r="E15" s="16"/>
      <c r="F15" s="16"/>
      <c r="G15" s="16"/>
      <c r="H15" s="4"/>
      <c r="I15" s="4"/>
      <c r="J15" s="4"/>
    </row>
    <row r="16" spans="1:10" ht="15" customHeight="1">
      <c r="A16" s="2">
        <v>2.1</v>
      </c>
      <c r="B16" s="3" t="s">
        <v>29</v>
      </c>
      <c r="C16" s="2" t="s">
        <v>21</v>
      </c>
      <c r="D16" s="2">
        <v>1</v>
      </c>
      <c r="E16" s="5">
        <v>450</v>
      </c>
      <c r="F16" s="5">
        <f>D16*E16</f>
        <v>450</v>
      </c>
      <c r="G16" s="3" t="s">
        <v>30</v>
      </c>
      <c r="H16" s="6">
        <f>E16/2</f>
        <v>225</v>
      </c>
      <c r="I16" s="4" t="s">
        <v>31</v>
      </c>
      <c r="J16" s="4"/>
    </row>
    <row r="17" spans="1:9" ht="15" customHeight="1">
      <c r="A17" s="2">
        <v>2.2000000000000002</v>
      </c>
      <c r="B17" s="3" t="s">
        <v>32</v>
      </c>
      <c r="C17" s="2" t="s">
        <v>21</v>
      </c>
      <c r="D17" s="2">
        <v>1</v>
      </c>
      <c r="E17" s="5">
        <v>400</v>
      </c>
      <c r="F17" s="5">
        <f>D17*E17</f>
        <v>400</v>
      </c>
      <c r="G17" s="3" t="s">
        <v>33</v>
      </c>
      <c r="H17" s="7">
        <v>180</v>
      </c>
      <c r="I17" s="4" t="s">
        <v>34</v>
      </c>
    </row>
    <row r="18" spans="1:9" ht="15" customHeight="1">
      <c r="A18" s="2">
        <v>2.2999999999999998</v>
      </c>
      <c r="B18" s="3" t="s">
        <v>35</v>
      </c>
      <c r="C18" s="2" t="s">
        <v>36</v>
      </c>
      <c r="D18" s="2">
        <v>6</v>
      </c>
      <c r="E18" s="5">
        <v>45</v>
      </c>
      <c r="F18" s="5">
        <f>D18*E18</f>
        <v>270</v>
      </c>
      <c r="G18" s="3" t="s">
        <v>37</v>
      </c>
      <c r="H18" s="7">
        <v>100</v>
      </c>
      <c r="I18" s="4" t="s">
        <v>38</v>
      </c>
    </row>
    <row r="19" spans="1:9" ht="15" customHeight="1">
      <c r="A19" s="11" t="s">
        <v>39</v>
      </c>
      <c r="B19" s="16"/>
      <c r="C19" s="16"/>
      <c r="D19" s="16"/>
      <c r="E19" s="16"/>
      <c r="F19" s="16"/>
      <c r="G19" s="16"/>
      <c r="H19" s="7">
        <v>80</v>
      </c>
      <c r="I19" s="4" t="s">
        <v>40</v>
      </c>
    </row>
    <row r="20" spans="1:9" ht="15" customHeight="1">
      <c r="A20" s="2">
        <v>3.1</v>
      </c>
      <c r="B20" s="3" t="s">
        <v>41</v>
      </c>
      <c r="C20" s="2" t="s">
        <v>42</v>
      </c>
      <c r="D20" s="2">
        <v>150</v>
      </c>
      <c r="E20" s="5">
        <v>1.5</v>
      </c>
      <c r="F20" s="5">
        <f t="shared" si="0"/>
        <v>225</v>
      </c>
      <c r="G20" s="3" t="s">
        <v>43</v>
      </c>
      <c r="H20" s="10">
        <v>500</v>
      </c>
      <c r="I20" s="9" t="s">
        <v>44</v>
      </c>
    </row>
    <row r="21" spans="1:9" ht="15" customHeight="1">
      <c r="A21" s="2">
        <v>3.2</v>
      </c>
      <c r="B21" s="3" t="s">
        <v>45</v>
      </c>
      <c r="C21" s="2" t="s">
        <v>21</v>
      </c>
      <c r="D21" s="2">
        <v>1</v>
      </c>
      <c r="E21" s="5">
        <v>180</v>
      </c>
      <c r="F21" s="5">
        <f t="shared" si="0"/>
        <v>180</v>
      </c>
      <c r="G21" s="3" t="s">
        <v>46</v>
      </c>
      <c r="H21" s="6">
        <f>SUM(H16:H20)</f>
        <v>1085</v>
      </c>
      <c r="I21" s="4"/>
    </row>
    <row r="22" spans="1:9" ht="15" customHeight="1">
      <c r="A22" s="2">
        <v>3.3</v>
      </c>
      <c r="B22" s="3" t="s">
        <v>47</v>
      </c>
      <c r="C22" s="2" t="s">
        <v>21</v>
      </c>
      <c r="D22" s="2"/>
      <c r="E22" s="5">
        <v>200</v>
      </c>
      <c r="F22" s="5">
        <f t="shared" si="0"/>
        <v>0</v>
      </c>
      <c r="G22" s="3" t="s">
        <v>48</v>
      </c>
      <c r="H22" s="4"/>
      <c r="I22" s="4"/>
    </row>
    <row r="23" spans="1:9" ht="15" customHeight="1">
      <c r="A23" s="11" t="s">
        <v>49</v>
      </c>
      <c r="B23" s="16"/>
      <c r="C23" s="16"/>
      <c r="D23" s="16"/>
      <c r="E23" s="16"/>
      <c r="F23" s="16"/>
      <c r="G23" s="16"/>
      <c r="H23" s="4"/>
      <c r="I23" s="4"/>
    </row>
    <row r="24" spans="1:9" ht="15" customHeight="1">
      <c r="A24" s="2">
        <v>4.0999999999999996</v>
      </c>
      <c r="B24" s="3" t="s">
        <v>50</v>
      </c>
      <c r="C24" s="2" t="s">
        <v>36</v>
      </c>
      <c r="D24" s="2">
        <v>1</v>
      </c>
      <c r="E24" s="5">
        <v>120</v>
      </c>
      <c r="F24" s="5">
        <f t="shared" si="0"/>
        <v>120</v>
      </c>
      <c r="G24" s="3" t="s">
        <v>51</v>
      </c>
      <c r="H24" s="4"/>
      <c r="I24" s="4"/>
    </row>
    <row r="25" spans="1:9" ht="15" customHeight="1">
      <c r="A25" s="2">
        <v>4.2</v>
      </c>
      <c r="B25" s="3" t="s">
        <v>52</v>
      </c>
      <c r="C25" s="2" t="s">
        <v>53</v>
      </c>
      <c r="D25" s="2">
        <v>1</v>
      </c>
      <c r="E25" s="5">
        <v>150</v>
      </c>
      <c r="F25" s="5">
        <f t="shared" si="0"/>
        <v>150</v>
      </c>
      <c r="G25" s="3" t="s">
        <v>54</v>
      </c>
      <c r="H25" s="4"/>
      <c r="I25" s="4"/>
    </row>
    <row r="27" spans="1:9" ht="15" customHeight="1">
      <c r="A27" s="17" t="s">
        <v>55</v>
      </c>
      <c r="B27" s="13"/>
      <c r="C27" s="13"/>
      <c r="D27" s="13"/>
      <c r="E27" s="13"/>
      <c r="F27" s="18">
        <f>SUM(F11:F14)</f>
        <v>3500</v>
      </c>
      <c r="G27" s="4"/>
      <c r="H27" s="4"/>
      <c r="I27" s="4"/>
    </row>
    <row r="28" spans="1:9" ht="15" customHeight="1">
      <c r="A28" s="17" t="s">
        <v>56</v>
      </c>
      <c r="B28" s="13"/>
      <c r="C28" s="13"/>
      <c r="D28" s="13"/>
      <c r="E28" s="13"/>
      <c r="F28" s="18">
        <f>SUM(F16:F18)</f>
        <v>1120</v>
      </c>
      <c r="G28" s="4"/>
      <c r="H28" s="4"/>
      <c r="I28" s="4"/>
    </row>
    <row r="29" spans="1:9" ht="15" customHeight="1">
      <c r="A29" s="17" t="s">
        <v>57</v>
      </c>
      <c r="B29" s="13"/>
      <c r="C29" s="13"/>
      <c r="D29" s="13"/>
      <c r="E29" s="13"/>
      <c r="F29" s="18">
        <f>SUM(F20:F22)</f>
        <v>405</v>
      </c>
      <c r="G29" s="4"/>
      <c r="H29" s="4"/>
      <c r="I29" s="4"/>
    </row>
    <row r="30" spans="1:9" ht="15" customHeight="1">
      <c r="A30" s="17" t="s">
        <v>58</v>
      </c>
      <c r="B30" s="13"/>
      <c r="C30" s="13"/>
      <c r="D30" s="13"/>
      <c r="E30" s="13"/>
      <c r="F30" s="18">
        <f>SUM(F24:F25)</f>
        <v>270</v>
      </c>
      <c r="G30" s="4"/>
      <c r="H30" s="4"/>
      <c r="I30" s="4"/>
    </row>
    <row r="31" spans="1:9" ht="15" customHeight="1">
      <c r="A31" s="4"/>
      <c r="B31" s="4"/>
      <c r="C31" s="4"/>
      <c r="D31" s="4"/>
      <c r="E31" s="4"/>
      <c r="F31" s="19"/>
      <c r="G31" s="4"/>
      <c r="H31" s="4"/>
      <c r="I31" s="4"/>
    </row>
    <row r="32" spans="1:9" ht="18.75" customHeight="1">
      <c r="A32" s="20" t="s">
        <v>59</v>
      </c>
      <c r="B32" s="13"/>
      <c r="C32" s="13"/>
      <c r="D32" s="13"/>
      <c r="E32" s="13"/>
      <c r="F32" s="21">
        <f>F27+F28+F29+F30</f>
        <v>5295</v>
      </c>
      <c r="G32" s="4"/>
      <c r="H32" s="4"/>
      <c r="I32" s="4"/>
    </row>
    <row r="34" spans="1:7" ht="15" customHeight="1">
      <c r="A34" s="15" t="s">
        <v>60</v>
      </c>
      <c r="B34" s="13"/>
      <c r="C34" s="13"/>
      <c r="D34" s="13"/>
      <c r="E34" s="13"/>
      <c r="F34" s="13"/>
      <c r="G34" s="13"/>
    </row>
    <row r="35" spans="1:7" ht="15" customHeight="1">
      <c r="A35" s="13" t="s">
        <v>61</v>
      </c>
      <c r="B35" s="13"/>
      <c r="C35" s="13"/>
      <c r="D35" s="13"/>
      <c r="E35" s="13"/>
      <c r="F35" s="13"/>
      <c r="G35" s="13"/>
    </row>
    <row r="36" spans="1:7" ht="15" customHeight="1">
      <c r="A36" s="13" t="s">
        <v>62</v>
      </c>
      <c r="B36" s="13"/>
      <c r="C36" s="13"/>
      <c r="D36" s="13"/>
      <c r="E36" s="13"/>
      <c r="F36" s="13"/>
      <c r="G36" s="13"/>
    </row>
    <row r="37" spans="1:7" ht="15" customHeight="1">
      <c r="A37" s="13" t="s">
        <v>63</v>
      </c>
      <c r="B37" s="13"/>
      <c r="C37" s="13"/>
      <c r="D37" s="13"/>
      <c r="E37" s="13"/>
      <c r="F37" s="13"/>
      <c r="G37" s="13"/>
    </row>
    <row r="38" spans="1:7" ht="15" customHeight="1">
      <c r="A38" s="13" t="s">
        <v>64</v>
      </c>
      <c r="B38" s="13"/>
      <c r="C38" s="13"/>
      <c r="D38" s="13"/>
      <c r="E38" s="13"/>
      <c r="F38" s="13"/>
      <c r="G38" s="13"/>
    </row>
    <row r="39" spans="1:7" ht="15" customHeight="1">
      <c r="A39" s="13" t="s">
        <v>65</v>
      </c>
      <c r="B39" s="13"/>
      <c r="C39" s="13"/>
      <c r="D39" s="13"/>
      <c r="E39" s="13"/>
      <c r="F39" s="13"/>
      <c r="G39" s="13"/>
    </row>
    <row r="40" spans="1:7" ht="15" customHeight="1">
      <c r="A40" s="13" t="s">
        <v>66</v>
      </c>
      <c r="B40" s="13"/>
      <c r="C40" s="13"/>
      <c r="D40" s="13"/>
      <c r="E40" s="13"/>
      <c r="F40" s="13"/>
      <c r="G40" s="13"/>
    </row>
    <row r="41" spans="1:7" ht="15" customHeight="1">
      <c r="A41" s="13" t="s">
        <v>67</v>
      </c>
      <c r="B41" s="13"/>
      <c r="C41" s="13"/>
      <c r="D41" s="13"/>
      <c r="E41" s="13"/>
      <c r="F41" s="13"/>
      <c r="G41" s="13"/>
    </row>
  </sheetData>
  <mergeCells count="20">
    <mergeCell ref="A1:G1"/>
    <mergeCell ref="A2:G2"/>
    <mergeCell ref="A4:G4"/>
    <mergeCell ref="A10:G10"/>
    <mergeCell ref="A15:G15"/>
    <mergeCell ref="A19:G19"/>
    <mergeCell ref="A23:G23"/>
    <mergeCell ref="A27:E27"/>
    <mergeCell ref="A28:E28"/>
    <mergeCell ref="A29:E29"/>
    <mergeCell ref="A30:E30"/>
    <mergeCell ref="A32:E32"/>
    <mergeCell ref="A34:G34"/>
    <mergeCell ref="A35:G35"/>
    <mergeCell ref="A36:G36"/>
    <mergeCell ref="A37:G37"/>
    <mergeCell ref="A38:G38"/>
    <mergeCell ref="A39:G39"/>
    <mergeCell ref="A40:G40"/>
    <mergeCell ref="A41:G41"/>
  </mergeCells>
  <pageMargins left="0.7" right="0.7" top="0.75" bottom="0.75" header="0.3" footer="0.3"/>
  <pageSetup orientation="portrait" r:id="rId1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Usuário Convidado</cp:lastModifiedBy>
  <cp:revision/>
  <dcterms:created xsi:type="dcterms:W3CDTF">2026-02-11T11:19:40Z</dcterms:created>
  <dcterms:modified xsi:type="dcterms:W3CDTF">2026-02-18T22:26:20Z</dcterms:modified>
  <cp:category/>
  <cp:contentStatus/>
</cp:coreProperties>
</file>