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D1B60415-6ABC-4748-8749-9BCCB3325902}" xr6:coauthVersionLast="47" xr6:coauthVersionMax="47" xr10:uidLastSave="{00000000-0000-0000-0000-000000000000}"/>
  <bookViews>
    <workbookView minimized="1" xWindow="2664" yWindow="1872" windowWidth="17280" windowHeight="8880" xr2:uid="{F88F7009-83D0-496A-8373-3B15FC1ECB4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F8" i="1"/>
  <c r="F9" i="1"/>
  <c r="F7" i="1"/>
  <c r="F6" i="1"/>
  <c r="F4" i="1"/>
  <c r="E21" i="1" l="1"/>
  <c r="F10" i="1"/>
  <c r="G10" i="1" l="1"/>
</calcChain>
</file>

<file path=xl/sharedStrings.xml><?xml version="1.0" encoding="utf-8"?>
<sst xmlns="http://schemas.openxmlformats.org/spreadsheetml/2006/main" count="50" uniqueCount="38">
  <si>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</si>
  <si>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</si>
  <si>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</si>
  <si>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</si>
  <si>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</si>
  <si>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</si>
  <si>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</si>
  <si>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</si>
  <si>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</si>
  <si>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</si>
  <si>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</si>
  <si>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</si>
  <si>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VERBA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</si>
  <si>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</si>
  <si>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</si>
  <si>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2.3</t>
  </si>
  <si>
    <t>Confecção e Implantação  de Marcos e plaquetas Padrão INCRA. </t>
  </si>
  <si>
    <t>UNID </t>
  </si>
  <si>
    <t>2.2</t>
  </si>
  <si>
    <t>Serviços de campo para medição e Georreferenciamento dos vértices definidores do perímetro total conforme estabelece o Manual Técnico de Georrferenciamendo Imóveis Rurais 2022. </t>
  </si>
  <si>
    <t>hectares </t>
  </si>
  <si>
    <t>2.4</t>
  </si>
  <si>
    <t>Serviços de Gabinete: processamento e analise de dados, elaboração de planilhas eletrônicas, relatórios, cálculos.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</si>
  <si>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</si>
  <si>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</si>
  <si>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verba</t>
  </si>
  <si>
    <t>RECEITA</t>
  </si>
  <si>
    <r>
      <t>Total</t>
    </r>
    <r>
      <rPr>
        <sz val="6"/>
        <color rgb="FF000000"/>
        <rFont val="Calibri"/>
        <family val="2"/>
      </rPr>
      <t> </t>
    </r>
  </si>
  <si>
    <t>DESPESAS</t>
  </si>
  <si>
    <t>QUANT</t>
  </si>
  <si>
    <t>PREÇO</t>
  </si>
  <si>
    <t>ALIMENTAÇÃO</t>
  </si>
  <si>
    <t>HOSPEDAGEM</t>
  </si>
  <si>
    <t>COMBUSTIVEL</t>
  </si>
  <si>
    <t>AJUDANTES</t>
  </si>
  <si>
    <t>PLAQUETAS</t>
  </si>
  <si>
    <t>PROCESSAMENTO DOS DADOS</t>
  </si>
  <si>
    <t>JAIRO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</si>
</sst>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4" fontId="3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44" fontId="0" fillId="0" borderId="0" xfId="0" applyNumberFormat="1"/>
    <xf numFmtId="44" fontId="3" fillId="0" borderId="16" xfId="1" applyFont="1" applyBorder="1" applyAlignment="1">
      <alignment horizontal="center" vertical="center" wrapText="1"/>
    </xf>
    <xf numFmtId="44" fontId="3" fillId="0" borderId="14" xfId="1" applyFont="1" applyBorder="1" applyAlignment="1">
      <alignment horizontal="center" vertical="center" wrapText="1"/>
    </xf>
    <xf numFmtId="44" fontId="0" fillId="4" borderId="0" xfId="0" applyNumberFormat="1" applyFill="1"/>
    <xf numFmtId="44" fontId="0" fillId="0" borderId="0" xfId="1" applyFont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5" borderId="0" xfId="0" applyFill="1"/>
    <xf numFmtId="44" fontId="0" fillId="5" borderId="0" xfId="0" applyNumberFormat="1" applyFill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D2-DB58-4DBE-AFBB-53255E1ED8BE}">
  <dimension ref="A1:G21"/>
  <sheetViews>
    <sheetView tabSelected="1" zoomScale="160" zoomScaleNormal="160" workbookViewId="0">
      <selection activeCell="B4" sqref="B4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1.88671875" bestFit="1" customWidth="1"/>
  </cols>
  <sheetData>
    <row r="1" spans="1:7" x14ac:dyDescent="0.3">
      <c r="A1" s="32" t="s">
        <v>0</v>
      </c>
      <c r="B1" s="34" t="s">
        <v>1</v>
      </c>
      <c r="C1" s="34" t="s">
        <v>2</v>
      </c>
      <c r="D1" s="34" t="s">
        <v>3</v>
      </c>
      <c r="E1" s="1" t="s">
        <v>4</v>
      </c>
      <c r="F1" s="34" t="s">
        <v>5</v>
      </c>
    </row>
    <row r="2" spans="1:7" ht="15" thickBot="1" x14ac:dyDescent="0.35">
      <c r="A2" s="33"/>
      <c r="B2" s="35"/>
      <c r="C2" s="35"/>
      <c r="D2" s="35"/>
      <c r="E2" s="2" t="s">
        <v>6</v>
      </c>
      <c r="F2" s="35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11</v>
      </c>
      <c r="C4" s="8" t="s">
        <v>12</v>
      </c>
      <c r="D4" s="8">
        <v>1</v>
      </c>
      <c r="E4" s="22">
        <v>500</v>
      </c>
      <c r="F4" s="23">
        <f>D4*E4</f>
        <v>500</v>
      </c>
    </row>
    <row r="5" spans="1:7" ht="16.2" thickBot="1" x14ac:dyDescent="0.35">
      <c r="A5" s="3" t="s">
        <v>13</v>
      </c>
      <c r="B5" s="4" t="s">
        <v>14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15</v>
      </c>
      <c r="B6" s="20" t="s">
        <v>16</v>
      </c>
      <c r="C6" s="10" t="s">
        <v>17</v>
      </c>
      <c r="D6" s="11">
        <v>2</v>
      </c>
      <c r="E6" s="9">
        <v>35</v>
      </c>
      <c r="F6" s="9">
        <f>D6*E6</f>
        <v>70</v>
      </c>
    </row>
    <row r="7" spans="1:7" ht="24" thickBot="1" x14ac:dyDescent="0.35">
      <c r="A7" s="19" t="s">
        <v>18</v>
      </c>
      <c r="B7" s="13" t="s">
        <v>19</v>
      </c>
      <c r="C7" s="14" t="s">
        <v>20</v>
      </c>
      <c r="D7" s="14">
        <v>15</v>
      </c>
      <c r="E7" s="9">
        <v>50</v>
      </c>
      <c r="F7" s="9">
        <f>D7*E7</f>
        <v>750</v>
      </c>
    </row>
    <row r="8" spans="1:7" ht="16.2" thickBot="1" x14ac:dyDescent="0.35">
      <c r="A8" s="12" t="s">
        <v>21</v>
      </c>
      <c r="B8" s="13" t="s">
        <v>22</v>
      </c>
      <c r="C8" s="10" t="s">
        <v>25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23</v>
      </c>
      <c r="B9" s="13" t="s">
        <v>24</v>
      </c>
      <c r="C9" s="10" t="s">
        <v>20</v>
      </c>
      <c r="D9" s="10">
        <v>15</v>
      </c>
      <c r="E9" s="9">
        <v>50</v>
      </c>
      <c r="F9" s="9">
        <f t="shared" si="0"/>
        <v>750</v>
      </c>
      <c r="G9" s="31" t="s">
        <v>26</v>
      </c>
    </row>
    <row r="10" spans="1:7" ht="15.6" x14ac:dyDescent="0.3">
      <c r="A10" s="15" t="s">
        <v>9</v>
      </c>
      <c r="B10" s="16" t="s">
        <v>27</v>
      </c>
      <c r="C10" s="17" t="s">
        <v>9</v>
      </c>
      <c r="D10" s="17" t="s">
        <v>9</v>
      </c>
      <c r="E10" s="18" t="s">
        <v>9</v>
      </c>
      <c r="F10" s="24">
        <f>SUM(F4:F9)</f>
        <v>2320</v>
      </c>
      <c r="G10" s="21">
        <f>F10-E21</f>
        <v>1535</v>
      </c>
    </row>
    <row r="13" spans="1:7" x14ac:dyDescent="0.3">
      <c r="B13" s="26" t="s">
        <v>28</v>
      </c>
      <c r="C13" s="26" t="s">
        <v>29</v>
      </c>
      <c r="D13" s="26" t="s">
        <v>30</v>
      </c>
      <c r="E13" s="26" t="s">
        <v>5</v>
      </c>
    </row>
    <row r="14" spans="1:7" x14ac:dyDescent="0.3">
      <c r="B14" t="s">
        <v>31</v>
      </c>
      <c r="C14" s="27">
        <v>2</v>
      </c>
      <c r="D14" s="28">
        <v>50</v>
      </c>
      <c r="E14" s="28">
        <f t="shared" ref="E14:E20" si="1">C14*D14</f>
        <v>100</v>
      </c>
    </row>
    <row r="15" spans="1:7" x14ac:dyDescent="0.3">
      <c r="B15" t="s">
        <v>32</v>
      </c>
      <c r="C15" s="27">
        <v>0</v>
      </c>
      <c r="D15" s="28">
        <v>250</v>
      </c>
      <c r="E15" s="28">
        <f t="shared" si="1"/>
        <v>0</v>
      </c>
    </row>
    <row r="16" spans="1:7" x14ac:dyDescent="0.3">
      <c r="B16" t="s">
        <v>33</v>
      </c>
      <c r="C16" s="27">
        <v>0.5</v>
      </c>
      <c r="D16" s="25">
        <v>170</v>
      </c>
      <c r="E16" s="28">
        <f t="shared" si="1"/>
        <v>85</v>
      </c>
    </row>
    <row r="17" spans="2:5" x14ac:dyDescent="0.3">
      <c r="B17" t="s">
        <v>34</v>
      </c>
      <c r="C17" s="27">
        <v>1</v>
      </c>
      <c r="D17" s="25">
        <v>150</v>
      </c>
      <c r="E17" s="28">
        <f t="shared" si="1"/>
        <v>150</v>
      </c>
    </row>
    <row r="18" spans="2:5" x14ac:dyDescent="0.3">
      <c r="B18" t="s">
        <v>35</v>
      </c>
      <c r="C18" s="27">
        <v>5</v>
      </c>
      <c r="D18" s="25">
        <v>30</v>
      </c>
      <c r="E18" s="28">
        <f t="shared" si="1"/>
        <v>150</v>
      </c>
    </row>
    <row r="19" spans="2:5" x14ac:dyDescent="0.3">
      <c r="B19" t="s">
        <v>36</v>
      </c>
      <c r="C19" s="27">
        <v>1</v>
      </c>
      <c r="D19" s="25">
        <v>150</v>
      </c>
      <c r="E19" s="28">
        <f t="shared" si="1"/>
        <v>150</v>
      </c>
    </row>
    <row r="20" spans="2:5" x14ac:dyDescent="0.3">
      <c r="B20" t="s">
        <v>37</v>
      </c>
      <c r="C20" s="27">
        <v>1</v>
      </c>
      <c r="D20" s="25">
        <v>150</v>
      </c>
      <c r="E20" s="28">
        <f t="shared" si="1"/>
        <v>150</v>
      </c>
    </row>
    <row r="21" spans="2:5" x14ac:dyDescent="0.3">
      <c r="B21" s="29"/>
      <c r="C21" s="29"/>
      <c r="D21" s="29"/>
      <c r="E21" s="30">
        <f>SUM(E14:E20)</f>
        <v>785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2024-08-28T09:30:11Z</dcterms:created>
  <dcterms:modified xsi:type="dcterms:W3CDTF">2024-09-16T21:42:29Z</dcterms:modified>
  <cp:category/>
  <cp:contentStatus/>
</cp:coreProperties>
</file>