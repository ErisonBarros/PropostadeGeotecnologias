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OneDrive\PROPOSTA\"/>
    </mc:Choice>
  </mc:AlternateContent>
  <xr:revisionPtr revIDLastSave="2" documentId="11_D7123434386492FB96859E0DD04E50A7255368A4" xr6:coauthVersionLast="40" xr6:coauthVersionMax="40" xr10:uidLastSave="{D8F6D79F-EAE5-4F4E-826C-36BEADBE9A6F}"/>
  <bookViews>
    <workbookView xWindow="0" yWindow="0" windowWidth="16410" windowHeight="7530" xr2:uid="{A0FEAC15-6A55-4428-9823-E6FFAB99F4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E13" i="1" s="1"/>
  <c r="E22" i="1" l="1"/>
  <c r="E17" i="1" l="1"/>
  <c r="E18" i="1"/>
  <c r="E19" i="1"/>
  <c r="E20" i="1"/>
  <c r="E21" i="1"/>
  <c r="E16" i="1"/>
  <c r="D12" i="1"/>
  <c r="E12" i="1" s="1"/>
  <c r="B7" i="1"/>
  <c r="D11" i="1" s="1"/>
  <c r="E11" i="1" s="1"/>
  <c r="E14" i="1" s="1"/>
  <c r="G14" i="1" s="1"/>
  <c r="E3" i="1"/>
  <c r="D4" i="1"/>
  <c r="E23" i="1" l="1"/>
  <c r="O16" i="1" s="1"/>
  <c r="J20" i="1" s="1"/>
</calcChain>
</file>

<file path=xl/sharedStrings.xml><?xml version="1.0" encoding="utf-8"?>
<sst xmlns="http://schemas.openxmlformats.org/spreadsheetml/2006/main" count="39" uniqueCount="33">
  <si>
    <t>Número de Vertices</t>
  </si>
  <si>
    <t>vertices p/ hectar</t>
  </si>
  <si>
    <t>Comprimento</t>
  </si>
  <si>
    <t>m</t>
  </si>
  <si>
    <t>Área=</t>
  </si>
  <si>
    <t>Perímetro=</t>
  </si>
  <si>
    <t>relação P/A</t>
  </si>
  <si>
    <t>Marcos</t>
  </si>
  <si>
    <t>Frete</t>
  </si>
  <si>
    <t>Aluno para Processar</t>
  </si>
  <si>
    <t>CUSTO FIXO</t>
  </si>
  <si>
    <t>Processamento</t>
  </si>
  <si>
    <t>Geração de Planilha ods</t>
  </si>
  <si>
    <t>ART</t>
  </si>
  <si>
    <t>IMPRESSÃO DE PLANTA</t>
  </si>
  <si>
    <t>CUSTO VARIAVEL</t>
  </si>
  <si>
    <t>+</t>
  </si>
  <si>
    <t>X</t>
  </si>
  <si>
    <t>EQUAÇÃO DO VALOR=</t>
  </si>
  <si>
    <t>(</t>
  </si>
  <si>
    <t>)</t>
  </si>
  <si>
    <t>A (HECTARES)</t>
  </si>
  <si>
    <t>Engenheiro</t>
  </si>
  <si>
    <t>Quatidade</t>
  </si>
  <si>
    <t>Preço Unit</t>
  </si>
  <si>
    <t>Desenho</t>
  </si>
  <si>
    <t>unidade</t>
  </si>
  <si>
    <t>und</t>
  </si>
  <si>
    <t>horas</t>
  </si>
  <si>
    <t>A</t>
  </si>
  <si>
    <t>=</t>
  </si>
  <si>
    <t>V</t>
  </si>
  <si>
    <t>Acompanhamento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</si>
</sst>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0" fontId="2" fillId="0" borderId="0" xfId="0" applyFont="1"/>
    <xf numFmtId="44" fontId="0" fillId="0" borderId="0" xfId="0" applyNumberFormat="1"/>
    <xf numFmtId="44" fontId="2" fillId="2" borderId="0" xfId="0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4" fontId="0" fillId="0" borderId="0" xfId="1" applyNumberFormat="1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3" xfId="1" applyFont="1" applyBorder="1" applyAlignment="1">
      <alignment horizontal="center"/>
    </xf>
    <xf numFmtId="44" fontId="0" fillId="0" borderId="2" xfId="0" applyNumberForma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3739-590E-4F5A-8E23-C29800817742}">
  <dimension ref="A2:O23"/>
  <sheetViews>
    <sheetView showGridLines="0" tabSelected="1" workbookViewId="0">
      <selection activeCell="E23" sqref="E23"/>
    </sheetView>
  </sheetViews>
  <sheetFormatPr defaultRowHeight="15" x14ac:dyDescent="0.25"/>
  <cols>
    <col min="1" max="1" width="22.42578125" bestFit="1" customWidth="1"/>
    <col min="2" max="3" width="10.28515625" customWidth="1"/>
    <col min="4" max="4" width="16.5703125" bestFit="1" customWidth="1"/>
    <col min="5" max="5" width="20.42578125" customWidth="1"/>
    <col min="7" max="7" width="11.42578125" customWidth="1"/>
    <col min="8" max="8" width="20.7109375" bestFit="1" customWidth="1"/>
    <col min="9" max="9" width="1.7109375" bestFit="1" customWidth="1"/>
    <col min="10" max="10" width="12.140625" bestFit="1" customWidth="1"/>
    <col min="11" max="11" width="3.5703125" bestFit="1" customWidth="1"/>
    <col min="12" max="12" width="13.140625" bestFit="1" customWidth="1"/>
    <col min="13" max="13" width="1.7109375" bestFit="1" customWidth="1"/>
    <col min="14" max="14" width="2" bestFit="1" customWidth="1"/>
    <col min="15" max="15" width="10.5703125" bestFit="1" customWidth="1"/>
  </cols>
  <sheetData>
    <row r="2" spans="1:15" x14ac:dyDescent="0.25">
      <c r="A2" t="s">
        <v>4</v>
      </c>
      <c r="B2">
        <v>1648</v>
      </c>
      <c r="D2" t="s">
        <v>1</v>
      </c>
      <c r="E2" t="s">
        <v>2</v>
      </c>
    </row>
    <row r="3" spans="1:15" x14ac:dyDescent="0.25">
      <c r="A3" t="s">
        <v>5</v>
      </c>
      <c r="B3">
        <v>19359</v>
      </c>
      <c r="D3" t="s">
        <v>3</v>
      </c>
      <c r="E3">
        <f>B3/250</f>
        <v>77.436000000000007</v>
      </c>
    </row>
    <row r="4" spans="1:15" x14ac:dyDescent="0.25">
      <c r="A4" t="s">
        <v>0</v>
      </c>
      <c r="B4">
        <v>116</v>
      </c>
      <c r="D4">
        <f>B4/B2</f>
        <v>7.0388349514563103E-2</v>
      </c>
    </row>
    <row r="7" spans="1:15" x14ac:dyDescent="0.25">
      <c r="A7" t="s">
        <v>6</v>
      </c>
      <c r="B7">
        <f>B3/B2</f>
        <v>11.746966019417476</v>
      </c>
    </row>
    <row r="10" spans="1:15" x14ac:dyDescent="0.25">
      <c r="A10" s="2" t="s">
        <v>15</v>
      </c>
    </row>
    <row r="11" spans="1:15" x14ac:dyDescent="0.25">
      <c r="A11" t="s">
        <v>7</v>
      </c>
      <c r="B11" s="1">
        <v>6</v>
      </c>
      <c r="C11" s="1"/>
      <c r="D11">
        <f>B7</f>
        <v>11.746966019417476</v>
      </c>
      <c r="E11" s="3">
        <f>B11*D11</f>
        <v>70.481796116504853</v>
      </c>
    </row>
    <row r="12" spans="1:15" x14ac:dyDescent="0.25">
      <c r="A12" t="s">
        <v>8</v>
      </c>
      <c r="B12" s="1">
        <v>50</v>
      </c>
      <c r="C12" s="1"/>
      <c r="D12" s="3">
        <f>B12*1</f>
        <v>50</v>
      </c>
      <c r="E12" s="3">
        <f>D12</f>
        <v>50</v>
      </c>
    </row>
    <row r="13" spans="1:15" x14ac:dyDescent="0.25">
      <c r="A13" t="s">
        <v>32</v>
      </c>
      <c r="B13" s="1">
        <f>B22</f>
        <v>14</v>
      </c>
      <c r="C13" s="7">
        <v>8</v>
      </c>
      <c r="D13" s="3"/>
      <c r="E13" s="3">
        <f>B13*C13</f>
        <v>112</v>
      </c>
    </row>
    <row r="14" spans="1:15" x14ac:dyDescent="0.25">
      <c r="B14" s="1"/>
      <c r="C14" s="1"/>
      <c r="E14" s="4">
        <f>SUM(E11:E13)</f>
        <v>232.48179611650485</v>
      </c>
      <c r="G14" s="3">
        <f>E14/B2</f>
        <v>0.14106905104156847</v>
      </c>
    </row>
    <row r="15" spans="1:15" ht="15.75" thickBot="1" x14ac:dyDescent="0.3">
      <c r="A15" s="2" t="s">
        <v>10</v>
      </c>
      <c r="B15" s="1" t="s">
        <v>24</v>
      </c>
      <c r="C15" s="1" t="s">
        <v>26</v>
      </c>
      <c r="D15" t="s">
        <v>23</v>
      </c>
    </row>
    <row r="16" spans="1:15" ht="15.75" thickBot="1" x14ac:dyDescent="0.3">
      <c r="A16" t="s">
        <v>9</v>
      </c>
      <c r="B16" s="1">
        <v>100</v>
      </c>
      <c r="C16" s="1" t="s">
        <v>27</v>
      </c>
      <c r="D16">
        <v>1</v>
      </c>
      <c r="E16" s="3">
        <f>B16</f>
        <v>100</v>
      </c>
      <c r="H16" s="8" t="s">
        <v>18</v>
      </c>
      <c r="I16" s="9" t="s">
        <v>19</v>
      </c>
      <c r="J16" s="12">
        <v>5</v>
      </c>
      <c r="K16" s="10" t="s">
        <v>17</v>
      </c>
      <c r="L16" s="9" t="s">
        <v>21</v>
      </c>
      <c r="M16" s="9" t="s">
        <v>20</v>
      </c>
      <c r="N16" s="9" t="s">
        <v>16</v>
      </c>
      <c r="O16" s="11">
        <f>E23</f>
        <v>712</v>
      </c>
    </row>
    <row r="17" spans="1:10" x14ac:dyDescent="0.25">
      <c r="A17" t="s">
        <v>11</v>
      </c>
      <c r="B17" s="1">
        <v>200</v>
      </c>
      <c r="C17" s="1" t="s">
        <v>27</v>
      </c>
      <c r="D17">
        <v>1</v>
      </c>
      <c r="E17" s="3">
        <f t="shared" ref="E17:E21" si="0">B17</f>
        <v>200</v>
      </c>
      <c r="H17" s="3"/>
      <c r="I17" s="3"/>
    </row>
    <row r="18" spans="1:10" x14ac:dyDescent="0.25">
      <c r="A18" t="s">
        <v>25</v>
      </c>
      <c r="B18" s="1">
        <v>50</v>
      </c>
      <c r="C18" s="1" t="s">
        <v>27</v>
      </c>
      <c r="D18">
        <v>1</v>
      </c>
      <c r="E18" s="3">
        <f t="shared" si="0"/>
        <v>50</v>
      </c>
      <c r="H18" s="6" t="s">
        <v>29</v>
      </c>
      <c r="I18" t="s">
        <v>30</v>
      </c>
      <c r="J18" s="5">
        <v>500</v>
      </c>
    </row>
    <row r="19" spans="1:10" x14ac:dyDescent="0.25">
      <c r="A19" t="s">
        <v>12</v>
      </c>
      <c r="B19" s="1">
        <v>100</v>
      </c>
      <c r="C19" s="1" t="s">
        <v>27</v>
      </c>
      <c r="D19">
        <v>1</v>
      </c>
      <c r="E19" s="3">
        <f t="shared" si="0"/>
        <v>100</v>
      </c>
    </row>
    <row r="20" spans="1:10" x14ac:dyDescent="0.25">
      <c r="A20" t="s">
        <v>13</v>
      </c>
      <c r="B20" s="1">
        <v>100</v>
      </c>
      <c r="C20" s="1" t="s">
        <v>27</v>
      </c>
      <c r="D20">
        <v>1</v>
      </c>
      <c r="E20" s="3">
        <f t="shared" si="0"/>
        <v>100</v>
      </c>
      <c r="H20" s="6" t="s">
        <v>31</v>
      </c>
      <c r="I20" t="s">
        <v>30</v>
      </c>
      <c r="J20" s="3">
        <f>(J16*J18)+O16</f>
        <v>3212</v>
      </c>
    </row>
    <row r="21" spans="1:10" x14ac:dyDescent="0.25">
      <c r="A21" t="s">
        <v>14</v>
      </c>
      <c r="B21" s="1">
        <v>50</v>
      </c>
      <c r="C21" s="1" t="s">
        <v>27</v>
      </c>
      <c r="D21">
        <v>1</v>
      </c>
      <c r="E21" s="3">
        <f t="shared" si="0"/>
        <v>50</v>
      </c>
    </row>
    <row r="22" spans="1:10" x14ac:dyDescent="0.25">
      <c r="A22" t="s">
        <v>22</v>
      </c>
      <c r="B22" s="1">
        <v>14</v>
      </c>
      <c r="C22" s="1" t="s">
        <v>28</v>
      </c>
      <c r="D22">
        <v>8</v>
      </c>
      <c r="E22" s="3">
        <f>B22*D22</f>
        <v>112</v>
      </c>
    </row>
    <row r="23" spans="1:10" x14ac:dyDescent="0.25">
      <c r="E23" s="4">
        <f>SUM(E16:E22)</f>
        <v>712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</dc:creator>
  <cp:lastModifiedBy>Erison Barros</cp:lastModifiedBy>
  <dcterms:created xsi:type="dcterms:W3CDTF">2017-12-21T14:15:48Z</dcterms:created>
  <dcterms:modified xsi:type="dcterms:W3CDTF">2019-01-02T12:31:02Z</dcterms:modified>
</cp:coreProperties>
</file>