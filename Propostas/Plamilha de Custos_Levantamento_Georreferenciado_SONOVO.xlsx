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8" documentId="8_{C4CA2B63-A9AA-4AD5-9550-C5D24C9E0372}" xr6:coauthVersionLast="47" xr6:coauthVersionMax="47" xr10:uidLastSave="{4B92B6E2-4856-437A-9C57-6C4A55EE0879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7" i="1"/>
  <c r="F10" i="1"/>
  <c r="F9" i="1"/>
  <c r="F6" i="1"/>
  <c r="F3" i="1"/>
  <c r="F11" i="1" l="1"/>
  <c r="H12" i="1" s="1"/>
</calcChain>
</file>

<file path=xl/sharedStrings.xml><?xml version="1.0" encoding="utf-8"?>
<sst xmlns="http://schemas.openxmlformats.org/spreadsheetml/2006/main" count="32" uniqueCount="31">
  <si>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</si>
  <si>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</si>
  <si>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</si>
  <si>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</si>
  <si>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</si>
  <si>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</si>
  <si>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</si>
  <si>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</si>
  <si>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</si>
  <si>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</si>
  <si>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</si>
  <si>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</si>
  <si>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</si>
  <si>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</si>
  <si>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</si>
  <si>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</si>
  <si>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</si>
  <si>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planimétrico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</t>
  </si>
  <si>
    <t>hectres</t>
  </si>
  <si>
    <t>3.2</t>
  </si>
  <si>
    <t>verba</t>
  </si>
  <si>
    <t>LEVANTAMENTO TOPOGRÁFICO E INSUMOS DE CAMPO</t>
  </si>
  <si>
    <t>2.2</t>
  </si>
  <si>
    <t>Und</t>
  </si>
  <si>
    <t>Ajudante</t>
  </si>
  <si>
    <t xml:space="preserve">Platagem </t>
  </si>
  <si>
    <t>Gasolina</t>
  </si>
  <si>
    <t>Elaboração de planta em CAD e calculos e memoriais descritivos  necessários com impressão em formato ABNT em 3 vias com a elaboração do memorial descritivo, com Anotação de Responsabilidade Técnica - ART</t>
  </si>
  <si>
    <t>Implantação de Marcos Padrão INCRA  com codificação do credenciado ou adequação  dos vertices ao SIGEF</t>
  </si>
  <si>
    <t>Elaboração de Planilha ODS para inserção no SIGEF com a Devida Responsabilidade Técnica conforme MTGIR 2° Edição.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</si>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</sst>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7" fillId="3" borderId="1" xfId="0" applyFont="1" applyFill="1" applyBorder="1"/>
    <xf numFmtId="44" fontId="6" fillId="3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44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4" fontId="6" fillId="3" borderId="1" xfId="2" applyFont="1" applyFill="1" applyBorder="1"/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8" fillId="0" borderId="0" xfId="0" applyNumberFormat="1" applyFont="1"/>
    <xf numFmtId="8" fontId="0" fillId="0" borderId="0" xfId="0" applyNumberFormat="1" applyAlignment="1">
      <alignment vertical="center"/>
    </xf>
    <xf numFmtId="44" fontId="0" fillId="0" borderId="0" xfId="1" applyFont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20"/>
  <sheetViews>
    <sheetView tabSelected="1" topLeftCell="A9" zoomScaleNormal="100" workbookViewId="0">
      <selection activeCell="F21" sqref="F21"/>
    </sheetView>
  </sheetViews>
  <sheetFormatPr defaultRowHeight="14.4" x14ac:dyDescent="0.3"/>
  <cols>
    <col min="1" max="1" width="6" customWidth="1"/>
    <col min="2" max="2" width="30.6640625" customWidth="1"/>
    <col min="3" max="3" width="10.6640625" customWidth="1"/>
    <col min="4" max="4" width="12.6640625" bestFit="1" customWidth="1"/>
    <col min="5" max="5" width="13.33203125" customWidth="1"/>
    <col min="6" max="6" width="13.77734375" customWidth="1"/>
  </cols>
  <sheetData>
    <row r="1" spans="1:8" x14ac:dyDescent="0.3">
      <c r="A1" s="9" t="s">
        <v>1</v>
      </c>
      <c r="B1" s="9" t="s">
        <v>2</v>
      </c>
      <c r="C1" s="9" t="s">
        <v>3</v>
      </c>
      <c r="D1" s="31" t="s">
        <v>4</v>
      </c>
      <c r="E1" s="9" t="s">
        <v>5</v>
      </c>
      <c r="F1" s="9" t="s">
        <v>6</v>
      </c>
    </row>
    <row r="2" spans="1:8" s="5" customFormat="1" x14ac:dyDescent="0.3">
      <c r="A2" s="17" t="s">
        <v>7</v>
      </c>
      <c r="B2" s="17" t="s">
        <v>8</v>
      </c>
      <c r="C2" s="18"/>
      <c r="D2" s="18"/>
      <c r="E2" s="18"/>
      <c r="F2" s="18"/>
    </row>
    <row r="3" spans="1:8" s="5" customFormat="1" ht="28.8" x14ac:dyDescent="0.3">
      <c r="A3" s="10" t="s">
        <v>9</v>
      </c>
      <c r="B3" s="11" t="s">
        <v>10</v>
      </c>
      <c r="C3" s="12" t="s">
        <v>11</v>
      </c>
      <c r="D3" s="13">
        <v>1</v>
      </c>
      <c r="E3" s="14">
        <v>250</v>
      </c>
      <c r="F3" s="14">
        <f>D3*E3</f>
        <v>250</v>
      </c>
    </row>
    <row r="4" spans="1:8" s="5" customFormat="1" ht="10.8" customHeight="1" x14ac:dyDescent="0.3">
      <c r="A4" s="8"/>
      <c r="B4" s="15"/>
      <c r="C4" s="16"/>
      <c r="D4" s="8"/>
      <c r="E4" s="8"/>
      <c r="F4" s="14"/>
    </row>
    <row r="5" spans="1:8" s="5" customFormat="1" x14ac:dyDescent="0.25">
      <c r="A5" s="20" t="s">
        <v>12</v>
      </c>
      <c r="B5" s="20" t="s">
        <v>21</v>
      </c>
      <c r="C5" s="19"/>
      <c r="D5" s="19"/>
      <c r="E5" s="19"/>
      <c r="F5" s="21"/>
    </row>
    <row r="6" spans="1:8" s="5" customFormat="1" ht="89.4" customHeight="1" x14ac:dyDescent="0.3">
      <c r="A6" s="22" t="s">
        <v>13</v>
      </c>
      <c r="B6" s="23" t="s">
        <v>17</v>
      </c>
      <c r="C6" s="12" t="s">
        <v>18</v>
      </c>
      <c r="D6" s="12">
        <v>10</v>
      </c>
      <c r="E6" s="24">
        <v>200</v>
      </c>
      <c r="F6" s="24">
        <f>D6*E6</f>
        <v>2000</v>
      </c>
    </row>
    <row r="7" spans="1:8" s="5" customFormat="1" ht="26.4" customHeight="1" x14ac:dyDescent="0.25">
      <c r="A7" s="25" t="s">
        <v>22</v>
      </c>
      <c r="B7" s="23" t="s">
        <v>28</v>
      </c>
      <c r="C7" s="12" t="s">
        <v>23</v>
      </c>
      <c r="D7" s="12">
        <v>2</v>
      </c>
      <c r="E7" s="24">
        <v>250</v>
      </c>
      <c r="F7" s="24">
        <f>D7*E7</f>
        <v>500</v>
      </c>
    </row>
    <row r="8" spans="1:8" s="5" customFormat="1" x14ac:dyDescent="0.25">
      <c r="A8" s="20" t="s">
        <v>14</v>
      </c>
      <c r="B8" s="20" t="s">
        <v>15</v>
      </c>
      <c r="C8" s="19"/>
      <c r="D8" s="19"/>
      <c r="E8" s="19"/>
      <c r="F8" s="26"/>
    </row>
    <row r="9" spans="1:8" s="5" customFormat="1" ht="72" x14ac:dyDescent="0.25">
      <c r="A9" s="22" t="s">
        <v>16</v>
      </c>
      <c r="B9" s="27" t="s">
        <v>27</v>
      </c>
      <c r="C9" s="12" t="s">
        <v>11</v>
      </c>
      <c r="D9" s="12">
        <v>1</v>
      </c>
      <c r="E9" s="24">
        <v>200</v>
      </c>
      <c r="F9" s="24">
        <f>D9*E9</f>
        <v>200</v>
      </c>
    </row>
    <row r="10" spans="1:8" s="5" customFormat="1" ht="36" x14ac:dyDescent="0.25">
      <c r="A10" s="16" t="s">
        <v>19</v>
      </c>
      <c r="B10" s="27" t="s">
        <v>29</v>
      </c>
      <c r="C10" s="12" t="s">
        <v>20</v>
      </c>
      <c r="D10" s="12">
        <v>1</v>
      </c>
      <c r="E10" s="24">
        <v>500</v>
      </c>
      <c r="F10" s="24">
        <f>D10*E10</f>
        <v>500</v>
      </c>
    </row>
    <row r="11" spans="1:8" s="5" customFormat="1" x14ac:dyDescent="0.3">
      <c r="A11" s="28"/>
      <c r="B11" s="29" t="s">
        <v>0</v>
      </c>
      <c r="C11" s="28"/>
      <c r="D11" s="28"/>
      <c r="E11" s="28"/>
      <c r="F11" s="30">
        <f>SUM(F2:F10)</f>
        <v>3450</v>
      </c>
    </row>
    <row r="12" spans="1:8" s="5" customFormat="1" x14ac:dyDescent="0.3">
      <c r="A12" s="2"/>
      <c r="B12" s="3"/>
      <c r="C12" s="2"/>
      <c r="D12" s="6"/>
      <c r="E12" s="7"/>
      <c r="H12" s="33">
        <f>F13-F11</f>
        <v>-1564.27</v>
      </c>
    </row>
    <row r="13" spans="1:8" s="5" customFormat="1" x14ac:dyDescent="0.3">
      <c r="A13" s="2"/>
      <c r="B13" s="3"/>
      <c r="C13" s="2"/>
      <c r="D13" s="6"/>
      <c r="E13" s="7"/>
      <c r="F13" s="32">
        <v>1885.73</v>
      </c>
    </row>
    <row r="14" spans="1:8" x14ac:dyDescent="0.3">
      <c r="D14" s="1"/>
      <c r="E14" s="4"/>
    </row>
    <row r="16" spans="1:8" x14ac:dyDescent="0.3">
      <c r="E16" t="s">
        <v>24</v>
      </c>
      <c r="F16" s="34">
        <v>150</v>
      </c>
    </row>
    <row r="17" spans="5:6" x14ac:dyDescent="0.3">
      <c r="E17" t="s">
        <v>25</v>
      </c>
      <c r="F17" s="34">
        <v>50</v>
      </c>
    </row>
    <row r="18" spans="5:6" x14ac:dyDescent="0.3">
      <c r="E18" t="s">
        <v>26</v>
      </c>
      <c r="F18" s="34">
        <v>100</v>
      </c>
    </row>
    <row r="19" spans="5:6" x14ac:dyDescent="0.3">
      <c r="E19" t="s">
        <v>30</v>
      </c>
      <c r="F19" s="34">
        <v>110</v>
      </c>
    </row>
    <row r="20" spans="5:6" x14ac:dyDescent="0.3">
      <c r="F20" s="34">
        <f>SUM(F16:F19)</f>
        <v>410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2025-01-17T02:41:36Z</dcterms:modified>
  <cp:category/>
  <cp:contentStatus/>
</cp:coreProperties>
</file>