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4" documentId="8_{6B5D587C-D474-46E3-A4D2-2BAD0B385116}" xr6:coauthVersionLast="47" xr6:coauthVersionMax="47" xr10:uidLastSave="{EE269BD2-A216-41BB-BE14-FD5E1C4BF86B}"/>
  <bookViews>
    <workbookView minimized="1" xWindow="972" yWindow="2820" windowWidth="17280" windowHeight="8880" xr2:uid="{B7DD82EC-A13F-4859-B655-C73693D0715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J15" i="1"/>
  <c r="I15" i="1"/>
  <c r="F13" i="1"/>
  <c r="F11" i="1"/>
  <c r="F10" i="1"/>
  <c r="F8" i="1"/>
  <c r="F15" i="1" s="1"/>
</calcChain>
</file>

<file path=xl/sharedStrings.xml><?xml version="1.0" encoding="utf-8"?>
<sst xmlns="http://schemas.openxmlformats.org/spreadsheetml/2006/main" count="35" uniqueCount="33">
  <si>
    <t>OBJETIVOS:</t>
  </si>
  <si>
    <t xml:space="preserve">LEVANTAMENTO TOPOGRÁFICO GEORREFERENCIADO PLANIALTIMÉTRIOCO DOS LIMITES LEGAIS DE UM  IMÓVEL URBANO DE CERCA DE 6.000 M2 COM LEVANTAMENTO ARQUITETONICO DE 10 EDIFICAÇÕES </t>
  </si>
  <si>
    <t xml:space="preserve">PARCELAMENTO (DESMEBRAMENTO) EM 10 PARCELAS </t>
  </si>
  <si>
    <t>SERVIÇOS DE DESPACHANTE IMOBILIÁRIO</t>
  </si>
  <si>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</si>
  <si>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</si>
  <si>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</si>
  <si>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</si>
  <si>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</si>
  <si>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</si>
  <si>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</si>
  <si>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</si>
  <si>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</si>
  <si>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realização do levantamento</t>
  </si>
  <si>
    <t>vb</t>
  </si>
  <si>
    <t>2.0</t>
  </si>
  <si>
    <t>Levantamento Territorial</t>
  </si>
  <si>
    <t>2.1</t>
  </si>
  <si>
    <t>Aerolevantamento com uso de Drone com pontos Apoio e Check e as devidas autorizações de Voo.</t>
  </si>
  <si>
    <t xml:space="preserve">h </t>
  </si>
  <si>
    <t>2.3</t>
  </si>
  <si>
    <t>Geração de de Ortomosaico e plantas topográficas com uso de Imagens de Drone com a devida responsabilidade técnica.</t>
  </si>
  <si>
    <t>verba</t>
  </si>
  <si>
    <t>Levantamento Arquitetônico</t>
  </si>
  <si>
    <t>Levantamento arquitetonico com a confecção de 3 jogos de planta (1 planta baixa, 2 cortes, 2 fachada, planta de locação e situação) com Anotação de Responsabilidade, CIM e aprovação Técnica  em sistema eletrônico- ART de regularização da edificação</t>
  </si>
  <si>
    <t>UNID</t>
  </si>
  <si>
    <t>DESPESAS TOPOGRAFIA</t>
  </si>
  <si>
    <t>BENEDITO</t>
  </si>
  <si>
    <t>DESPESAS TOTAL</t>
  </si>
  <si>
    <t>EMPRESA</t>
  </si>
  <si>
    <t>3.0</t>
  </si>
  <si>
    <t>Levantamento Topográfico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</si>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</sst>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164" fontId="0" fillId="0" borderId="0" xfId="0" applyNumberFormat="1"/>
    <xf numFmtId="164" fontId="4" fillId="0" borderId="4" xfId="0" applyNumberFormat="1" applyFont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164" fontId="3" fillId="2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165" fontId="0" fillId="0" borderId="0" xfId="1" applyFont="1"/>
    <xf numFmtId="165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EB32-004E-46FC-845E-460469686F78}">
  <dimension ref="A1:K15"/>
  <sheetViews>
    <sheetView tabSelected="1" workbookViewId="0"/>
  </sheetViews>
  <sheetFormatPr defaultRowHeight="14.45"/>
  <cols>
    <col min="1" max="1" width="10.7109375" bestFit="1" customWidth="1"/>
    <col min="2" max="2" width="34.42578125" bestFit="1" customWidth="1"/>
    <col min="5" max="5" width="16.28515625" bestFit="1" customWidth="1"/>
    <col min="6" max="6" width="17.42578125" customWidth="1"/>
    <col min="8" max="8" width="20.28515625" customWidth="1"/>
    <col min="9" max="9" width="28.140625" customWidth="1"/>
    <col min="10" max="10" width="14.85546875" bestFit="1" customWidth="1"/>
    <col min="11" max="11" width="21.7109375" customWidth="1"/>
  </cols>
  <sheetData>
    <row r="1" spans="1:11">
      <c r="A1" s="1" t="s">
        <v>0</v>
      </c>
    </row>
    <row r="2" spans="1:11" ht="43.15" customHeight="1">
      <c r="A2" s="22" t="s">
        <v>1</v>
      </c>
      <c r="B2" s="22"/>
      <c r="C2" s="22"/>
      <c r="D2" s="22"/>
      <c r="E2" s="22"/>
      <c r="F2" s="22"/>
    </row>
    <row r="3" spans="1:11">
      <c r="A3" s="23" t="s">
        <v>2</v>
      </c>
      <c r="B3" s="23"/>
      <c r="C3" s="23"/>
      <c r="D3" s="23"/>
      <c r="E3" s="23"/>
      <c r="F3" s="23"/>
    </row>
    <row r="4" spans="1:11">
      <c r="A4" s="23" t="s">
        <v>3</v>
      </c>
      <c r="B4" s="23"/>
      <c r="C4" s="23"/>
      <c r="D4" s="23"/>
      <c r="E4" s="23"/>
      <c r="F4" s="23"/>
    </row>
    <row r="5" spans="1:11" ht="15" thickBot="1"/>
    <row r="6" spans="1:11" ht="29.45" thickBot="1">
      <c r="A6" s="2" t="s">
        <v>4</v>
      </c>
      <c r="B6" s="3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11" ht="15" thickBot="1">
      <c r="A7" s="5" t="s">
        <v>10</v>
      </c>
      <c r="B7" s="6" t="s">
        <v>11</v>
      </c>
      <c r="C7" s="7"/>
      <c r="D7" s="7"/>
      <c r="E7" s="7"/>
      <c r="F7" s="7"/>
    </row>
    <row r="8" spans="1:11" ht="29.45" thickBot="1">
      <c r="A8" s="8" t="s">
        <v>12</v>
      </c>
      <c r="B8" s="9" t="s">
        <v>13</v>
      </c>
      <c r="C8" s="10" t="s">
        <v>14</v>
      </c>
      <c r="D8" s="10">
        <v>3</v>
      </c>
      <c r="E8" s="12">
        <v>600</v>
      </c>
      <c r="F8" s="12">
        <f>D8*E8</f>
        <v>1800</v>
      </c>
    </row>
    <row r="9" spans="1:11" ht="15" thickBot="1">
      <c r="A9" s="5" t="s">
        <v>15</v>
      </c>
      <c r="B9" s="6" t="s">
        <v>16</v>
      </c>
      <c r="C9" s="7"/>
      <c r="D9" s="7"/>
      <c r="E9" s="7"/>
      <c r="F9" s="7"/>
    </row>
    <row r="10" spans="1:11" ht="43.9" thickBot="1">
      <c r="A10" s="8" t="s">
        <v>17</v>
      </c>
      <c r="B10" s="9" t="s">
        <v>18</v>
      </c>
      <c r="C10" s="10" t="s">
        <v>19</v>
      </c>
      <c r="D10" s="10">
        <v>3</v>
      </c>
      <c r="E10" s="12">
        <v>1500</v>
      </c>
      <c r="F10" s="12">
        <f>D10*E10</f>
        <v>4500</v>
      </c>
    </row>
    <row r="11" spans="1:11" ht="58.15" thickBot="1">
      <c r="A11" s="8" t="s">
        <v>20</v>
      </c>
      <c r="B11" s="9" t="s">
        <v>21</v>
      </c>
      <c r="C11" s="10" t="s">
        <v>22</v>
      </c>
      <c r="D11" s="10">
        <v>1</v>
      </c>
      <c r="E11" s="12">
        <v>1800</v>
      </c>
      <c r="F11" s="12">
        <f>D11*E11</f>
        <v>1800</v>
      </c>
    </row>
    <row r="12" spans="1:11" ht="15" thickBot="1">
      <c r="A12" s="5" t="s">
        <v>15</v>
      </c>
      <c r="B12" s="6" t="s">
        <v>23</v>
      </c>
      <c r="C12" s="7"/>
      <c r="D12" s="7"/>
      <c r="E12" s="7"/>
      <c r="F12" s="7"/>
    </row>
    <row r="13" spans="1:11" ht="101.45" thickBot="1">
      <c r="A13" s="8" t="s">
        <v>17</v>
      </c>
      <c r="B13" s="9" t="s">
        <v>24</v>
      </c>
      <c r="C13" s="10" t="s">
        <v>25</v>
      </c>
      <c r="D13" s="10">
        <v>10</v>
      </c>
      <c r="E13" s="12">
        <v>1500</v>
      </c>
      <c r="F13" s="12">
        <f>D13*E13</f>
        <v>15000</v>
      </c>
      <c r="H13" t="s">
        <v>26</v>
      </c>
      <c r="I13" s="16" t="s">
        <v>27</v>
      </c>
      <c r="J13" t="s">
        <v>28</v>
      </c>
      <c r="K13" t="s">
        <v>29</v>
      </c>
    </row>
    <row r="14" spans="1:11" ht="15" thickBot="1">
      <c r="A14" s="5" t="s">
        <v>30</v>
      </c>
      <c r="B14" s="6" t="s">
        <v>31</v>
      </c>
      <c r="C14" s="7"/>
      <c r="D14" s="7"/>
      <c r="E14" s="7"/>
      <c r="F14" s="7"/>
    </row>
    <row r="15" spans="1:11" ht="15" thickBot="1">
      <c r="A15" s="13"/>
      <c r="B15" s="14"/>
      <c r="C15" s="19" t="s">
        <v>32</v>
      </c>
      <c r="D15" s="20"/>
      <c r="E15" s="21"/>
      <c r="F15" s="15">
        <f>SUM(F7:F14)</f>
        <v>23100</v>
      </c>
      <c r="H15" s="17">
        <v>2500</v>
      </c>
      <c r="I15" s="17">
        <f>500*10</f>
        <v>5000</v>
      </c>
      <c r="J15" s="18">
        <f>H15+I15</f>
        <v>7500</v>
      </c>
      <c r="K15" s="11">
        <f>F15-J15</f>
        <v>15600</v>
      </c>
    </row>
  </sheetData>
  <mergeCells count="4">
    <mergeCell ref="C15:E15"/>
    <mergeCell ref="A2:F2"/>
    <mergeCell ref="A3:F3"/>
    <mergeCell ref="A4:F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Usuário Convidado</cp:lastModifiedBy>
  <cp:revision/>
  <dcterms:created xsi:type="dcterms:W3CDTF">2024-06-07T03:30:01Z</dcterms:created>
  <dcterms:modified xsi:type="dcterms:W3CDTF">2024-06-11T15:15:33Z</dcterms:modified>
  <cp:category/>
  <cp:contentStatus/>
</cp:coreProperties>
</file>