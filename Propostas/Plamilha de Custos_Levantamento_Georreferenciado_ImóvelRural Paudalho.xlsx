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3" documentId="8_{0A243FF5-6791-4528-99F7-9C6EC1395F4C}" xr6:coauthVersionLast="47" xr6:coauthVersionMax="47" xr10:uidLastSave="{6BDDA704-6DBA-47EE-8515-A40C108299DE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17" i="1"/>
  <c r="F8" i="1"/>
  <c r="F5" i="1"/>
  <c r="F3" i="1"/>
  <c r="F9" i="1" l="1"/>
  <c r="H10" i="1" s="1"/>
</calcChain>
</file>

<file path=xl/sharedStrings.xml><?xml version="1.0" encoding="utf-8"?>
<sst xmlns="http://schemas.openxmlformats.org/spreadsheetml/2006/main" count="29" uniqueCount="29">
  <si>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</si>
  <si>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</si>
  <si>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</si>
  <si>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</si>
  <si>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</si>
  <si>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</si>
  <si>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</si>
  <si>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</si>
  <si>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</si>
  <si>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</si>
  <si>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</si>
  <si>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</si>
  <si>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</si>
  <si>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</si>
  <si>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</si>
  <si>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</si>
  <si>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</si>
  <si>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</si>
  <si>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</si>
  <si>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 xml:space="preserve">Platagem </t>
  </si>
  <si>
    <t>Gasolina</t>
  </si>
  <si>
    <t>Despesas</t>
  </si>
  <si>
    <t>unid</t>
  </si>
  <si>
    <t>2.2</t>
  </si>
  <si>
    <t>Confeção e Implantação de marcos Padrão INCRA com Plaqueta</t>
  </si>
  <si>
    <t>ha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</si>
  <si>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</si>
  <si>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</si>
  <si>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Projeto de Certificação junto ao Sistema de Gestão Fundiária (SIGF) do INCRA com elaboração e submissão de Planilha ODS junto ao SIGEF, geração de plantas em CAD  e cálulos e memoriais descritivos, declaração conjunta  necessários com impressão em formato ABNT em 3 vias com a elaboração do memorial descritivo, com Anotação de Responsabilidade Técnica -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</si>
</sst>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44" fontId="0" fillId="0" borderId="0" xfId="1" applyFont="1"/>
    <xf numFmtId="0" fontId="5" fillId="3" borderId="1" xfId="0" applyFont="1" applyFill="1" applyBorder="1" applyAlignment="1">
      <alignment horizontal="center"/>
    </xf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7"/>
  <sheetViews>
    <sheetView tabSelected="1" zoomScale="130" zoomScaleNormal="130" workbookViewId="0">
      <selection activeCell="I8" sqref="I8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3.33203125" customWidth="1"/>
    <col min="6" max="6" width="12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v>450</v>
      </c>
      <c r="F3" s="18">
        <f>D3*E3</f>
        <v>450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26</v>
      </c>
      <c r="C5" s="10" t="s">
        <v>25</v>
      </c>
      <c r="D5" s="10">
        <v>3.3210000000000002</v>
      </c>
      <c r="E5" s="18">
        <v>180</v>
      </c>
      <c r="F5" s="18">
        <f>D5*E5</f>
        <v>597.78000000000009</v>
      </c>
    </row>
    <row r="6" spans="1:8" s="5" customFormat="1" ht="25.2" customHeight="1" x14ac:dyDescent="0.3">
      <c r="A6" s="16" t="s">
        <v>23</v>
      </c>
      <c r="B6" s="17" t="s">
        <v>24</v>
      </c>
      <c r="C6" s="10" t="s">
        <v>22</v>
      </c>
      <c r="D6" s="10">
        <v>4</v>
      </c>
      <c r="E6" s="18">
        <v>150</v>
      </c>
      <c r="F6" s="18">
        <f>D6*E6</f>
        <v>600</v>
      </c>
    </row>
    <row r="7" spans="1:8" s="5" customFormat="1" x14ac:dyDescent="0.25">
      <c r="A7" s="28" t="s">
        <v>14</v>
      </c>
      <c r="B7" s="14" t="s">
        <v>15</v>
      </c>
      <c r="C7" s="13"/>
      <c r="D7" s="13"/>
      <c r="E7" s="13"/>
      <c r="F7" s="19"/>
    </row>
    <row r="8" spans="1:8" s="5" customFormat="1" ht="86.4" customHeight="1" x14ac:dyDescent="0.25">
      <c r="A8" s="16" t="s">
        <v>16</v>
      </c>
      <c r="B8" s="20" t="s">
        <v>28</v>
      </c>
      <c r="C8" s="10" t="s">
        <v>27</v>
      </c>
      <c r="D8" s="10">
        <v>2</v>
      </c>
      <c r="E8" s="18">
        <v>900</v>
      </c>
      <c r="F8" s="18">
        <f>D8*E8</f>
        <v>1800</v>
      </c>
    </row>
    <row r="9" spans="1:8" s="5" customFormat="1" x14ac:dyDescent="0.3">
      <c r="A9" s="21"/>
      <c r="B9" s="22" t="s">
        <v>0</v>
      </c>
      <c r="C9" s="21"/>
      <c r="D9" s="21"/>
      <c r="E9" s="21"/>
      <c r="F9" s="23">
        <f>SUM(F2:F8)</f>
        <v>3447.78</v>
      </c>
    </row>
    <row r="10" spans="1:8" s="5" customFormat="1" x14ac:dyDescent="0.3">
      <c r="A10" s="2"/>
      <c r="B10" s="3"/>
      <c r="C10" s="2"/>
      <c r="D10" s="6"/>
      <c r="E10" s="7"/>
      <c r="H10" s="26">
        <f>F11-F9</f>
        <v>-3447.78</v>
      </c>
    </row>
    <row r="11" spans="1:8" s="5" customFormat="1" x14ac:dyDescent="0.3">
      <c r="A11" s="2"/>
      <c r="B11" s="3"/>
      <c r="C11" s="2"/>
      <c r="D11" s="6"/>
      <c r="E11" s="7"/>
      <c r="F11" s="25"/>
    </row>
    <row r="12" spans="1:8" x14ac:dyDescent="0.3">
      <c r="D12" s="1"/>
      <c r="E12" s="4"/>
    </row>
    <row r="13" spans="1:8" x14ac:dyDescent="0.3">
      <c r="E13" t="s">
        <v>21</v>
      </c>
      <c r="F13">
        <v>800</v>
      </c>
    </row>
    <row r="14" spans="1:8" x14ac:dyDescent="0.3">
      <c r="E14" t="s">
        <v>18</v>
      </c>
      <c r="F14">
        <v>170</v>
      </c>
    </row>
    <row r="15" spans="1:8" x14ac:dyDescent="0.3">
      <c r="E15" t="s">
        <v>19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SUM(F13:F16)</f>
        <v>1070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2025-02-18T13:41:57Z</dcterms:modified>
  <cp:category/>
  <cp:contentStatus/>
</cp:coreProperties>
</file>