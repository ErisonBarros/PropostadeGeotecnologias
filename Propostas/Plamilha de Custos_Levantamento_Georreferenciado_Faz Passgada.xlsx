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5" documentId="8_{7FD86505-B563-4C52-99CE-F6B15BBDEEC3}" xr6:coauthVersionLast="47" xr6:coauthVersionMax="47" xr10:uidLastSave="{DB562799-AD36-4A3B-97CA-565AAC6248CB}"/>
  <bookViews>
    <workbookView xWindow="-108" yWindow="-108" windowWidth="23256" windowHeight="12456" firstSheet="4" activeTab="11" xr2:uid="{BF1A5A34-7DC4-43AA-9767-2C716462EE5E}"/>
  </bookViews>
  <sheets>
    <sheet name="ITEM 01" sheetId="1" r:id="rId1"/>
    <sheet name="ITEM 02" sheetId="2" r:id="rId2"/>
    <sheet name="ITEM 03" sheetId="3" r:id="rId3"/>
    <sheet name="ITEM 04" sheetId="4" r:id="rId4"/>
    <sheet name="ITEM 05" sheetId="5" r:id="rId5"/>
    <sheet name="ITEM 06" sheetId="6" r:id="rId6"/>
    <sheet name="ITEM07" sheetId="7" r:id="rId7"/>
    <sheet name="ITEM 08" sheetId="8" r:id="rId8"/>
    <sheet name="ITEM 09" sheetId="9" r:id="rId9"/>
    <sheet name="ITEM 10" sheetId="10" r:id="rId10"/>
    <sheet name="ITEM 11" sheetId="11" r:id="rId11"/>
    <sheet name="ITENS 12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2" l="1"/>
  <c r="F14" i="12"/>
  <c r="F13" i="12"/>
  <c r="F10" i="12"/>
  <c r="F9" i="12"/>
  <c r="F8" i="12"/>
  <c r="F6" i="12"/>
  <c r="F5" i="12"/>
  <c r="F3" i="12"/>
  <c r="F14" i="11"/>
  <c r="F13" i="11"/>
  <c r="F10" i="11"/>
  <c r="F9" i="11"/>
  <c r="F8" i="11"/>
  <c r="F6" i="11"/>
  <c r="F5" i="11"/>
  <c r="F3" i="11"/>
  <c r="F16" i="11" s="1"/>
  <c r="F14" i="10"/>
  <c r="F13" i="10"/>
  <c r="F10" i="10"/>
  <c r="F9" i="10"/>
  <c r="F8" i="10"/>
  <c r="F6" i="10"/>
  <c r="F5" i="10"/>
  <c r="F3" i="10"/>
  <c r="F16" i="10" s="1"/>
  <c r="F14" i="9"/>
  <c r="F13" i="9"/>
  <c r="F10" i="9"/>
  <c r="F9" i="9"/>
  <c r="F8" i="9"/>
  <c r="F6" i="9"/>
  <c r="F5" i="9"/>
  <c r="F3" i="9"/>
  <c r="F16" i="9" s="1"/>
  <c r="F14" i="8"/>
  <c r="F13" i="8"/>
  <c r="F10" i="8"/>
  <c r="F9" i="8"/>
  <c r="F8" i="8"/>
  <c r="F6" i="8"/>
  <c r="F5" i="8"/>
  <c r="F3" i="8"/>
  <c r="F16" i="8" s="1"/>
  <c r="F14" i="7"/>
  <c r="F13" i="7"/>
  <c r="F10" i="7"/>
  <c r="F9" i="7"/>
  <c r="F8" i="7"/>
  <c r="F6" i="7"/>
  <c r="F5" i="7"/>
  <c r="F3" i="7"/>
  <c r="F16" i="7" s="1"/>
  <c r="F14" i="6"/>
  <c r="F13" i="6"/>
  <c r="F10" i="6"/>
  <c r="F9" i="6"/>
  <c r="F8" i="6"/>
  <c r="F6" i="6"/>
  <c r="F5" i="6"/>
  <c r="F3" i="6"/>
  <c r="F14" i="5"/>
  <c r="F13" i="5"/>
  <c r="F10" i="5"/>
  <c r="F9" i="5"/>
  <c r="F8" i="5"/>
  <c r="F6" i="5"/>
  <c r="F5" i="5"/>
  <c r="F3" i="5"/>
  <c r="F16" i="5" s="1"/>
  <c r="F14" i="4"/>
  <c r="F13" i="4"/>
  <c r="F10" i="4"/>
  <c r="F9" i="4"/>
  <c r="F8" i="4"/>
  <c r="F6" i="4"/>
  <c r="F5" i="4"/>
  <c r="F3" i="4"/>
  <c r="F16" i="4" s="1"/>
  <c r="F14" i="3"/>
  <c r="F16" i="3" s="1"/>
  <c r="F13" i="3"/>
  <c r="F10" i="3"/>
  <c r="F9" i="3"/>
  <c r="F8" i="3"/>
  <c r="F6" i="3"/>
  <c r="F5" i="3"/>
  <c r="F3" i="3"/>
  <c r="C25" i="2"/>
  <c r="F14" i="2"/>
  <c r="F13" i="2"/>
  <c r="F10" i="2"/>
  <c r="F9" i="2"/>
  <c r="F8" i="2"/>
  <c r="F6" i="2"/>
  <c r="F5" i="2"/>
  <c r="F3" i="2"/>
  <c r="C25" i="1"/>
  <c r="F14" i="1"/>
  <c r="F13" i="1"/>
  <c r="F10" i="1"/>
  <c r="F6" i="1"/>
  <c r="F9" i="1"/>
  <c r="F8" i="1"/>
  <c r="F5" i="1"/>
  <c r="F3" i="1"/>
  <c r="F16" i="12" l="1"/>
  <c r="F16" i="6"/>
  <c r="F16" i="2"/>
  <c r="F16" i="1"/>
</calcChain>
</file>

<file path=xl/sharedStrings.xml><?xml version="1.0" encoding="utf-8"?>
<sst xmlns="http://schemas.openxmlformats.org/spreadsheetml/2006/main" count="564" uniqueCount="41">
  <si>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</si>
  <si>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</si>
  <si>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</si>
  <si>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</si>
  <si>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</si>
  <si>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</si>
  <si>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</si>
  <si>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</si>
  <si>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</si>
  <si>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</si>
  <si>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</si>
  <si>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</si>
  <si>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</si>
  <si>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</si>
  <si>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>ESCRITÓRIO</t>
  </si>
  <si>
    <t>3.1</t>
  </si>
  <si>
    <t>LEVANTAMENTO TOPOGRÁFICO E INSUMOS DE CAMPO</t>
  </si>
  <si>
    <t>2.2</t>
  </si>
  <si>
    <t>Und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</si>
  <si>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</si>
  <si>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Implantação de Marcos Padrão INCRA  com codificação dos vertices e do credenciado</t>
  </si>
  <si>
    <t>3.0</t>
  </si>
  <si>
    <t>Elaboração de plantas e peças técnicas em CAD e calculos e memoriais descritivos  necessários com impressão em formato ABNT em 3 vias com a elaboração do memorial descritivo, com Anotação de Responsabilidade Técnica - ART</t>
  </si>
  <si>
    <t>Elaboração e Registro do Imóvel no Cadastro Ambiental Rural - CAR no SICAR</t>
  </si>
  <si>
    <t>Criação e Registro do Sistma Nacional de Cadastro de Imóvel Rural SNCR para Emissão anual de CCIR ( Area  Geral, Remanescente e Desmebrada)</t>
  </si>
  <si>
    <t xml:space="preserve">Criação e Registro do Cadastro de Imóvel do Brasil - CIB na Receita Federal do Brasil </t>
  </si>
  <si>
    <t>Regularição o Imposto Territorial Rural - ITR e necessidade de Despachante</t>
  </si>
  <si>
    <t>hectares</t>
  </si>
  <si>
    <t>Elaboração de Planilha ODS para inserção no SIGEF com a Devida Responsabilidade Técnica conforme MTGIR 2° Edição e Lançamento no SIGEF</t>
  </si>
  <si>
    <t>SERVIÇOS DE DESPACHANTE IMOBILIÁRIO</t>
  </si>
  <si>
    <t>4.0</t>
  </si>
  <si>
    <t>4.1</t>
  </si>
  <si>
    <t>4.2</t>
  </si>
  <si>
    <t>4.3</t>
  </si>
  <si>
    <t>DESPESAS:</t>
  </si>
  <si>
    <t xml:space="preserve">Marcos </t>
  </si>
  <si>
    <t>Ajudante</t>
  </si>
  <si>
    <t>Alimentação</t>
  </si>
  <si>
    <t xml:space="preserve">combustivel </t>
  </si>
  <si>
    <t>3.2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</si>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</sst>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0" fillId="0" borderId="0" xfId="0" applyNumberFormat="1"/>
    <xf numFmtId="8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2" fillId="2" borderId="2" xfId="0" applyFont="1" applyFill="1" applyBorder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25"/>
  <sheetViews>
    <sheetView topLeftCell="A8" zoomScale="130" zoomScaleNormal="130" workbookViewId="0">
      <selection activeCell="H12" sqref="H12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90.5</v>
      </c>
      <c r="E5" s="18">
        <v>20</v>
      </c>
      <c r="F5" s="18">
        <f>D5*E5</f>
        <v>1810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5860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f>SUM(C21:C24)</f>
        <v>500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D122-3BD1-4BE5-8A5A-1DDA90464611}">
  <dimension ref="A1:H25"/>
  <sheetViews>
    <sheetView topLeftCell="A8" workbookViewId="0">
      <selection activeCell="D15" sqref="D15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</v>
      </c>
      <c r="E5" s="18">
        <v>25</v>
      </c>
      <c r="F5" s="18">
        <f>D5*E5</f>
        <v>225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f>SUM(C21:C24)</f>
        <v>500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B65C-C201-40F7-BB36-B1D5077ABACC}">
  <dimension ref="A1:H25"/>
  <sheetViews>
    <sheetView topLeftCell="A8" workbookViewId="0">
      <selection activeCell="D15" sqref="D15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40.299999999999997</v>
      </c>
      <c r="E5" s="18">
        <v>25</v>
      </c>
      <c r="F5" s="18">
        <f>D5*E5</f>
        <v>1007.4999999999999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5057.5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E0DD-4FCA-4AE4-93D1-6C6BB62C2DB2}">
  <dimension ref="A1:H25"/>
  <sheetViews>
    <sheetView topLeftCell="A8" workbookViewId="0">
      <selection activeCell="E20" sqref="E20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40.299999999999997</v>
      </c>
      <c r="E5" s="18">
        <v>25</v>
      </c>
      <c r="F5" s="18">
        <f>D5*E5</f>
        <v>1007.4999999999999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5057.5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C291-1C2B-4BE5-BCA8-65EAE1B394EB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</v>
      </c>
      <c r="E5" s="18">
        <v>25</v>
      </c>
      <c r="F5" s="18">
        <f>D5*E5</f>
        <v>225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3BE7-2D21-4239-B2E9-B53E3133F35E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7</v>
      </c>
      <c r="E5" s="18">
        <v>25</v>
      </c>
      <c r="F5" s="18">
        <f>D5*E5</f>
        <v>175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4225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553F-3085-4C75-9E16-590EEEF91A14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1.8</v>
      </c>
      <c r="E5" s="18">
        <v>25</v>
      </c>
      <c r="F5" s="18">
        <f>D5*E5</f>
        <v>45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4095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B1B7-1648-4433-9EFF-0C995147008B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3.6</v>
      </c>
      <c r="E5" s="18">
        <v>25</v>
      </c>
      <c r="F5" s="18">
        <f>D5*E5</f>
        <v>90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4140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F8D9-4221-45CE-9B17-28C9CD7D6A9E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100</v>
      </c>
      <c r="E5" s="18">
        <v>35</v>
      </c>
      <c r="F5" s="18">
        <f>D5*E5</f>
        <v>3500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7550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C8A5-0AE6-409E-87E5-C92661AD1DE6}">
  <dimension ref="A1:H25"/>
  <sheetViews>
    <sheetView topLeftCell="A8" workbookViewId="0">
      <selection activeCell="C26" sqref="C2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120</v>
      </c>
      <c r="E5" s="18">
        <v>35</v>
      </c>
      <c r="F5" s="18">
        <f>D5*E5</f>
        <v>4200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8250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2F13-52E9-49B7-BEB2-24FD66346C41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10</v>
      </c>
      <c r="E5" s="18">
        <v>25</v>
      </c>
      <c r="F5" s="18">
        <f>D5*E5</f>
        <v>250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4300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32B2-5EAD-4FA1-8ED9-8E63D7BEB282}">
  <dimension ref="A1:H26"/>
  <sheetViews>
    <sheetView tabSelected="1"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550</v>
      </c>
      <c r="F3" s="11">
        <f>D3*E3</f>
        <v>550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7.5</v>
      </c>
      <c r="E5" s="18">
        <v>35</v>
      </c>
      <c r="F5" s="18">
        <f>D5*E5</f>
        <v>262.5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250</v>
      </c>
      <c r="F8" s="18">
        <f>D8*E8</f>
        <v>250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250</v>
      </c>
      <c r="F9" s="18">
        <f>D9*E9</f>
        <v>250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500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3512.5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100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f>SUM(C21:C24)</f>
        <v>510</v>
      </c>
    </row>
    <row r="26" spans="1:8" x14ac:dyDescent="0.3">
      <c r="C26" s="2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ITEM 01</vt:lpstr>
      <vt:lpstr>ITEM 02</vt:lpstr>
      <vt:lpstr>ITEM 03</vt:lpstr>
      <vt:lpstr>ITEM 04</vt:lpstr>
      <vt:lpstr>ITEM 05</vt:lpstr>
      <vt:lpstr>ITEM 06</vt:lpstr>
      <vt:lpstr>ITEM07</vt:lpstr>
      <vt:lpstr>ITEM 08</vt:lpstr>
      <vt:lpstr>ITEM 09</vt:lpstr>
      <vt:lpstr>ITEM 10</vt:lpstr>
      <vt:lpstr>ITEM 11</vt:lpstr>
      <vt:lpstr>ITENS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2025-09-22T10:22:59Z</dcterms:modified>
  <cp:category/>
  <cp:contentStatus/>
</cp:coreProperties>
</file>