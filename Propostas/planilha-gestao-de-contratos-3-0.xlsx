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B3B4E9DB-6390-47BE-8C16-77EAE507899A}" xr6:coauthVersionLast="47" xr6:coauthVersionMax="47" xr10:uidLastSave="{00000000-0000-0000-0000-000000000000}"/>
  <bookViews>
    <workbookView xWindow="28680" yWindow="-120" windowWidth="21840" windowHeight="13020" tabRatio="850" xr2:uid="{00000000-000D-0000-FFFF-FFFF00000000}"/>
  </bookViews>
  <sheets>
    <sheet name="Como utilizar essa planilha" sheetId="1" r:id="rId1"/>
    <sheet name="Dashboard dos Contratos" sheetId="6" r:id="rId2"/>
    <sheet name="Cadastro de Clientes" sheetId="2" r:id="rId3"/>
    <sheet name="Outros Cadastros" sheetId="3" r:id="rId4"/>
    <sheet name="Registro de Contratos" sheetId="4" r:id="rId5"/>
    <sheet name="Recebimentos" sheetId="5" r:id="rId6"/>
  </sheets>
  <definedNames>
    <definedName name="_xlnm._FilterDatabase" localSheetId="2" hidden="1">'Cadastro de Clientes'!$B$4:$H$997</definedName>
    <definedName name="_xlnm._FilterDatabase" localSheetId="4" hidden="1">'Registro de Contratos'!$B$4:$P$100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6" l="1"/>
  <c r="O7" i="6"/>
  <c r="O6" i="6"/>
  <c r="O5" i="6"/>
  <c r="C7" i="6"/>
  <c r="C6" i="6"/>
  <c r="C5" i="6"/>
  <c r="K119" i="4"/>
  <c r="K117" i="4"/>
  <c r="K116" i="4"/>
  <c r="K114" i="4"/>
  <c r="K113" i="4"/>
  <c r="K112" i="4"/>
  <c r="K111" i="4"/>
  <c r="K122" i="4"/>
  <c r="K123" i="4"/>
  <c r="K121" i="4"/>
  <c r="K120" i="4"/>
  <c r="K118" i="4"/>
  <c r="K115" i="4"/>
  <c r="K109" i="4"/>
  <c r="K108" i="4"/>
  <c r="K107" i="4"/>
  <c r="K106" i="4"/>
  <c r="A5" i="5"/>
  <c r="I22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I16" i="4"/>
  <c r="I17" i="4"/>
  <c r="I18" i="4"/>
  <c r="I19" i="4"/>
  <c r="I20" i="4"/>
  <c r="I21" i="4"/>
  <c r="I23" i="4"/>
  <c r="I24" i="4"/>
  <c r="I25" i="4"/>
  <c r="I26" i="4"/>
  <c r="J14" i="4"/>
  <c r="J13" i="4"/>
  <c r="I15" i="4"/>
  <c r="J15" i="4" s="1"/>
  <c r="O2" i="4"/>
  <c r="L14" i="4" s="1"/>
  <c r="K14" i="4" s="1"/>
  <c r="I6" i="4"/>
  <c r="I7" i="4"/>
  <c r="J7" i="4" s="1"/>
  <c r="I8" i="4"/>
  <c r="J10" i="4"/>
  <c r="I5" i="4"/>
  <c r="J5" i="4" s="1"/>
  <c r="J11" i="4"/>
  <c r="J9" i="4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N1002" i="5"/>
  <c r="A1002" i="5"/>
  <c r="N1001" i="5"/>
  <c r="A1001" i="5"/>
  <c r="N1000" i="5"/>
  <c r="A1000" i="5"/>
  <c r="N999" i="5"/>
  <c r="A999" i="5"/>
  <c r="N998" i="5"/>
  <c r="A998" i="5"/>
  <c r="N997" i="5"/>
  <c r="A997" i="5"/>
  <c r="N996" i="5"/>
  <c r="A996" i="5"/>
  <c r="N995" i="5"/>
  <c r="A995" i="5"/>
  <c r="N994" i="5"/>
  <c r="A994" i="5"/>
  <c r="N993" i="5"/>
  <c r="A993" i="5"/>
  <c r="N992" i="5"/>
  <c r="A992" i="5"/>
  <c r="N991" i="5"/>
  <c r="A991" i="5"/>
  <c r="N990" i="5"/>
  <c r="A990" i="5"/>
  <c r="N989" i="5"/>
  <c r="A989" i="5"/>
  <c r="N988" i="5"/>
  <c r="A988" i="5"/>
  <c r="N987" i="5"/>
  <c r="A987" i="5"/>
  <c r="N986" i="5"/>
  <c r="A986" i="5"/>
  <c r="N985" i="5"/>
  <c r="A985" i="5"/>
  <c r="N984" i="5"/>
  <c r="A984" i="5"/>
  <c r="N983" i="5"/>
  <c r="A983" i="5"/>
  <c r="N982" i="5"/>
  <c r="A982" i="5"/>
  <c r="N981" i="5"/>
  <c r="A981" i="5"/>
  <c r="N980" i="5"/>
  <c r="A980" i="5"/>
  <c r="N979" i="5"/>
  <c r="A979" i="5"/>
  <c r="N978" i="5"/>
  <c r="A978" i="5"/>
  <c r="N977" i="5"/>
  <c r="A977" i="5"/>
  <c r="N976" i="5"/>
  <c r="A976" i="5"/>
  <c r="N975" i="5"/>
  <c r="A975" i="5"/>
  <c r="N974" i="5"/>
  <c r="A974" i="5"/>
  <c r="N973" i="5"/>
  <c r="A973" i="5"/>
  <c r="N972" i="5"/>
  <c r="A972" i="5"/>
  <c r="N971" i="5"/>
  <c r="A971" i="5"/>
  <c r="N970" i="5"/>
  <c r="A970" i="5"/>
  <c r="N969" i="5"/>
  <c r="A969" i="5"/>
  <c r="N968" i="5"/>
  <c r="A968" i="5"/>
  <c r="N967" i="5"/>
  <c r="A967" i="5"/>
  <c r="N966" i="5"/>
  <c r="A966" i="5"/>
  <c r="N965" i="5"/>
  <c r="A965" i="5"/>
  <c r="N964" i="5"/>
  <c r="A964" i="5"/>
  <c r="N963" i="5"/>
  <c r="A963" i="5"/>
  <c r="N962" i="5"/>
  <c r="A962" i="5"/>
  <c r="N961" i="5"/>
  <c r="A961" i="5"/>
  <c r="N960" i="5"/>
  <c r="A960" i="5"/>
  <c r="N959" i="5"/>
  <c r="A959" i="5"/>
  <c r="N958" i="5"/>
  <c r="A958" i="5"/>
  <c r="N957" i="5"/>
  <c r="A957" i="5"/>
  <c r="N956" i="5"/>
  <c r="A956" i="5"/>
  <c r="N955" i="5"/>
  <c r="A955" i="5"/>
  <c r="N954" i="5"/>
  <c r="A954" i="5"/>
  <c r="N953" i="5"/>
  <c r="A953" i="5"/>
  <c r="N952" i="5"/>
  <c r="A952" i="5"/>
  <c r="N951" i="5"/>
  <c r="A951" i="5"/>
  <c r="N950" i="5"/>
  <c r="A950" i="5"/>
  <c r="N949" i="5"/>
  <c r="A949" i="5"/>
  <c r="N948" i="5"/>
  <c r="A948" i="5"/>
  <c r="N947" i="5"/>
  <c r="A947" i="5"/>
  <c r="N946" i="5"/>
  <c r="A946" i="5"/>
  <c r="N945" i="5"/>
  <c r="A945" i="5"/>
  <c r="N944" i="5"/>
  <c r="A944" i="5"/>
  <c r="N943" i="5"/>
  <c r="A943" i="5"/>
  <c r="N942" i="5"/>
  <c r="A942" i="5"/>
  <c r="N941" i="5"/>
  <c r="A941" i="5"/>
  <c r="N940" i="5"/>
  <c r="A940" i="5"/>
  <c r="N939" i="5"/>
  <c r="A939" i="5"/>
  <c r="N938" i="5"/>
  <c r="A938" i="5"/>
  <c r="N937" i="5"/>
  <c r="A937" i="5"/>
  <c r="N936" i="5"/>
  <c r="A936" i="5"/>
  <c r="N935" i="5"/>
  <c r="A935" i="5"/>
  <c r="N934" i="5"/>
  <c r="A934" i="5"/>
  <c r="N933" i="5"/>
  <c r="A933" i="5"/>
  <c r="N932" i="5"/>
  <c r="A932" i="5"/>
  <c r="N931" i="5"/>
  <c r="A931" i="5"/>
  <c r="N930" i="5"/>
  <c r="A930" i="5"/>
  <c r="N929" i="5"/>
  <c r="A929" i="5"/>
  <c r="N928" i="5"/>
  <c r="A928" i="5"/>
  <c r="N927" i="5"/>
  <c r="A927" i="5"/>
  <c r="N926" i="5"/>
  <c r="A926" i="5"/>
  <c r="N925" i="5"/>
  <c r="A925" i="5"/>
  <c r="N924" i="5"/>
  <c r="A924" i="5"/>
  <c r="N923" i="5"/>
  <c r="A923" i="5"/>
  <c r="N922" i="5"/>
  <c r="A922" i="5"/>
  <c r="N921" i="5"/>
  <c r="A921" i="5"/>
  <c r="N920" i="5"/>
  <c r="A920" i="5"/>
  <c r="N919" i="5"/>
  <c r="A919" i="5"/>
  <c r="N918" i="5"/>
  <c r="A918" i="5"/>
  <c r="N917" i="5"/>
  <c r="A917" i="5"/>
  <c r="N916" i="5"/>
  <c r="A916" i="5"/>
  <c r="N915" i="5"/>
  <c r="A915" i="5"/>
  <c r="N914" i="5"/>
  <c r="A914" i="5"/>
  <c r="N913" i="5"/>
  <c r="A913" i="5"/>
  <c r="N912" i="5"/>
  <c r="A912" i="5"/>
  <c r="N911" i="5"/>
  <c r="A911" i="5"/>
  <c r="N910" i="5"/>
  <c r="A910" i="5"/>
  <c r="N909" i="5"/>
  <c r="A909" i="5"/>
  <c r="N908" i="5"/>
  <c r="A908" i="5"/>
  <c r="N907" i="5"/>
  <c r="A907" i="5"/>
  <c r="N906" i="5"/>
  <c r="A906" i="5"/>
  <c r="N905" i="5"/>
  <c r="A905" i="5"/>
  <c r="N904" i="5"/>
  <c r="A904" i="5"/>
  <c r="N903" i="5"/>
  <c r="A903" i="5"/>
  <c r="N902" i="5"/>
  <c r="A902" i="5"/>
  <c r="N901" i="5"/>
  <c r="A901" i="5"/>
  <c r="N900" i="5"/>
  <c r="A900" i="5"/>
  <c r="N899" i="5"/>
  <c r="A899" i="5"/>
  <c r="N898" i="5"/>
  <c r="A898" i="5"/>
  <c r="N897" i="5"/>
  <c r="A897" i="5"/>
  <c r="N896" i="5"/>
  <c r="A896" i="5"/>
  <c r="N895" i="5"/>
  <c r="A895" i="5"/>
  <c r="N894" i="5"/>
  <c r="A894" i="5"/>
  <c r="N893" i="5"/>
  <c r="A893" i="5"/>
  <c r="N892" i="5"/>
  <c r="A892" i="5"/>
  <c r="N891" i="5"/>
  <c r="A891" i="5"/>
  <c r="N890" i="5"/>
  <c r="A890" i="5"/>
  <c r="N889" i="5"/>
  <c r="A889" i="5"/>
  <c r="N888" i="5"/>
  <c r="A888" i="5"/>
  <c r="N887" i="5"/>
  <c r="A887" i="5"/>
  <c r="N886" i="5"/>
  <c r="A886" i="5"/>
  <c r="N885" i="5"/>
  <c r="A885" i="5"/>
  <c r="N884" i="5"/>
  <c r="A884" i="5"/>
  <c r="N883" i="5"/>
  <c r="A883" i="5"/>
  <c r="N882" i="5"/>
  <c r="A882" i="5"/>
  <c r="N881" i="5"/>
  <c r="A881" i="5"/>
  <c r="N880" i="5"/>
  <c r="A880" i="5"/>
  <c r="N879" i="5"/>
  <c r="A879" i="5"/>
  <c r="N878" i="5"/>
  <c r="A878" i="5"/>
  <c r="N877" i="5"/>
  <c r="A877" i="5"/>
  <c r="N876" i="5"/>
  <c r="A876" i="5"/>
  <c r="N875" i="5"/>
  <c r="A875" i="5"/>
  <c r="N874" i="5"/>
  <c r="A874" i="5"/>
  <c r="N873" i="5"/>
  <c r="A873" i="5"/>
  <c r="N872" i="5"/>
  <c r="A872" i="5"/>
  <c r="N871" i="5"/>
  <c r="A871" i="5"/>
  <c r="N870" i="5"/>
  <c r="A870" i="5"/>
  <c r="N869" i="5"/>
  <c r="A869" i="5"/>
  <c r="N868" i="5"/>
  <c r="A868" i="5"/>
  <c r="N867" i="5"/>
  <c r="A867" i="5"/>
  <c r="N866" i="5"/>
  <c r="A866" i="5"/>
  <c r="N865" i="5"/>
  <c r="A865" i="5"/>
  <c r="N864" i="5"/>
  <c r="A864" i="5"/>
  <c r="N863" i="5"/>
  <c r="A863" i="5"/>
  <c r="N862" i="5"/>
  <c r="A862" i="5"/>
  <c r="N861" i="5"/>
  <c r="A861" i="5"/>
  <c r="N860" i="5"/>
  <c r="A860" i="5"/>
  <c r="N859" i="5"/>
  <c r="A859" i="5"/>
  <c r="N858" i="5"/>
  <c r="A858" i="5"/>
  <c r="N857" i="5"/>
  <c r="A857" i="5"/>
  <c r="N856" i="5"/>
  <c r="A856" i="5"/>
  <c r="N855" i="5"/>
  <c r="A855" i="5"/>
  <c r="N854" i="5"/>
  <c r="A854" i="5"/>
  <c r="N853" i="5"/>
  <c r="A853" i="5"/>
  <c r="N852" i="5"/>
  <c r="A852" i="5"/>
  <c r="N851" i="5"/>
  <c r="A851" i="5"/>
  <c r="N850" i="5"/>
  <c r="A850" i="5"/>
  <c r="N849" i="5"/>
  <c r="A849" i="5"/>
  <c r="N848" i="5"/>
  <c r="A848" i="5"/>
  <c r="N847" i="5"/>
  <c r="A847" i="5"/>
  <c r="N846" i="5"/>
  <c r="A846" i="5"/>
  <c r="N845" i="5"/>
  <c r="A845" i="5"/>
  <c r="N844" i="5"/>
  <c r="A844" i="5"/>
  <c r="N843" i="5"/>
  <c r="A843" i="5"/>
  <c r="N842" i="5"/>
  <c r="A842" i="5"/>
  <c r="N841" i="5"/>
  <c r="A841" i="5"/>
  <c r="N840" i="5"/>
  <c r="A840" i="5"/>
  <c r="N839" i="5"/>
  <c r="A839" i="5"/>
  <c r="N838" i="5"/>
  <c r="A838" i="5"/>
  <c r="N837" i="5"/>
  <c r="A837" i="5"/>
  <c r="N836" i="5"/>
  <c r="A836" i="5"/>
  <c r="N835" i="5"/>
  <c r="A835" i="5"/>
  <c r="N834" i="5"/>
  <c r="A834" i="5"/>
  <c r="N833" i="5"/>
  <c r="A833" i="5"/>
  <c r="N832" i="5"/>
  <c r="A832" i="5"/>
  <c r="N831" i="5"/>
  <c r="A831" i="5"/>
  <c r="N830" i="5"/>
  <c r="A830" i="5"/>
  <c r="N829" i="5"/>
  <c r="A829" i="5"/>
  <c r="N828" i="5"/>
  <c r="A828" i="5"/>
  <c r="N827" i="5"/>
  <c r="A827" i="5"/>
  <c r="N826" i="5"/>
  <c r="A826" i="5"/>
  <c r="N825" i="5"/>
  <c r="A825" i="5"/>
  <c r="N824" i="5"/>
  <c r="A824" i="5"/>
  <c r="N823" i="5"/>
  <c r="A823" i="5"/>
  <c r="N822" i="5"/>
  <c r="A822" i="5"/>
  <c r="N821" i="5"/>
  <c r="A821" i="5"/>
  <c r="N820" i="5"/>
  <c r="A820" i="5"/>
  <c r="N819" i="5"/>
  <c r="A819" i="5"/>
  <c r="N818" i="5"/>
  <c r="A818" i="5"/>
  <c r="N817" i="5"/>
  <c r="A817" i="5"/>
  <c r="N816" i="5"/>
  <c r="A816" i="5"/>
  <c r="N815" i="5"/>
  <c r="A815" i="5"/>
  <c r="N814" i="5"/>
  <c r="A814" i="5"/>
  <c r="N813" i="5"/>
  <c r="A813" i="5"/>
  <c r="N812" i="5"/>
  <c r="A812" i="5"/>
  <c r="N811" i="5"/>
  <c r="A811" i="5"/>
  <c r="N810" i="5"/>
  <c r="A810" i="5"/>
  <c r="N809" i="5"/>
  <c r="A809" i="5"/>
  <c r="N808" i="5"/>
  <c r="A808" i="5"/>
  <c r="N807" i="5"/>
  <c r="A807" i="5"/>
  <c r="N806" i="5"/>
  <c r="A806" i="5"/>
  <c r="N805" i="5"/>
  <c r="A805" i="5"/>
  <c r="N804" i="5"/>
  <c r="A804" i="5"/>
  <c r="N803" i="5"/>
  <c r="A803" i="5"/>
  <c r="N802" i="5"/>
  <c r="A802" i="5"/>
  <c r="N801" i="5"/>
  <c r="A801" i="5"/>
  <c r="N800" i="5"/>
  <c r="A800" i="5"/>
  <c r="N799" i="5"/>
  <c r="A799" i="5"/>
  <c r="N798" i="5"/>
  <c r="A798" i="5"/>
  <c r="N797" i="5"/>
  <c r="A797" i="5"/>
  <c r="N796" i="5"/>
  <c r="A796" i="5"/>
  <c r="N795" i="5"/>
  <c r="A795" i="5"/>
  <c r="N794" i="5"/>
  <c r="A794" i="5"/>
  <c r="N793" i="5"/>
  <c r="A793" i="5"/>
  <c r="N792" i="5"/>
  <c r="A792" i="5"/>
  <c r="N791" i="5"/>
  <c r="A791" i="5"/>
  <c r="N790" i="5"/>
  <c r="A790" i="5"/>
  <c r="N789" i="5"/>
  <c r="A789" i="5"/>
  <c r="N788" i="5"/>
  <c r="A788" i="5"/>
  <c r="N787" i="5"/>
  <c r="A787" i="5"/>
  <c r="N786" i="5"/>
  <c r="A786" i="5"/>
  <c r="N785" i="5"/>
  <c r="A785" i="5"/>
  <c r="N784" i="5"/>
  <c r="A784" i="5"/>
  <c r="N783" i="5"/>
  <c r="A783" i="5"/>
  <c r="N782" i="5"/>
  <c r="A782" i="5"/>
  <c r="N781" i="5"/>
  <c r="A781" i="5"/>
  <c r="N780" i="5"/>
  <c r="A780" i="5"/>
  <c r="N779" i="5"/>
  <c r="A779" i="5"/>
  <c r="N778" i="5"/>
  <c r="A778" i="5"/>
  <c r="N777" i="5"/>
  <c r="A777" i="5"/>
  <c r="N776" i="5"/>
  <c r="A776" i="5"/>
  <c r="N775" i="5"/>
  <c r="A775" i="5"/>
  <c r="N774" i="5"/>
  <c r="A774" i="5"/>
  <c r="N773" i="5"/>
  <c r="A773" i="5"/>
  <c r="N772" i="5"/>
  <c r="A772" i="5"/>
  <c r="N771" i="5"/>
  <c r="A771" i="5"/>
  <c r="N770" i="5"/>
  <c r="A770" i="5"/>
  <c r="N769" i="5"/>
  <c r="A769" i="5"/>
  <c r="N768" i="5"/>
  <c r="A768" i="5"/>
  <c r="N767" i="5"/>
  <c r="A767" i="5"/>
  <c r="N766" i="5"/>
  <c r="A766" i="5"/>
  <c r="N765" i="5"/>
  <c r="A765" i="5"/>
  <c r="N764" i="5"/>
  <c r="A764" i="5"/>
  <c r="N763" i="5"/>
  <c r="A763" i="5"/>
  <c r="N762" i="5"/>
  <c r="A762" i="5"/>
  <c r="N761" i="5"/>
  <c r="A761" i="5"/>
  <c r="N760" i="5"/>
  <c r="A760" i="5"/>
  <c r="N759" i="5"/>
  <c r="A759" i="5"/>
  <c r="N758" i="5"/>
  <c r="A758" i="5"/>
  <c r="N757" i="5"/>
  <c r="A757" i="5"/>
  <c r="N756" i="5"/>
  <c r="A756" i="5"/>
  <c r="N755" i="5"/>
  <c r="A755" i="5"/>
  <c r="N754" i="5"/>
  <c r="A754" i="5"/>
  <c r="N753" i="5"/>
  <c r="A753" i="5"/>
  <c r="N752" i="5"/>
  <c r="A752" i="5"/>
  <c r="N751" i="5"/>
  <c r="A751" i="5"/>
  <c r="N750" i="5"/>
  <c r="A750" i="5"/>
  <c r="N749" i="5"/>
  <c r="A749" i="5"/>
  <c r="N748" i="5"/>
  <c r="A748" i="5"/>
  <c r="N747" i="5"/>
  <c r="A747" i="5"/>
  <c r="N746" i="5"/>
  <c r="A746" i="5"/>
  <c r="N745" i="5"/>
  <c r="A745" i="5"/>
  <c r="N744" i="5"/>
  <c r="A744" i="5"/>
  <c r="N743" i="5"/>
  <c r="A743" i="5"/>
  <c r="N742" i="5"/>
  <c r="A742" i="5"/>
  <c r="N741" i="5"/>
  <c r="A741" i="5"/>
  <c r="N740" i="5"/>
  <c r="A740" i="5"/>
  <c r="N739" i="5"/>
  <c r="A739" i="5"/>
  <c r="N738" i="5"/>
  <c r="A738" i="5"/>
  <c r="N737" i="5"/>
  <c r="A737" i="5"/>
  <c r="N736" i="5"/>
  <c r="A736" i="5"/>
  <c r="N735" i="5"/>
  <c r="A735" i="5"/>
  <c r="N734" i="5"/>
  <c r="A734" i="5"/>
  <c r="N733" i="5"/>
  <c r="A733" i="5"/>
  <c r="N732" i="5"/>
  <c r="A732" i="5"/>
  <c r="N731" i="5"/>
  <c r="A731" i="5"/>
  <c r="N730" i="5"/>
  <c r="A730" i="5"/>
  <c r="N729" i="5"/>
  <c r="A729" i="5"/>
  <c r="N728" i="5"/>
  <c r="A728" i="5"/>
  <c r="N727" i="5"/>
  <c r="A727" i="5"/>
  <c r="N726" i="5"/>
  <c r="A726" i="5"/>
  <c r="N725" i="5"/>
  <c r="A725" i="5"/>
  <c r="N724" i="5"/>
  <c r="A724" i="5"/>
  <c r="N723" i="5"/>
  <c r="A723" i="5"/>
  <c r="N722" i="5"/>
  <c r="A722" i="5"/>
  <c r="N721" i="5"/>
  <c r="A721" i="5"/>
  <c r="N720" i="5"/>
  <c r="A720" i="5"/>
  <c r="N719" i="5"/>
  <c r="A719" i="5"/>
  <c r="N718" i="5"/>
  <c r="A718" i="5"/>
  <c r="N717" i="5"/>
  <c r="A717" i="5"/>
  <c r="N716" i="5"/>
  <c r="A716" i="5"/>
  <c r="N715" i="5"/>
  <c r="A715" i="5"/>
  <c r="N714" i="5"/>
  <c r="A714" i="5"/>
  <c r="N713" i="5"/>
  <c r="A713" i="5"/>
  <c r="N712" i="5"/>
  <c r="A712" i="5"/>
  <c r="N711" i="5"/>
  <c r="A711" i="5"/>
  <c r="N710" i="5"/>
  <c r="A710" i="5"/>
  <c r="N709" i="5"/>
  <c r="A709" i="5"/>
  <c r="N708" i="5"/>
  <c r="A708" i="5"/>
  <c r="N707" i="5"/>
  <c r="A707" i="5"/>
  <c r="N706" i="5"/>
  <c r="A706" i="5"/>
  <c r="N705" i="5"/>
  <c r="A705" i="5"/>
  <c r="N704" i="5"/>
  <c r="A704" i="5"/>
  <c r="N703" i="5"/>
  <c r="A703" i="5"/>
  <c r="N702" i="5"/>
  <c r="A702" i="5"/>
  <c r="N701" i="5"/>
  <c r="A701" i="5"/>
  <c r="N700" i="5"/>
  <c r="A700" i="5"/>
  <c r="N699" i="5"/>
  <c r="A699" i="5"/>
  <c r="N698" i="5"/>
  <c r="A698" i="5"/>
  <c r="N697" i="5"/>
  <c r="A697" i="5"/>
  <c r="N696" i="5"/>
  <c r="A696" i="5"/>
  <c r="N695" i="5"/>
  <c r="A695" i="5"/>
  <c r="N694" i="5"/>
  <c r="A694" i="5"/>
  <c r="N693" i="5"/>
  <c r="A693" i="5"/>
  <c r="N692" i="5"/>
  <c r="A692" i="5"/>
  <c r="N691" i="5"/>
  <c r="A691" i="5"/>
  <c r="N690" i="5"/>
  <c r="A690" i="5"/>
  <c r="N689" i="5"/>
  <c r="A689" i="5"/>
  <c r="N688" i="5"/>
  <c r="A688" i="5"/>
  <c r="N687" i="5"/>
  <c r="A687" i="5"/>
  <c r="N686" i="5"/>
  <c r="A686" i="5"/>
  <c r="N685" i="5"/>
  <c r="A685" i="5"/>
  <c r="N684" i="5"/>
  <c r="A684" i="5"/>
  <c r="N683" i="5"/>
  <c r="A683" i="5"/>
  <c r="N682" i="5"/>
  <c r="A682" i="5"/>
  <c r="N681" i="5"/>
  <c r="A681" i="5"/>
  <c r="N680" i="5"/>
  <c r="A680" i="5"/>
  <c r="N679" i="5"/>
  <c r="A679" i="5"/>
  <c r="N678" i="5"/>
  <c r="A678" i="5"/>
  <c r="N677" i="5"/>
  <c r="A677" i="5"/>
  <c r="N676" i="5"/>
  <c r="A676" i="5"/>
  <c r="N675" i="5"/>
  <c r="A675" i="5"/>
  <c r="N674" i="5"/>
  <c r="A674" i="5"/>
  <c r="N673" i="5"/>
  <c r="A673" i="5"/>
  <c r="N672" i="5"/>
  <c r="A672" i="5"/>
  <c r="N671" i="5"/>
  <c r="A671" i="5"/>
  <c r="N670" i="5"/>
  <c r="A670" i="5"/>
  <c r="N669" i="5"/>
  <c r="A669" i="5"/>
  <c r="N668" i="5"/>
  <c r="A668" i="5"/>
  <c r="N667" i="5"/>
  <c r="A667" i="5"/>
  <c r="N666" i="5"/>
  <c r="A666" i="5"/>
  <c r="N665" i="5"/>
  <c r="A665" i="5"/>
  <c r="N664" i="5"/>
  <c r="A664" i="5"/>
  <c r="N663" i="5"/>
  <c r="A663" i="5"/>
  <c r="N662" i="5"/>
  <c r="A662" i="5"/>
  <c r="N661" i="5"/>
  <c r="A661" i="5"/>
  <c r="N660" i="5"/>
  <c r="A660" i="5"/>
  <c r="N659" i="5"/>
  <c r="A659" i="5"/>
  <c r="N658" i="5"/>
  <c r="A658" i="5"/>
  <c r="N657" i="5"/>
  <c r="A657" i="5"/>
  <c r="N656" i="5"/>
  <c r="A656" i="5"/>
  <c r="N655" i="5"/>
  <c r="A655" i="5"/>
  <c r="N654" i="5"/>
  <c r="A654" i="5"/>
  <c r="N653" i="5"/>
  <c r="A653" i="5"/>
  <c r="N652" i="5"/>
  <c r="A652" i="5"/>
  <c r="N651" i="5"/>
  <c r="A651" i="5"/>
  <c r="N650" i="5"/>
  <c r="A650" i="5"/>
  <c r="N649" i="5"/>
  <c r="A649" i="5"/>
  <c r="N648" i="5"/>
  <c r="A648" i="5"/>
  <c r="N647" i="5"/>
  <c r="A647" i="5"/>
  <c r="N646" i="5"/>
  <c r="A646" i="5"/>
  <c r="N645" i="5"/>
  <c r="A645" i="5"/>
  <c r="N644" i="5"/>
  <c r="A644" i="5"/>
  <c r="N643" i="5"/>
  <c r="A643" i="5"/>
  <c r="N642" i="5"/>
  <c r="A642" i="5"/>
  <c r="N641" i="5"/>
  <c r="A641" i="5"/>
  <c r="N640" i="5"/>
  <c r="A640" i="5"/>
  <c r="N639" i="5"/>
  <c r="A639" i="5"/>
  <c r="N638" i="5"/>
  <c r="A638" i="5"/>
  <c r="N637" i="5"/>
  <c r="A637" i="5"/>
  <c r="N636" i="5"/>
  <c r="A636" i="5"/>
  <c r="N635" i="5"/>
  <c r="A635" i="5"/>
  <c r="N634" i="5"/>
  <c r="A634" i="5"/>
  <c r="N633" i="5"/>
  <c r="A633" i="5"/>
  <c r="N632" i="5"/>
  <c r="A632" i="5"/>
  <c r="N631" i="5"/>
  <c r="A631" i="5"/>
  <c r="N630" i="5"/>
  <c r="A630" i="5"/>
  <c r="N629" i="5"/>
  <c r="A629" i="5"/>
  <c r="N628" i="5"/>
  <c r="A628" i="5"/>
  <c r="N627" i="5"/>
  <c r="A627" i="5"/>
  <c r="N626" i="5"/>
  <c r="A626" i="5"/>
  <c r="N625" i="5"/>
  <c r="A625" i="5"/>
  <c r="N624" i="5"/>
  <c r="A624" i="5"/>
  <c r="N623" i="5"/>
  <c r="A623" i="5"/>
  <c r="N622" i="5"/>
  <c r="A622" i="5"/>
  <c r="N621" i="5"/>
  <c r="A621" i="5"/>
  <c r="N620" i="5"/>
  <c r="A620" i="5"/>
  <c r="N619" i="5"/>
  <c r="A619" i="5"/>
  <c r="N618" i="5"/>
  <c r="A618" i="5"/>
  <c r="N617" i="5"/>
  <c r="A617" i="5"/>
  <c r="N616" i="5"/>
  <c r="A616" i="5"/>
  <c r="N615" i="5"/>
  <c r="A615" i="5"/>
  <c r="N614" i="5"/>
  <c r="A614" i="5"/>
  <c r="N613" i="5"/>
  <c r="A613" i="5"/>
  <c r="N612" i="5"/>
  <c r="A612" i="5"/>
  <c r="N611" i="5"/>
  <c r="A611" i="5"/>
  <c r="N610" i="5"/>
  <c r="A610" i="5"/>
  <c r="N609" i="5"/>
  <c r="A609" i="5"/>
  <c r="N608" i="5"/>
  <c r="A608" i="5"/>
  <c r="N607" i="5"/>
  <c r="A607" i="5"/>
  <c r="N606" i="5"/>
  <c r="A606" i="5"/>
  <c r="N605" i="5"/>
  <c r="A605" i="5"/>
  <c r="N604" i="5"/>
  <c r="A604" i="5"/>
  <c r="N603" i="5"/>
  <c r="A603" i="5"/>
  <c r="N602" i="5"/>
  <c r="A602" i="5"/>
  <c r="N601" i="5"/>
  <c r="A601" i="5"/>
  <c r="N600" i="5"/>
  <c r="A600" i="5"/>
  <c r="N599" i="5"/>
  <c r="A599" i="5"/>
  <c r="N598" i="5"/>
  <c r="A598" i="5"/>
  <c r="N597" i="5"/>
  <c r="A597" i="5"/>
  <c r="N596" i="5"/>
  <c r="A596" i="5"/>
  <c r="N595" i="5"/>
  <c r="A595" i="5"/>
  <c r="N594" i="5"/>
  <c r="A594" i="5"/>
  <c r="N593" i="5"/>
  <c r="A593" i="5"/>
  <c r="N592" i="5"/>
  <c r="A592" i="5"/>
  <c r="N591" i="5"/>
  <c r="A591" i="5"/>
  <c r="N590" i="5"/>
  <c r="A590" i="5"/>
  <c r="N589" i="5"/>
  <c r="A589" i="5"/>
  <c r="N588" i="5"/>
  <c r="A588" i="5"/>
  <c r="N587" i="5"/>
  <c r="A587" i="5"/>
  <c r="N586" i="5"/>
  <c r="A586" i="5"/>
  <c r="N585" i="5"/>
  <c r="A585" i="5"/>
  <c r="N584" i="5"/>
  <c r="A584" i="5"/>
  <c r="N583" i="5"/>
  <c r="A583" i="5"/>
  <c r="N582" i="5"/>
  <c r="A582" i="5"/>
  <c r="N581" i="5"/>
  <c r="A581" i="5"/>
  <c r="N580" i="5"/>
  <c r="A580" i="5"/>
  <c r="N579" i="5"/>
  <c r="A579" i="5"/>
  <c r="N578" i="5"/>
  <c r="A578" i="5"/>
  <c r="N577" i="5"/>
  <c r="A577" i="5"/>
  <c r="N576" i="5"/>
  <c r="A576" i="5"/>
  <c r="N575" i="5"/>
  <c r="A575" i="5"/>
  <c r="N574" i="5"/>
  <c r="A574" i="5"/>
  <c r="N573" i="5"/>
  <c r="A573" i="5"/>
  <c r="N572" i="5"/>
  <c r="A572" i="5"/>
  <c r="N571" i="5"/>
  <c r="A571" i="5"/>
  <c r="N570" i="5"/>
  <c r="A570" i="5"/>
  <c r="N569" i="5"/>
  <c r="A569" i="5"/>
  <c r="N568" i="5"/>
  <c r="A568" i="5"/>
  <c r="N567" i="5"/>
  <c r="A567" i="5"/>
  <c r="N566" i="5"/>
  <c r="A566" i="5"/>
  <c r="N565" i="5"/>
  <c r="A565" i="5"/>
  <c r="N564" i="5"/>
  <c r="A564" i="5"/>
  <c r="N563" i="5"/>
  <c r="A563" i="5"/>
  <c r="N562" i="5"/>
  <c r="A562" i="5"/>
  <c r="N561" i="5"/>
  <c r="A561" i="5"/>
  <c r="N560" i="5"/>
  <c r="A560" i="5"/>
  <c r="N559" i="5"/>
  <c r="A559" i="5"/>
  <c r="N558" i="5"/>
  <c r="A558" i="5"/>
  <c r="N557" i="5"/>
  <c r="A557" i="5"/>
  <c r="N556" i="5"/>
  <c r="A556" i="5"/>
  <c r="N555" i="5"/>
  <c r="A555" i="5"/>
  <c r="N554" i="5"/>
  <c r="A554" i="5"/>
  <c r="N553" i="5"/>
  <c r="A553" i="5"/>
  <c r="N552" i="5"/>
  <c r="A552" i="5"/>
  <c r="N551" i="5"/>
  <c r="A551" i="5"/>
  <c r="N550" i="5"/>
  <c r="A550" i="5"/>
  <c r="N549" i="5"/>
  <c r="A549" i="5"/>
  <c r="N548" i="5"/>
  <c r="A548" i="5"/>
  <c r="N547" i="5"/>
  <c r="A547" i="5"/>
  <c r="N546" i="5"/>
  <c r="A546" i="5"/>
  <c r="N545" i="5"/>
  <c r="A545" i="5"/>
  <c r="N544" i="5"/>
  <c r="A544" i="5"/>
  <c r="N543" i="5"/>
  <c r="A543" i="5"/>
  <c r="N542" i="5"/>
  <c r="A542" i="5"/>
  <c r="N541" i="5"/>
  <c r="A541" i="5"/>
  <c r="N540" i="5"/>
  <c r="A540" i="5"/>
  <c r="N539" i="5"/>
  <c r="A539" i="5"/>
  <c r="N538" i="5"/>
  <c r="A538" i="5"/>
  <c r="N537" i="5"/>
  <c r="A537" i="5"/>
  <c r="N536" i="5"/>
  <c r="A536" i="5"/>
  <c r="N535" i="5"/>
  <c r="A535" i="5"/>
  <c r="N534" i="5"/>
  <c r="A534" i="5"/>
  <c r="N533" i="5"/>
  <c r="A533" i="5"/>
  <c r="N532" i="5"/>
  <c r="A532" i="5"/>
  <c r="N531" i="5"/>
  <c r="A531" i="5"/>
  <c r="N530" i="5"/>
  <c r="A530" i="5"/>
  <c r="N529" i="5"/>
  <c r="A529" i="5"/>
  <c r="N528" i="5"/>
  <c r="A528" i="5"/>
  <c r="N527" i="5"/>
  <c r="A527" i="5"/>
  <c r="N526" i="5"/>
  <c r="A526" i="5"/>
  <c r="N525" i="5"/>
  <c r="A525" i="5"/>
  <c r="N524" i="5"/>
  <c r="A524" i="5"/>
  <c r="N523" i="5"/>
  <c r="A523" i="5"/>
  <c r="N522" i="5"/>
  <c r="A522" i="5"/>
  <c r="N521" i="5"/>
  <c r="A521" i="5"/>
  <c r="N520" i="5"/>
  <c r="A520" i="5"/>
  <c r="N519" i="5"/>
  <c r="A519" i="5"/>
  <c r="N518" i="5"/>
  <c r="A518" i="5"/>
  <c r="N517" i="5"/>
  <c r="A517" i="5"/>
  <c r="N516" i="5"/>
  <c r="A516" i="5"/>
  <c r="N515" i="5"/>
  <c r="A515" i="5"/>
  <c r="N514" i="5"/>
  <c r="A514" i="5"/>
  <c r="N513" i="5"/>
  <c r="A513" i="5"/>
  <c r="N512" i="5"/>
  <c r="A512" i="5"/>
  <c r="N511" i="5"/>
  <c r="A511" i="5"/>
  <c r="N510" i="5"/>
  <c r="A510" i="5"/>
  <c r="N509" i="5"/>
  <c r="A509" i="5"/>
  <c r="N508" i="5"/>
  <c r="A508" i="5"/>
  <c r="N507" i="5"/>
  <c r="A507" i="5"/>
  <c r="N506" i="5"/>
  <c r="A506" i="5"/>
  <c r="N505" i="5"/>
  <c r="A505" i="5"/>
  <c r="N504" i="5"/>
  <c r="A504" i="5"/>
  <c r="N503" i="5"/>
  <c r="A503" i="5"/>
  <c r="N502" i="5"/>
  <c r="A502" i="5"/>
  <c r="N501" i="5"/>
  <c r="A501" i="5"/>
  <c r="N500" i="5"/>
  <c r="A500" i="5"/>
  <c r="N499" i="5"/>
  <c r="A499" i="5"/>
  <c r="N498" i="5"/>
  <c r="A498" i="5"/>
  <c r="N497" i="5"/>
  <c r="A497" i="5"/>
  <c r="N496" i="5"/>
  <c r="A496" i="5"/>
  <c r="N495" i="5"/>
  <c r="A495" i="5"/>
  <c r="N494" i="5"/>
  <c r="A494" i="5"/>
  <c r="N493" i="5"/>
  <c r="A493" i="5"/>
  <c r="N492" i="5"/>
  <c r="A492" i="5"/>
  <c r="N491" i="5"/>
  <c r="A491" i="5"/>
  <c r="N490" i="5"/>
  <c r="A490" i="5"/>
  <c r="N489" i="5"/>
  <c r="A489" i="5"/>
  <c r="N488" i="5"/>
  <c r="A488" i="5"/>
  <c r="N487" i="5"/>
  <c r="A487" i="5"/>
  <c r="N486" i="5"/>
  <c r="A486" i="5"/>
  <c r="N485" i="5"/>
  <c r="A485" i="5"/>
  <c r="N484" i="5"/>
  <c r="A484" i="5"/>
  <c r="N483" i="5"/>
  <c r="A483" i="5"/>
  <c r="N482" i="5"/>
  <c r="A482" i="5"/>
  <c r="N481" i="5"/>
  <c r="A481" i="5"/>
  <c r="N480" i="5"/>
  <c r="A480" i="5"/>
  <c r="N479" i="5"/>
  <c r="A479" i="5"/>
  <c r="N478" i="5"/>
  <c r="A478" i="5"/>
  <c r="N477" i="5"/>
  <c r="A477" i="5"/>
  <c r="N476" i="5"/>
  <c r="A476" i="5"/>
  <c r="N475" i="5"/>
  <c r="A475" i="5"/>
  <c r="N474" i="5"/>
  <c r="A474" i="5"/>
  <c r="N473" i="5"/>
  <c r="A473" i="5"/>
  <c r="N472" i="5"/>
  <c r="A472" i="5"/>
  <c r="N471" i="5"/>
  <c r="A471" i="5"/>
  <c r="N470" i="5"/>
  <c r="A470" i="5"/>
  <c r="N469" i="5"/>
  <c r="A469" i="5"/>
  <c r="N468" i="5"/>
  <c r="A468" i="5"/>
  <c r="N467" i="5"/>
  <c r="A467" i="5"/>
  <c r="N466" i="5"/>
  <c r="A466" i="5"/>
  <c r="N465" i="5"/>
  <c r="A465" i="5"/>
  <c r="N464" i="5"/>
  <c r="A464" i="5"/>
  <c r="N463" i="5"/>
  <c r="A463" i="5"/>
  <c r="N462" i="5"/>
  <c r="A462" i="5"/>
  <c r="N461" i="5"/>
  <c r="A461" i="5"/>
  <c r="N460" i="5"/>
  <c r="A460" i="5"/>
  <c r="N459" i="5"/>
  <c r="A459" i="5"/>
  <c r="N458" i="5"/>
  <c r="A458" i="5"/>
  <c r="N457" i="5"/>
  <c r="A457" i="5"/>
  <c r="N456" i="5"/>
  <c r="A456" i="5"/>
  <c r="N455" i="5"/>
  <c r="A455" i="5"/>
  <c r="N454" i="5"/>
  <c r="A454" i="5"/>
  <c r="N453" i="5"/>
  <c r="A453" i="5"/>
  <c r="N452" i="5"/>
  <c r="A452" i="5"/>
  <c r="N451" i="5"/>
  <c r="A451" i="5"/>
  <c r="N450" i="5"/>
  <c r="A450" i="5"/>
  <c r="N449" i="5"/>
  <c r="A449" i="5"/>
  <c r="N448" i="5"/>
  <c r="A448" i="5"/>
  <c r="N447" i="5"/>
  <c r="A447" i="5"/>
  <c r="N446" i="5"/>
  <c r="A446" i="5"/>
  <c r="N445" i="5"/>
  <c r="A445" i="5"/>
  <c r="N444" i="5"/>
  <c r="A444" i="5"/>
  <c r="N443" i="5"/>
  <c r="A443" i="5"/>
  <c r="N442" i="5"/>
  <c r="A442" i="5"/>
  <c r="N441" i="5"/>
  <c r="A441" i="5"/>
  <c r="N440" i="5"/>
  <c r="A440" i="5"/>
  <c r="N439" i="5"/>
  <c r="A439" i="5"/>
  <c r="N438" i="5"/>
  <c r="A438" i="5"/>
  <c r="N437" i="5"/>
  <c r="A437" i="5"/>
  <c r="N436" i="5"/>
  <c r="A436" i="5"/>
  <c r="N435" i="5"/>
  <c r="A435" i="5"/>
  <c r="N434" i="5"/>
  <c r="A434" i="5"/>
  <c r="N433" i="5"/>
  <c r="A433" i="5"/>
  <c r="N432" i="5"/>
  <c r="A432" i="5"/>
  <c r="N431" i="5"/>
  <c r="A431" i="5"/>
  <c r="N430" i="5"/>
  <c r="A430" i="5"/>
  <c r="N429" i="5"/>
  <c r="A429" i="5"/>
  <c r="N428" i="5"/>
  <c r="A428" i="5"/>
  <c r="N427" i="5"/>
  <c r="A427" i="5"/>
  <c r="N426" i="5"/>
  <c r="A426" i="5"/>
  <c r="N425" i="5"/>
  <c r="A425" i="5"/>
  <c r="N424" i="5"/>
  <c r="A424" i="5"/>
  <c r="N423" i="5"/>
  <c r="A423" i="5"/>
  <c r="N422" i="5"/>
  <c r="A422" i="5"/>
  <c r="N421" i="5"/>
  <c r="A421" i="5"/>
  <c r="N420" i="5"/>
  <c r="A420" i="5"/>
  <c r="N419" i="5"/>
  <c r="A419" i="5"/>
  <c r="N418" i="5"/>
  <c r="A418" i="5"/>
  <c r="N417" i="5"/>
  <c r="A417" i="5"/>
  <c r="N416" i="5"/>
  <c r="A416" i="5"/>
  <c r="N415" i="5"/>
  <c r="A415" i="5"/>
  <c r="N414" i="5"/>
  <c r="A414" i="5"/>
  <c r="N413" i="5"/>
  <c r="A413" i="5"/>
  <c r="N412" i="5"/>
  <c r="A412" i="5"/>
  <c r="N411" i="5"/>
  <c r="A411" i="5"/>
  <c r="N410" i="5"/>
  <c r="A410" i="5"/>
  <c r="N409" i="5"/>
  <c r="A409" i="5"/>
  <c r="N408" i="5"/>
  <c r="A408" i="5"/>
  <c r="N407" i="5"/>
  <c r="A407" i="5"/>
  <c r="N406" i="5"/>
  <c r="A406" i="5"/>
  <c r="N405" i="5"/>
  <c r="A405" i="5"/>
  <c r="N404" i="5"/>
  <c r="A404" i="5"/>
  <c r="N403" i="5"/>
  <c r="A403" i="5"/>
  <c r="N402" i="5"/>
  <c r="A402" i="5"/>
  <c r="N401" i="5"/>
  <c r="A401" i="5"/>
  <c r="N400" i="5"/>
  <c r="A400" i="5"/>
  <c r="N399" i="5"/>
  <c r="A399" i="5"/>
  <c r="N398" i="5"/>
  <c r="A398" i="5"/>
  <c r="N397" i="5"/>
  <c r="A397" i="5"/>
  <c r="N396" i="5"/>
  <c r="A396" i="5"/>
  <c r="N395" i="5"/>
  <c r="A395" i="5"/>
  <c r="N394" i="5"/>
  <c r="A394" i="5"/>
  <c r="N393" i="5"/>
  <c r="A393" i="5"/>
  <c r="N392" i="5"/>
  <c r="A392" i="5"/>
  <c r="N391" i="5"/>
  <c r="A391" i="5"/>
  <c r="N390" i="5"/>
  <c r="A390" i="5"/>
  <c r="N389" i="5"/>
  <c r="A389" i="5"/>
  <c r="N388" i="5"/>
  <c r="A388" i="5"/>
  <c r="N387" i="5"/>
  <c r="A387" i="5"/>
  <c r="N386" i="5"/>
  <c r="A386" i="5"/>
  <c r="N385" i="5"/>
  <c r="A385" i="5"/>
  <c r="N384" i="5"/>
  <c r="A384" i="5"/>
  <c r="N383" i="5"/>
  <c r="A383" i="5"/>
  <c r="N382" i="5"/>
  <c r="A382" i="5"/>
  <c r="N381" i="5"/>
  <c r="A381" i="5"/>
  <c r="N380" i="5"/>
  <c r="A380" i="5"/>
  <c r="N379" i="5"/>
  <c r="A379" i="5"/>
  <c r="N378" i="5"/>
  <c r="A378" i="5"/>
  <c r="N377" i="5"/>
  <c r="A377" i="5"/>
  <c r="N376" i="5"/>
  <c r="A376" i="5"/>
  <c r="N375" i="5"/>
  <c r="A375" i="5"/>
  <c r="N374" i="5"/>
  <c r="A374" i="5"/>
  <c r="N373" i="5"/>
  <c r="A373" i="5"/>
  <c r="N372" i="5"/>
  <c r="A372" i="5"/>
  <c r="N371" i="5"/>
  <c r="A371" i="5"/>
  <c r="N370" i="5"/>
  <c r="A370" i="5"/>
  <c r="N369" i="5"/>
  <c r="A369" i="5"/>
  <c r="N368" i="5"/>
  <c r="A368" i="5"/>
  <c r="N367" i="5"/>
  <c r="A367" i="5"/>
  <c r="N366" i="5"/>
  <c r="A366" i="5"/>
  <c r="N365" i="5"/>
  <c r="A365" i="5"/>
  <c r="N364" i="5"/>
  <c r="A364" i="5"/>
  <c r="N363" i="5"/>
  <c r="A363" i="5"/>
  <c r="N362" i="5"/>
  <c r="A362" i="5"/>
  <c r="N361" i="5"/>
  <c r="A361" i="5"/>
  <c r="N360" i="5"/>
  <c r="A360" i="5"/>
  <c r="N359" i="5"/>
  <c r="A359" i="5"/>
  <c r="N358" i="5"/>
  <c r="A358" i="5"/>
  <c r="N357" i="5"/>
  <c r="A357" i="5"/>
  <c r="N356" i="5"/>
  <c r="A356" i="5"/>
  <c r="N355" i="5"/>
  <c r="A355" i="5"/>
  <c r="N354" i="5"/>
  <c r="A354" i="5"/>
  <c r="N353" i="5"/>
  <c r="A353" i="5"/>
  <c r="N352" i="5"/>
  <c r="A352" i="5"/>
  <c r="N351" i="5"/>
  <c r="A351" i="5"/>
  <c r="N350" i="5"/>
  <c r="A350" i="5"/>
  <c r="N349" i="5"/>
  <c r="A349" i="5"/>
  <c r="N348" i="5"/>
  <c r="A348" i="5"/>
  <c r="N347" i="5"/>
  <c r="A347" i="5"/>
  <c r="N346" i="5"/>
  <c r="A346" i="5"/>
  <c r="N345" i="5"/>
  <c r="A345" i="5"/>
  <c r="N344" i="5"/>
  <c r="A344" i="5"/>
  <c r="N343" i="5"/>
  <c r="A343" i="5"/>
  <c r="N342" i="5"/>
  <c r="A342" i="5"/>
  <c r="N341" i="5"/>
  <c r="A341" i="5"/>
  <c r="N340" i="5"/>
  <c r="A340" i="5"/>
  <c r="N339" i="5"/>
  <c r="A339" i="5"/>
  <c r="N338" i="5"/>
  <c r="A338" i="5"/>
  <c r="N337" i="5"/>
  <c r="A337" i="5"/>
  <c r="N336" i="5"/>
  <c r="A336" i="5"/>
  <c r="N335" i="5"/>
  <c r="A335" i="5"/>
  <c r="N334" i="5"/>
  <c r="A334" i="5"/>
  <c r="N333" i="5"/>
  <c r="A333" i="5"/>
  <c r="N332" i="5"/>
  <c r="A332" i="5"/>
  <c r="N331" i="5"/>
  <c r="A331" i="5"/>
  <c r="N330" i="5"/>
  <c r="A330" i="5"/>
  <c r="N329" i="5"/>
  <c r="A329" i="5"/>
  <c r="N328" i="5"/>
  <c r="A328" i="5"/>
  <c r="N327" i="5"/>
  <c r="A327" i="5"/>
  <c r="N326" i="5"/>
  <c r="A326" i="5"/>
  <c r="N325" i="5"/>
  <c r="A325" i="5"/>
  <c r="N324" i="5"/>
  <c r="A324" i="5"/>
  <c r="N323" i="5"/>
  <c r="A323" i="5"/>
  <c r="N322" i="5"/>
  <c r="A322" i="5"/>
  <c r="N321" i="5"/>
  <c r="A321" i="5"/>
  <c r="N320" i="5"/>
  <c r="A320" i="5"/>
  <c r="N319" i="5"/>
  <c r="A319" i="5"/>
  <c r="N318" i="5"/>
  <c r="A318" i="5"/>
  <c r="N317" i="5"/>
  <c r="A317" i="5"/>
  <c r="N316" i="5"/>
  <c r="A316" i="5"/>
  <c r="N315" i="5"/>
  <c r="A315" i="5"/>
  <c r="N314" i="5"/>
  <c r="A314" i="5"/>
  <c r="N313" i="5"/>
  <c r="A313" i="5"/>
  <c r="N312" i="5"/>
  <c r="A312" i="5"/>
  <c r="N311" i="5"/>
  <c r="A311" i="5"/>
  <c r="N310" i="5"/>
  <c r="A310" i="5"/>
  <c r="N309" i="5"/>
  <c r="A309" i="5"/>
  <c r="N308" i="5"/>
  <c r="A308" i="5"/>
  <c r="N307" i="5"/>
  <c r="A307" i="5"/>
  <c r="N306" i="5"/>
  <c r="A306" i="5"/>
  <c r="N305" i="5"/>
  <c r="A305" i="5"/>
  <c r="N304" i="5"/>
  <c r="A304" i="5"/>
  <c r="N303" i="5"/>
  <c r="A303" i="5"/>
  <c r="N302" i="5"/>
  <c r="A302" i="5"/>
  <c r="N301" i="5"/>
  <c r="A301" i="5"/>
  <c r="N300" i="5"/>
  <c r="A300" i="5"/>
  <c r="N299" i="5"/>
  <c r="A299" i="5"/>
  <c r="N298" i="5"/>
  <c r="A298" i="5"/>
  <c r="N297" i="5"/>
  <c r="A297" i="5"/>
  <c r="N296" i="5"/>
  <c r="A296" i="5"/>
  <c r="N295" i="5"/>
  <c r="A295" i="5"/>
  <c r="N294" i="5"/>
  <c r="A294" i="5"/>
  <c r="N293" i="5"/>
  <c r="A293" i="5"/>
  <c r="N292" i="5"/>
  <c r="A292" i="5"/>
  <c r="N291" i="5"/>
  <c r="A291" i="5"/>
  <c r="N290" i="5"/>
  <c r="A290" i="5"/>
  <c r="N289" i="5"/>
  <c r="A289" i="5"/>
  <c r="N288" i="5"/>
  <c r="A288" i="5"/>
  <c r="N287" i="5"/>
  <c r="A287" i="5"/>
  <c r="N286" i="5"/>
  <c r="A286" i="5"/>
  <c r="N285" i="5"/>
  <c r="A285" i="5"/>
  <c r="N284" i="5"/>
  <c r="A284" i="5"/>
  <c r="N283" i="5"/>
  <c r="A283" i="5"/>
  <c r="N282" i="5"/>
  <c r="A282" i="5"/>
  <c r="N281" i="5"/>
  <c r="A281" i="5"/>
  <c r="N280" i="5"/>
  <c r="A280" i="5"/>
  <c r="N279" i="5"/>
  <c r="A279" i="5"/>
  <c r="N278" i="5"/>
  <c r="A278" i="5"/>
  <c r="N277" i="5"/>
  <c r="A277" i="5"/>
  <c r="N276" i="5"/>
  <c r="A276" i="5"/>
  <c r="N275" i="5"/>
  <c r="A275" i="5"/>
  <c r="N274" i="5"/>
  <c r="A274" i="5"/>
  <c r="N273" i="5"/>
  <c r="A273" i="5"/>
  <c r="N272" i="5"/>
  <c r="A272" i="5"/>
  <c r="N271" i="5"/>
  <c r="A271" i="5"/>
  <c r="N270" i="5"/>
  <c r="A270" i="5"/>
  <c r="N269" i="5"/>
  <c r="A269" i="5"/>
  <c r="N268" i="5"/>
  <c r="A268" i="5"/>
  <c r="N267" i="5"/>
  <c r="A267" i="5"/>
  <c r="N266" i="5"/>
  <c r="A266" i="5"/>
  <c r="N265" i="5"/>
  <c r="A265" i="5"/>
  <c r="N264" i="5"/>
  <c r="A264" i="5"/>
  <c r="N263" i="5"/>
  <c r="A263" i="5"/>
  <c r="N262" i="5"/>
  <c r="A262" i="5"/>
  <c r="N261" i="5"/>
  <c r="A261" i="5"/>
  <c r="N260" i="5"/>
  <c r="A260" i="5"/>
  <c r="N259" i="5"/>
  <c r="A259" i="5"/>
  <c r="N258" i="5"/>
  <c r="A258" i="5"/>
  <c r="N257" i="5"/>
  <c r="A257" i="5"/>
  <c r="N256" i="5"/>
  <c r="A256" i="5"/>
  <c r="N255" i="5"/>
  <c r="A255" i="5"/>
  <c r="N254" i="5"/>
  <c r="A254" i="5"/>
  <c r="N253" i="5"/>
  <c r="A253" i="5"/>
  <c r="N252" i="5"/>
  <c r="A252" i="5"/>
  <c r="N251" i="5"/>
  <c r="A251" i="5"/>
  <c r="N250" i="5"/>
  <c r="A250" i="5"/>
  <c r="N249" i="5"/>
  <c r="A249" i="5"/>
  <c r="N248" i="5"/>
  <c r="A248" i="5"/>
  <c r="N247" i="5"/>
  <c r="A247" i="5"/>
  <c r="N246" i="5"/>
  <c r="A246" i="5"/>
  <c r="N245" i="5"/>
  <c r="A245" i="5"/>
  <c r="N244" i="5"/>
  <c r="A244" i="5"/>
  <c r="N243" i="5"/>
  <c r="A243" i="5"/>
  <c r="N242" i="5"/>
  <c r="A242" i="5"/>
  <c r="N241" i="5"/>
  <c r="A241" i="5"/>
  <c r="N240" i="5"/>
  <c r="A240" i="5"/>
  <c r="N239" i="5"/>
  <c r="A239" i="5"/>
  <c r="N238" i="5"/>
  <c r="A238" i="5"/>
  <c r="N237" i="5"/>
  <c r="A237" i="5"/>
  <c r="N236" i="5"/>
  <c r="A236" i="5"/>
  <c r="N235" i="5"/>
  <c r="A235" i="5"/>
  <c r="N234" i="5"/>
  <c r="A234" i="5"/>
  <c r="N233" i="5"/>
  <c r="A233" i="5"/>
  <c r="N232" i="5"/>
  <c r="A232" i="5"/>
  <c r="N231" i="5"/>
  <c r="A231" i="5"/>
  <c r="N230" i="5"/>
  <c r="A230" i="5"/>
  <c r="N229" i="5"/>
  <c r="A229" i="5"/>
  <c r="N228" i="5"/>
  <c r="A228" i="5"/>
  <c r="N227" i="5"/>
  <c r="A227" i="5"/>
  <c r="N226" i="5"/>
  <c r="A226" i="5"/>
  <c r="N225" i="5"/>
  <c r="A225" i="5"/>
  <c r="N224" i="5"/>
  <c r="A224" i="5"/>
  <c r="N223" i="5"/>
  <c r="A223" i="5"/>
  <c r="N222" i="5"/>
  <c r="A222" i="5"/>
  <c r="N221" i="5"/>
  <c r="A221" i="5"/>
  <c r="N220" i="5"/>
  <c r="A220" i="5"/>
  <c r="N219" i="5"/>
  <c r="A219" i="5"/>
  <c r="N218" i="5"/>
  <c r="A218" i="5"/>
  <c r="N217" i="5"/>
  <c r="A217" i="5"/>
  <c r="N216" i="5"/>
  <c r="A216" i="5"/>
  <c r="N215" i="5"/>
  <c r="A215" i="5"/>
  <c r="N214" i="5"/>
  <c r="A214" i="5"/>
  <c r="N213" i="5"/>
  <c r="A213" i="5"/>
  <c r="N212" i="5"/>
  <c r="A212" i="5"/>
  <c r="N211" i="5"/>
  <c r="A211" i="5"/>
  <c r="N210" i="5"/>
  <c r="A210" i="5"/>
  <c r="N209" i="5"/>
  <c r="A209" i="5"/>
  <c r="N208" i="5"/>
  <c r="A208" i="5"/>
  <c r="N207" i="5"/>
  <c r="A207" i="5"/>
  <c r="N206" i="5"/>
  <c r="A206" i="5"/>
  <c r="N205" i="5"/>
  <c r="A205" i="5"/>
  <c r="N204" i="5"/>
  <c r="A204" i="5"/>
  <c r="N203" i="5"/>
  <c r="A203" i="5"/>
  <c r="N202" i="5"/>
  <c r="A202" i="5"/>
  <c r="N201" i="5"/>
  <c r="A201" i="5"/>
  <c r="N200" i="5"/>
  <c r="A200" i="5"/>
  <c r="N199" i="5"/>
  <c r="A199" i="5"/>
  <c r="N198" i="5"/>
  <c r="A198" i="5"/>
  <c r="N197" i="5"/>
  <c r="A197" i="5"/>
  <c r="N196" i="5"/>
  <c r="A196" i="5"/>
  <c r="N195" i="5"/>
  <c r="A195" i="5"/>
  <c r="N194" i="5"/>
  <c r="A194" i="5"/>
  <c r="N193" i="5"/>
  <c r="A193" i="5"/>
  <c r="N192" i="5"/>
  <c r="A192" i="5"/>
  <c r="N191" i="5"/>
  <c r="A191" i="5"/>
  <c r="N190" i="5"/>
  <c r="A190" i="5"/>
  <c r="N189" i="5"/>
  <c r="A189" i="5"/>
  <c r="N188" i="5"/>
  <c r="A188" i="5"/>
  <c r="N187" i="5"/>
  <c r="A187" i="5"/>
  <c r="N186" i="5"/>
  <c r="A186" i="5"/>
  <c r="N185" i="5"/>
  <c r="A185" i="5"/>
  <c r="N184" i="5"/>
  <c r="A184" i="5"/>
  <c r="N183" i="5"/>
  <c r="A183" i="5"/>
  <c r="N182" i="5"/>
  <c r="A182" i="5"/>
  <c r="N181" i="5"/>
  <c r="A181" i="5"/>
  <c r="N180" i="5"/>
  <c r="A180" i="5"/>
  <c r="N179" i="5"/>
  <c r="A179" i="5"/>
  <c r="N178" i="5"/>
  <c r="A178" i="5"/>
  <c r="N177" i="5"/>
  <c r="A177" i="5"/>
  <c r="N176" i="5"/>
  <c r="A176" i="5"/>
  <c r="N175" i="5"/>
  <c r="A175" i="5"/>
  <c r="N174" i="5"/>
  <c r="A174" i="5"/>
  <c r="N173" i="5"/>
  <c r="A173" i="5"/>
  <c r="N172" i="5"/>
  <c r="A172" i="5"/>
  <c r="N171" i="5"/>
  <c r="A171" i="5"/>
  <c r="N170" i="5"/>
  <c r="A170" i="5"/>
  <c r="N169" i="5"/>
  <c r="A169" i="5"/>
  <c r="N168" i="5"/>
  <c r="A168" i="5"/>
  <c r="N167" i="5"/>
  <c r="A167" i="5"/>
  <c r="N166" i="5"/>
  <c r="A166" i="5"/>
  <c r="N165" i="5"/>
  <c r="A165" i="5"/>
  <c r="N164" i="5"/>
  <c r="A164" i="5"/>
  <c r="N163" i="5"/>
  <c r="A163" i="5"/>
  <c r="N162" i="5"/>
  <c r="A162" i="5"/>
  <c r="N161" i="5"/>
  <c r="A161" i="5"/>
  <c r="N160" i="5"/>
  <c r="A160" i="5"/>
  <c r="N159" i="5"/>
  <c r="A159" i="5"/>
  <c r="N158" i="5"/>
  <c r="A158" i="5"/>
  <c r="N157" i="5"/>
  <c r="A157" i="5"/>
  <c r="N156" i="5"/>
  <c r="A156" i="5"/>
  <c r="N155" i="5"/>
  <c r="A155" i="5"/>
  <c r="N154" i="5"/>
  <c r="A154" i="5"/>
  <c r="N153" i="5"/>
  <c r="A153" i="5"/>
  <c r="N152" i="5"/>
  <c r="A152" i="5"/>
  <c r="N151" i="5"/>
  <c r="A151" i="5"/>
  <c r="N150" i="5"/>
  <c r="A150" i="5"/>
  <c r="N149" i="5"/>
  <c r="A149" i="5"/>
  <c r="N148" i="5"/>
  <c r="A148" i="5"/>
  <c r="N147" i="5"/>
  <c r="A147" i="5"/>
  <c r="N146" i="5"/>
  <c r="A146" i="5"/>
  <c r="N145" i="5"/>
  <c r="A145" i="5"/>
  <c r="N144" i="5"/>
  <c r="A144" i="5"/>
  <c r="N143" i="5"/>
  <c r="A143" i="5"/>
  <c r="N142" i="5"/>
  <c r="A142" i="5"/>
  <c r="N141" i="5"/>
  <c r="A141" i="5"/>
  <c r="N140" i="5"/>
  <c r="A140" i="5"/>
  <c r="N139" i="5"/>
  <c r="A139" i="5"/>
  <c r="N138" i="5"/>
  <c r="A138" i="5"/>
  <c r="N137" i="5"/>
  <c r="A137" i="5"/>
  <c r="N136" i="5"/>
  <c r="A136" i="5"/>
  <c r="N135" i="5"/>
  <c r="A135" i="5"/>
  <c r="N134" i="5"/>
  <c r="A134" i="5"/>
  <c r="N133" i="5"/>
  <c r="A133" i="5"/>
  <c r="N132" i="5"/>
  <c r="A132" i="5"/>
  <c r="N131" i="5"/>
  <c r="A131" i="5"/>
  <c r="N130" i="5"/>
  <c r="A130" i="5"/>
  <c r="N129" i="5"/>
  <c r="A129" i="5"/>
  <c r="N128" i="5"/>
  <c r="A128" i="5"/>
  <c r="N127" i="5"/>
  <c r="A127" i="5"/>
  <c r="N126" i="5"/>
  <c r="A126" i="5"/>
  <c r="N125" i="5"/>
  <c r="A125" i="5"/>
  <c r="N124" i="5"/>
  <c r="A124" i="5"/>
  <c r="N123" i="5"/>
  <c r="A123" i="5"/>
  <c r="N122" i="5"/>
  <c r="A122" i="5"/>
  <c r="N121" i="5"/>
  <c r="A121" i="5"/>
  <c r="N120" i="5"/>
  <c r="A120" i="5"/>
  <c r="N119" i="5"/>
  <c r="A119" i="5"/>
  <c r="N118" i="5"/>
  <c r="A118" i="5"/>
  <c r="N117" i="5"/>
  <c r="A117" i="5"/>
  <c r="N116" i="5"/>
  <c r="A116" i="5"/>
  <c r="N115" i="5"/>
  <c r="A115" i="5"/>
  <c r="N114" i="5"/>
  <c r="A114" i="5"/>
  <c r="N113" i="5"/>
  <c r="A113" i="5"/>
  <c r="N112" i="5"/>
  <c r="A112" i="5"/>
  <c r="N111" i="5"/>
  <c r="A111" i="5"/>
  <c r="N110" i="5"/>
  <c r="A110" i="5"/>
  <c r="N109" i="5"/>
  <c r="A109" i="5"/>
  <c r="N108" i="5"/>
  <c r="A108" i="5"/>
  <c r="N107" i="5"/>
  <c r="A107" i="5"/>
  <c r="N106" i="5"/>
  <c r="A106" i="5"/>
  <c r="N105" i="5"/>
  <c r="A105" i="5"/>
  <c r="N104" i="5"/>
  <c r="A104" i="5"/>
  <c r="N103" i="5"/>
  <c r="A103" i="5"/>
  <c r="N102" i="5"/>
  <c r="A102" i="5"/>
  <c r="N101" i="5"/>
  <c r="A101" i="5"/>
  <c r="N100" i="5"/>
  <c r="A100" i="5"/>
  <c r="N99" i="5"/>
  <c r="A99" i="5"/>
  <c r="N98" i="5"/>
  <c r="A98" i="5"/>
  <c r="N97" i="5"/>
  <c r="A97" i="5"/>
  <c r="N96" i="5"/>
  <c r="A96" i="5"/>
  <c r="N95" i="5"/>
  <c r="A95" i="5"/>
  <c r="N94" i="5"/>
  <c r="A94" i="5"/>
  <c r="N93" i="5"/>
  <c r="A93" i="5"/>
  <c r="N92" i="5"/>
  <c r="A92" i="5"/>
  <c r="N91" i="5"/>
  <c r="A91" i="5"/>
  <c r="N90" i="5"/>
  <c r="A90" i="5"/>
  <c r="N89" i="5"/>
  <c r="A89" i="5"/>
  <c r="N88" i="5"/>
  <c r="A88" i="5"/>
  <c r="N87" i="5"/>
  <c r="A87" i="5"/>
  <c r="N86" i="5"/>
  <c r="A86" i="5"/>
  <c r="N85" i="5"/>
  <c r="A85" i="5"/>
  <c r="N84" i="5"/>
  <c r="A84" i="5"/>
  <c r="N83" i="5"/>
  <c r="A83" i="5"/>
  <c r="N82" i="5"/>
  <c r="A82" i="5"/>
  <c r="N81" i="5"/>
  <c r="A81" i="5"/>
  <c r="N80" i="5"/>
  <c r="A80" i="5"/>
  <c r="N79" i="5"/>
  <c r="A79" i="5"/>
  <c r="N78" i="5"/>
  <c r="A78" i="5"/>
  <c r="N77" i="5"/>
  <c r="A77" i="5"/>
  <c r="N76" i="5"/>
  <c r="A76" i="5"/>
  <c r="N75" i="5"/>
  <c r="A75" i="5"/>
  <c r="N74" i="5"/>
  <c r="A74" i="5"/>
  <c r="N73" i="5"/>
  <c r="A73" i="5"/>
  <c r="N72" i="5"/>
  <c r="A72" i="5"/>
  <c r="N71" i="5"/>
  <c r="A71" i="5"/>
  <c r="N70" i="5"/>
  <c r="A70" i="5"/>
  <c r="N69" i="5"/>
  <c r="A69" i="5"/>
  <c r="N68" i="5"/>
  <c r="A68" i="5"/>
  <c r="N67" i="5"/>
  <c r="A67" i="5"/>
  <c r="N66" i="5"/>
  <c r="A66" i="5"/>
  <c r="N65" i="5"/>
  <c r="A65" i="5"/>
  <c r="N64" i="5"/>
  <c r="A64" i="5"/>
  <c r="N63" i="5"/>
  <c r="A63" i="5"/>
  <c r="N62" i="5"/>
  <c r="A62" i="5"/>
  <c r="N61" i="5"/>
  <c r="A61" i="5"/>
  <c r="N60" i="5"/>
  <c r="A60" i="5"/>
  <c r="N59" i="5"/>
  <c r="A59" i="5"/>
  <c r="N58" i="5"/>
  <c r="A58" i="5"/>
  <c r="N57" i="5"/>
  <c r="A57" i="5"/>
  <c r="N56" i="5"/>
  <c r="A56" i="5"/>
  <c r="N55" i="5"/>
  <c r="A55" i="5"/>
  <c r="N54" i="5"/>
  <c r="A54" i="5"/>
  <c r="N53" i="5"/>
  <c r="A53" i="5"/>
  <c r="N52" i="5"/>
  <c r="A52" i="5"/>
  <c r="N51" i="5"/>
  <c r="A51" i="5"/>
  <c r="N50" i="5"/>
  <c r="A50" i="5"/>
  <c r="N49" i="5"/>
  <c r="A49" i="5"/>
  <c r="N48" i="5"/>
  <c r="A48" i="5"/>
  <c r="N47" i="5"/>
  <c r="A47" i="5"/>
  <c r="N46" i="5"/>
  <c r="A46" i="5"/>
  <c r="N45" i="5"/>
  <c r="A45" i="5"/>
  <c r="N44" i="5"/>
  <c r="A44" i="5"/>
  <c r="N43" i="5"/>
  <c r="A43" i="5"/>
  <c r="N42" i="5"/>
  <c r="A42" i="5"/>
  <c r="N41" i="5"/>
  <c r="A41" i="5"/>
  <c r="N40" i="5"/>
  <c r="A40" i="5"/>
  <c r="N39" i="5"/>
  <c r="A39" i="5"/>
  <c r="N38" i="5"/>
  <c r="A38" i="5"/>
  <c r="N37" i="5"/>
  <c r="A37" i="5"/>
  <c r="N36" i="5"/>
  <c r="A36" i="5"/>
  <c r="N35" i="5"/>
  <c r="A35" i="5"/>
  <c r="N34" i="5"/>
  <c r="A34" i="5"/>
  <c r="N33" i="5"/>
  <c r="A33" i="5"/>
  <c r="N32" i="5"/>
  <c r="A32" i="5"/>
  <c r="N31" i="5"/>
  <c r="A31" i="5"/>
  <c r="N30" i="5"/>
  <c r="A30" i="5"/>
  <c r="N29" i="5"/>
  <c r="A29" i="5"/>
  <c r="N28" i="5"/>
  <c r="A28" i="5"/>
  <c r="N27" i="5"/>
  <c r="A27" i="5"/>
  <c r="N26" i="5"/>
  <c r="A26" i="5"/>
  <c r="N25" i="5"/>
  <c r="A25" i="5"/>
  <c r="N24" i="5"/>
  <c r="A24" i="5"/>
  <c r="N23" i="5"/>
  <c r="A23" i="5"/>
  <c r="N22" i="5"/>
  <c r="A22" i="5"/>
  <c r="N21" i="5"/>
  <c r="A21" i="5"/>
  <c r="N20" i="5"/>
  <c r="A20" i="5"/>
  <c r="N19" i="5"/>
  <c r="A19" i="5"/>
  <c r="N18" i="5"/>
  <c r="A18" i="5"/>
  <c r="N17" i="5"/>
  <c r="A17" i="5"/>
  <c r="N16" i="5"/>
  <c r="A16" i="5"/>
  <c r="N15" i="5"/>
  <c r="A15" i="5"/>
  <c r="N14" i="5"/>
  <c r="A14" i="5"/>
  <c r="N13" i="5"/>
  <c r="A13" i="5"/>
  <c r="N12" i="5"/>
  <c r="A12" i="5"/>
  <c r="N11" i="5"/>
  <c r="A11" i="5"/>
  <c r="N10" i="5"/>
  <c r="A10" i="5"/>
  <c r="N9" i="5"/>
  <c r="A9" i="5"/>
  <c r="N8" i="5"/>
  <c r="A8" i="5"/>
  <c r="N7" i="5"/>
  <c r="A7" i="5"/>
  <c r="N6" i="5"/>
  <c r="N1" i="5" s="1"/>
  <c r="A6" i="5"/>
  <c r="N5" i="5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J8" i="4"/>
  <c r="Q7" i="4"/>
  <c r="Q6" i="4"/>
  <c r="J6" i="4"/>
  <c r="Q5" i="4"/>
  <c r="L24" i="4" l="1"/>
  <c r="K24" i="4" s="1"/>
  <c r="L26" i="4"/>
  <c r="K26" i="4" s="1"/>
  <c r="L25" i="4"/>
  <c r="K25" i="4" s="1"/>
  <c r="L22" i="4"/>
  <c r="K22" i="4" s="1"/>
  <c r="L20" i="4"/>
  <c r="K20" i="4" s="1"/>
  <c r="L23" i="4"/>
  <c r="K23" i="4" s="1"/>
  <c r="L21" i="4"/>
  <c r="K21" i="4" s="1"/>
  <c r="L19" i="4"/>
  <c r="K19" i="4" s="1"/>
  <c r="L18" i="4"/>
  <c r="K18" i="4" s="1"/>
  <c r="L17" i="4"/>
  <c r="K17" i="4" s="1"/>
  <c r="L16" i="4"/>
  <c r="K16" i="4" s="1"/>
  <c r="L5" i="4"/>
  <c r="K5" i="4" s="1"/>
  <c r="L6" i="4"/>
  <c r="K6" i="4" s="1"/>
  <c r="L8" i="4"/>
  <c r="K8" i="4" s="1"/>
  <c r="L10" i="4"/>
  <c r="K10" i="4" s="1"/>
  <c r="L11" i="4"/>
  <c r="K11" i="4" s="1"/>
  <c r="L12" i="4"/>
  <c r="K12" i="4" s="1"/>
  <c r="L15" i="4"/>
  <c r="K15" i="4" s="1"/>
  <c r="L13" i="4"/>
  <c r="K13" i="4" s="1"/>
  <c r="L9" i="4"/>
  <c r="K9" i="4" s="1"/>
  <c r="L7" i="4"/>
  <c r="K7" i="4" s="1"/>
  <c r="J12" i="4"/>
  <c r="I6" i="6"/>
  <c r="G5" i="6"/>
  <c r="K5" i="6"/>
  <c r="F6" i="6"/>
  <c r="J6" i="6"/>
  <c r="N6" i="6"/>
  <c r="J5" i="6"/>
  <c r="E6" i="6"/>
  <c r="M6" i="6"/>
  <c r="D5" i="6"/>
  <c r="H5" i="6"/>
  <c r="L5" i="6"/>
  <c r="G6" i="6"/>
  <c r="K6" i="6"/>
  <c r="E5" i="6"/>
  <c r="I5" i="6"/>
  <c r="M5" i="6"/>
  <c r="D6" i="6"/>
  <c r="H6" i="6"/>
  <c r="L6" i="6"/>
  <c r="F5" i="6"/>
  <c r="N5" i="6"/>
  <c r="K103" i="4" l="1"/>
  <c r="K102" i="4"/>
  <c r="K104" i="4"/>
  <c r="K101" i="4"/>
</calcChain>
</file>

<file path=xl/sharedStrings.xml><?xml version="1.0" encoding="utf-8"?>
<sst xmlns="http://schemas.openxmlformats.org/spreadsheetml/2006/main" count="1256" uniqueCount="132">
  <si>
    <t>Bem-vindo à Planilha de Gestão de Contratos!</t>
  </si>
  <si>
    <t>Para começar a utilizá-la, confira como funciona cada aba:</t>
  </si>
  <si>
    <t>É importante destacar que não recomendamos a planilha para a gestão de um grande volume de contratos. Neste caso, conte com a tecnologia da plataforma Projuris Contratos para fazer a automação do gerenciamento contratual.</t>
  </si>
  <si>
    <t>1 - Cadastro de Clientes</t>
  </si>
  <si>
    <t>Basta preencher os campos indicados com informações de seus clientes. Levantamos as principais informações, mas fique à vontade para acrescentar outras, conforme achar necessário.</t>
  </si>
  <si>
    <t>2 - Outros Cadastros</t>
  </si>
  <si>
    <t>Preencha com informações relativas aos responsáveis e os tipos de contrato que sua empresa utiliza.</t>
  </si>
  <si>
    <t>3 - Registro de Contratos</t>
  </si>
  <si>
    <t>Aqui entram as informações dos contratos em si. Você insere informações relativas aos valores, vencimentos e renovações. A própria planilha retorna algumas informações relativas a prazos e te avisa quando um contrato está vencido.</t>
  </si>
  <si>
    <t>4 - Recebimentos</t>
  </si>
  <si>
    <t>A própria planilha puxa as informações sobre os contratos e você preenche com os valores recebidos no decorrer dos meses.</t>
  </si>
  <si>
    <r>
      <rPr>
        <b/>
        <sz val="18"/>
        <color rgb="FF000000"/>
        <rFont val="Calibri"/>
        <family val="2"/>
        <scheme val="minor"/>
      </rPr>
      <t>Gestão de contratos de ponta a ponta em um só lugar!</t>
    </r>
    <r>
      <rPr>
        <sz val="10"/>
        <color rgb="FF000000"/>
        <rFont val="Calibri"/>
        <family val="2"/>
        <scheme val="minor"/>
      </rPr>
      <t xml:space="preserve">
Receba as demandas, elabore e aprove minutas, assine, armazene e gerencie todos os seus contratos em uma única ferramenta.</t>
    </r>
  </si>
  <si>
    <t>5 - Dashboard dos Contratos</t>
  </si>
  <si>
    <t>Nessa aba você não precisa preencher nada. A planilha ira te retornar um relatório referente aos contratos que você tem em vigor durante o ano e dois gráficos para avaliar seus recebimentos mês a mês.</t>
  </si>
  <si>
    <t>Conheça o Projuris Contratos</t>
  </si>
  <si>
    <t>A planilha é toda desbloqueada de forma que você utilizá-la e fazer as adaptações que achar pertinentes para que ela seja mais útil para sua empresa e suas necessidades.</t>
  </si>
  <si>
    <t>Dashboard dos Contratos</t>
  </si>
  <si>
    <t>Contratos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</si>
  <si>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</si>
  <si>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</si>
  <si>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</si>
  <si>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</si>
  <si>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</si>
  <si>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</si>
  <si>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</si>
  <si>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</si>
  <si>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</si>
  <si>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</si>
  <si>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</si>
  <si>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</si>
  <si>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</si>
  <si>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Assinados</t>
  </si>
  <si>
    <t>Valor dos Contratos</t>
  </si>
  <si>
    <t>Renovados</t>
  </si>
  <si>
    <t>Valor Recebido</t>
  </si>
  <si>
    <t>CADASTRO DE CLIENTE</t>
  </si>
  <si>
    <t>Clientes</t>
  </si>
  <si>
    <t>CNPJ ou CPF</t>
  </si>
  <si>
    <t>Telefone</t>
  </si>
  <si>
    <t>Email</t>
  </si>
  <si>
    <t>Endereço</t>
  </si>
  <si>
    <t>Bairro</t>
  </si>
  <si>
    <t>Cidade</t>
  </si>
  <si>
    <t>Simone</t>
  </si>
  <si>
    <t>111.111.111-11</t>
  </si>
  <si>
    <t>(11) 1111-1111</t>
  </si>
  <si>
    <t>simone@quase.com.br</t>
  </si>
  <si>
    <t>Rua 1, 1</t>
  </si>
  <si>
    <t>Sprinter</t>
  </si>
  <si>
    <t>São Paulo</t>
  </si>
  <si>
    <t>Daniel</t>
  </si>
  <si>
    <t>222.222.222-22</t>
  </si>
  <si>
    <t>(22) 2222-222</t>
  </si>
  <si>
    <t>daniel@quase.com.br</t>
  </si>
  <si>
    <t>Avenida 2, 2</t>
  </si>
  <si>
    <t>Kombi</t>
  </si>
  <si>
    <t>Congonhas</t>
  </si>
  <si>
    <t>Sérgio</t>
  </si>
  <si>
    <t>333.333.333-33</t>
  </si>
  <si>
    <t>(33) 3333-3333</t>
  </si>
  <si>
    <t>sergio@quase.com.br</t>
  </si>
  <si>
    <t>Alameda 3, 3</t>
  </si>
  <si>
    <t>Van</t>
  </si>
  <si>
    <t>-</t>
  </si>
  <si>
    <t>OUTROS CADASTROS</t>
  </si>
  <si>
    <t>Responsáveis</t>
  </si>
  <si>
    <t>Tipos de Contrato</t>
  </si>
  <si>
    <t>Paulo Costa</t>
  </si>
  <si>
    <t>Aluguel</t>
  </si>
  <si>
    <t>Renan Viana</t>
  </si>
  <si>
    <t>Compra e Venda</t>
  </si>
  <si>
    <t>Rogério Vilela</t>
  </si>
  <si>
    <t>Prestação de Serviço</t>
  </si>
  <si>
    <t>Maurílio Vicente</t>
  </si>
  <si>
    <t>Parceria</t>
  </si>
  <si>
    <t>Compra de Produto</t>
  </si>
  <si>
    <t>Consórcio</t>
  </si>
  <si>
    <t>Contrato de Comodato</t>
  </si>
  <si>
    <t>Locação de Shopping Center</t>
  </si>
  <si>
    <t>Financeiro</t>
  </si>
  <si>
    <t>Fornecimento de Produto</t>
  </si>
  <si>
    <t>Instalação e Desinstalação</t>
  </si>
  <si>
    <t>Manutenção Preventiva e Corretiva</t>
  </si>
  <si>
    <t>Materiais de construção</t>
  </si>
  <si>
    <t>REGISTRO DE CONTRATOS</t>
  </si>
  <si>
    <t>Identificador</t>
  </si>
  <si>
    <t>Cliente</t>
  </si>
  <si>
    <t>Data da Assinatura</t>
  </si>
  <si>
    <t>Valor</t>
  </si>
  <si>
    <t>Tipo de Contrato</t>
  </si>
  <si>
    <t>Vendedor</t>
  </si>
  <si>
    <t>Início da Vigência</t>
  </si>
  <si>
    <t>Data de Vencimento</t>
  </si>
  <si>
    <t>Duração do Contrato</t>
  </si>
  <si>
    <t>Situação</t>
  </si>
  <si>
    <t>Dias para vencer</t>
  </si>
  <si>
    <t>Contrato renovado?</t>
  </si>
  <si>
    <t>Data da Renovação</t>
  </si>
  <si>
    <t>Novo Vencimento</t>
  </si>
  <si>
    <t>Novo Valor</t>
  </si>
  <si>
    <t>Mês de assinatura</t>
  </si>
  <si>
    <t>Contrato 1</t>
  </si>
  <si>
    <t>Não</t>
  </si>
  <si>
    <t>Contrato 3</t>
  </si>
  <si>
    <t>Contrato 2</t>
  </si>
  <si>
    <t>Contrato 4</t>
  </si>
  <si>
    <t xml:space="preserve">Contrato 5 </t>
  </si>
  <si>
    <t>Contrato 6</t>
  </si>
  <si>
    <t>Contrato 7</t>
  </si>
  <si>
    <t>Contrato 8</t>
  </si>
  <si>
    <t>Contrato 9</t>
  </si>
  <si>
    <t>Contrato 10</t>
  </si>
  <si>
    <t>Contrato 11</t>
  </si>
  <si>
    <t>Contrato 12</t>
  </si>
  <si>
    <t>Contrato 13</t>
  </si>
  <si>
    <t>Contrato 14</t>
  </si>
  <si>
    <t>Contrato 15</t>
  </si>
  <si>
    <t>Contrato 16</t>
  </si>
  <si>
    <t>Contrato 17</t>
  </si>
  <si>
    <t>Contrato 18</t>
  </si>
  <si>
    <t>Contrato 19</t>
  </si>
  <si>
    <t>Contrato 20</t>
  </si>
  <si>
    <t>Contrato 21</t>
  </si>
  <si>
    <t>Contrato 22</t>
  </si>
  <si>
    <t>Vencido</t>
  </si>
  <si>
    <t>A vencer</t>
  </si>
  <si>
    <t>Renegociar</t>
  </si>
  <si>
    <t>Ok</t>
  </si>
  <si>
    <t>CONTROLE DE RECEBIMENTOS</t>
  </si>
  <si>
    <t>TOTAL DO ANO:</t>
  </si>
  <si>
    <t>Contratos de Recebimento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</si>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</sst>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&quot;/&quot;mm&quot;/&quot;yyyy"/>
    <numFmt numFmtId="165" formatCode="[$R$]#,##0.00"/>
  </numFmts>
  <fonts count="25" x14ac:knownFonts="1">
    <font>
      <sz val="10"/>
      <color rgb="FF000000"/>
      <name val="Arial"/>
    </font>
    <font>
      <u/>
      <sz val="10"/>
      <color theme="10"/>
      <name val="Arial"/>
    </font>
    <font>
      <sz val="10"/>
      <name val="Calibri"/>
      <family val="2"/>
      <scheme val="minor"/>
    </font>
    <font>
      <b/>
      <sz val="3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434343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Arial"/>
      <family val="2"/>
    </font>
    <font>
      <b/>
      <sz val="18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0756E4"/>
      <name val="Calibri"/>
      <family val="2"/>
      <scheme val="minor"/>
    </font>
    <font>
      <sz val="10"/>
      <color rgb="FF0756E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756E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AE6F3"/>
        <bgColor rgb="FFDAE6F3"/>
      </patternFill>
    </fill>
    <fill>
      <patternFill patternType="solid">
        <fgColor rgb="FFD0E0E3"/>
        <bgColor rgb="FFD0E0E3"/>
      </patternFill>
    </fill>
    <fill>
      <patternFill patternType="solid">
        <fgColor rgb="FF0756E4"/>
        <bgColor rgb="FF6D9EEB"/>
      </patternFill>
    </fill>
    <fill>
      <patternFill patternType="solid">
        <fgColor rgb="FF0756E4"/>
        <bgColor indexed="64"/>
      </patternFill>
    </fill>
    <fill>
      <patternFill patternType="solid">
        <fgColor rgb="FF0756E4"/>
        <bgColor rgb="FF4A86E8"/>
      </patternFill>
    </fill>
    <fill>
      <patternFill patternType="solid">
        <fgColor rgb="FF0756E4"/>
        <bgColor rgb="FF3468BD"/>
      </patternFill>
    </fill>
    <fill>
      <patternFill patternType="solid">
        <fgColor rgb="FF0756E4"/>
        <bgColor rgb="FFF9F9F9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rgb="FF3C78D8"/>
      </left>
      <right/>
      <top/>
      <bottom style="thin">
        <color rgb="FF3C78D8"/>
      </bottom>
      <diagonal/>
    </border>
    <border>
      <left style="thin">
        <color rgb="FF3C78D8"/>
      </left>
      <right style="thin">
        <color rgb="FF3C78D8"/>
      </right>
      <top/>
      <bottom style="thin">
        <color rgb="FF3C78D8"/>
      </bottom>
      <diagonal/>
    </border>
    <border>
      <left/>
      <right style="thin">
        <color rgb="FF3C78D8"/>
      </right>
      <top/>
      <bottom style="thin">
        <color rgb="FF3C78D8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3C78D8"/>
      </left>
      <right style="thin">
        <color rgb="FF3C78D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155CC"/>
      </left>
      <right style="thin">
        <color rgb="FF1155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2" fillId="9" borderId="0" xfId="0" applyFont="1" applyFill="1"/>
    <xf numFmtId="0" fontId="4" fillId="10" borderId="0" xfId="0" applyFont="1" applyFill="1"/>
    <xf numFmtId="0" fontId="4" fillId="0" borderId="0" xfId="0" applyFont="1"/>
    <xf numFmtId="0" fontId="6" fillId="4" borderId="7" xfId="0" applyFont="1" applyFill="1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8" fillId="0" borderId="0" xfId="0" applyFont="1"/>
    <xf numFmtId="165" fontId="8" fillId="7" borderId="0" xfId="0" applyNumberFormat="1" applyFont="1" applyFill="1" applyAlignment="1">
      <alignment horizontal="center"/>
    </xf>
    <xf numFmtId="0" fontId="6" fillId="8" borderId="7" xfId="0" applyFont="1" applyFill="1" applyBorder="1" applyAlignment="1">
      <alignment horizontal="center"/>
    </xf>
    <xf numFmtId="165" fontId="8" fillId="8" borderId="7" xfId="0" applyNumberFormat="1" applyFont="1" applyFill="1" applyBorder="1" applyAlignment="1">
      <alignment horizontal="center"/>
    </xf>
    <xf numFmtId="165" fontId="8" fillId="8" borderId="8" xfId="0" applyNumberFormat="1" applyFont="1" applyFill="1" applyBorder="1" applyAlignment="1">
      <alignment horizontal="center"/>
    </xf>
    <xf numFmtId="165" fontId="8" fillId="4" borderId="7" xfId="0" applyNumberFormat="1" applyFont="1" applyFill="1" applyBorder="1" applyAlignment="1">
      <alignment horizontal="center"/>
    </xf>
    <xf numFmtId="165" fontId="8" fillId="4" borderId="8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wrapText="1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/>
    <xf numFmtId="0" fontId="9" fillId="12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9" borderId="0" xfId="0" applyFont="1" applyFill="1"/>
    <xf numFmtId="0" fontId="5" fillId="11" borderId="11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 wrapText="1"/>
    </xf>
    <xf numFmtId="14" fontId="5" fillId="11" borderId="11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2" fillId="11" borderId="0" xfId="0" applyFont="1" applyFill="1"/>
    <xf numFmtId="0" fontId="9" fillId="11" borderId="0" xfId="0" applyFont="1" applyFill="1" applyAlignment="1">
      <alignment horizontal="center" vertical="center"/>
    </xf>
    <xf numFmtId="0" fontId="12" fillId="11" borderId="0" xfId="0" applyFont="1" applyFill="1"/>
    <xf numFmtId="0" fontId="2" fillId="10" borderId="0" xfId="0" applyFont="1" applyFill="1" applyAlignment="1">
      <alignment wrapText="1"/>
    </xf>
    <xf numFmtId="0" fontId="2" fillId="13" borderId="0" xfId="0" applyFont="1" applyFill="1"/>
    <xf numFmtId="0" fontId="6" fillId="0" borderId="5" xfId="0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4" fillId="14" borderId="0" xfId="0" applyFont="1" applyFill="1"/>
    <xf numFmtId="0" fontId="4" fillId="14" borderId="15" xfId="0" applyFont="1" applyFill="1" applyBorder="1"/>
    <xf numFmtId="0" fontId="23" fillId="14" borderId="0" xfId="0" applyFont="1" applyFill="1" applyAlignment="1">
      <alignment horizontal="center" vertical="center" wrapText="1"/>
    </xf>
    <xf numFmtId="0" fontId="24" fillId="10" borderId="16" xfId="1" applyFont="1" applyFill="1" applyBorder="1" applyAlignment="1">
      <alignment horizontal="center" vertical="center" wrapText="1"/>
    </xf>
    <xf numFmtId="0" fontId="24" fillId="10" borderId="17" xfId="1" applyFont="1" applyFill="1" applyBorder="1" applyAlignment="1">
      <alignment horizontal="center" vertical="center" wrapText="1"/>
    </xf>
    <xf numFmtId="0" fontId="24" fillId="10" borderId="14" xfId="1" applyFont="1" applyFill="1" applyBorder="1" applyAlignment="1">
      <alignment horizontal="center" vertical="center" wrapText="1"/>
    </xf>
    <xf numFmtId="0" fontId="24" fillId="10" borderId="15" xfId="1" applyFont="1" applyFill="1" applyBorder="1" applyAlignment="1">
      <alignment horizontal="center" vertical="center" wrapText="1"/>
    </xf>
    <xf numFmtId="0" fontId="24" fillId="10" borderId="18" xfId="1" applyFont="1" applyFill="1" applyBorder="1" applyAlignment="1">
      <alignment horizontal="center" vertical="center" wrapText="1"/>
    </xf>
    <xf numFmtId="0" fontId="24" fillId="10" borderId="19" xfId="1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top" wrapText="1"/>
    </xf>
    <xf numFmtId="0" fontId="13" fillId="3" borderId="0" xfId="0" applyFont="1" applyFill="1" applyAlignment="1">
      <alignment horizontal="left" wrapText="1"/>
    </xf>
    <xf numFmtId="0" fontId="4" fillId="0" borderId="0" xfId="0" applyFont="1"/>
    <xf numFmtId="0" fontId="2" fillId="3" borderId="0" xfId="0" applyFont="1" applyFill="1" applyAlignment="1">
      <alignment wrapText="1"/>
    </xf>
    <xf numFmtId="0" fontId="21" fillId="3" borderId="0" xfId="0" applyFont="1" applyFill="1" applyAlignment="1">
      <alignment horizontal="left" wrapText="1"/>
    </xf>
    <xf numFmtId="0" fontId="19" fillId="0" borderId="0" xfId="0" applyFont="1"/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2" fillId="3" borderId="0" xfId="0" applyFont="1" applyFill="1" applyAlignment="1">
      <alignment horizontal="left" wrapText="1"/>
    </xf>
    <xf numFmtId="0" fontId="14" fillId="3" borderId="0" xfId="0" applyFont="1" applyFill="1" applyAlignment="1">
      <alignment wrapText="1"/>
    </xf>
    <xf numFmtId="0" fontId="2" fillId="3" borderId="0" xfId="0" applyFont="1" applyFill="1" applyAlignment="1">
      <alignment horizontal="left" vertical="top" wrapText="1"/>
    </xf>
    <xf numFmtId="0" fontId="9" fillId="11" borderId="9" xfId="0" applyFont="1" applyFill="1" applyBorder="1" applyAlignment="1">
      <alignment horizontal="center" vertical="center"/>
    </xf>
    <xf numFmtId="0" fontId="22" fillId="10" borderId="2" xfId="0" applyFont="1" applyFill="1" applyBorder="1"/>
    <xf numFmtId="0" fontId="3" fillId="9" borderId="0" xfId="0" applyFont="1" applyFill="1" applyAlignment="1">
      <alignment horizontal="center" vertical="center"/>
    </xf>
    <xf numFmtId="0" fontId="4" fillId="10" borderId="0" xfId="0" applyFont="1" applyFill="1"/>
    <xf numFmtId="0" fontId="2" fillId="9" borderId="0" xfId="0" applyFont="1" applyFill="1"/>
    <xf numFmtId="0" fontId="2" fillId="9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14" fontId="11" fillId="9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165" fontId="18" fillId="6" borderId="0" xfId="0" applyNumberFormat="1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49"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color rgb="FFC00000"/>
      </font>
    </dxf>
    <dxf>
      <font>
        <color theme="5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00B050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Outros Cadastros-style" pivot="0" count="2" xr9:uid="{00000000-0011-0000-FFFF-FFFF00000000}">
      <tableStyleElement type="firstRowStripe" dxfId="48"/>
      <tableStyleElement type="secondRowStripe" dxfId="47"/>
    </tableStyle>
    <tableStyle name="Relatório Geral dos Contratos-style" pivot="0" count="2" xr9:uid="{00000000-0011-0000-FFFF-FFFF01000000}">
      <tableStyleElement type="firstRowStripe" dxfId="46"/>
      <tableStyleElement type="secondRowStripe" dxfId="45"/>
    </tableStyle>
    <tableStyle name="Recebimentos-style" pivot="0" count="2" xr9:uid="{00000000-0011-0000-FFFF-FFFF02000000}">
      <tableStyleElement type="firstRowStripe" dxfId="44"/>
      <tableStyleElement type="secondRowStripe" dxfId="43"/>
    </tableStyle>
  </tableStyles>
  <colors>
    <mruColors>
      <color rgb="FF075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1"/>
            </a:pPr>
            <a:r>
              <a:rPr lang="pt-BR" sz="1400" b="1"/>
              <a:t>Valor dos Contratos por Mês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dos Contratos'!$B$4</c:f>
              <c:strCache>
                <c:ptCount val="1"/>
              </c:strCache>
            </c:strRef>
          </c:tx>
          <c:spPr>
            <a:solidFill>
              <a:srgbClr val="93C47D"/>
            </a:solidFill>
          </c:spPr>
          <c:invertIfNegative val="1"/>
          <c:cat>
            <c:strRef>
              <c:f>'Dashboard dos Contratos'!$C$3:$N$4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dos Contratos'!$C$4:$N$4</c:f>
              <c:numCache>
                <c:formatCode>General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8F0-46E5-8742-ECF84B6DDADC}"/>
            </c:ext>
          </c:extLst>
        </c:ser>
        <c:ser>
          <c:idx val="1"/>
          <c:order val="1"/>
          <c:tx>
            <c:strRef>
              <c:f>'Dashboard dos Contratos'!$B$6</c:f>
              <c:strCache>
                <c:ptCount val="1"/>
                <c:pt idx="0">
                  <c:v>Valor dos Contratos</c:v>
                </c:pt>
              </c:strCache>
            </c:strRef>
          </c:tx>
          <c:spPr>
            <a:solidFill>
              <a:srgbClr val="0756E4"/>
            </a:solidFill>
            <a:ln>
              <a:solidFill>
                <a:srgbClr val="92D050"/>
              </a:solidFill>
            </a:ln>
          </c:spPr>
          <c:invertIfNegative val="1"/>
          <c:cat>
            <c:strRef>
              <c:f>'Dashboard dos Contratos'!$C$3:$N$4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dos Contratos'!$C$6:$N$6</c:f>
              <c:numCache>
                <c:formatCode>[$R$]#,##0.00</c:formatCode>
                <c:ptCount val="12"/>
                <c:pt idx="0">
                  <c:v>261400</c:v>
                </c:pt>
                <c:pt idx="1">
                  <c:v>60000</c:v>
                </c:pt>
                <c:pt idx="2">
                  <c:v>0</c:v>
                </c:pt>
                <c:pt idx="3">
                  <c:v>168000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2D05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8F0-46E5-8742-ECF84B6DD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768538"/>
        <c:axId val="1310831277"/>
      </c:barChart>
      <c:catAx>
        <c:axId val="49976853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pt-BR"/>
          </a:p>
        </c:txPr>
        <c:crossAx val="1310831277"/>
        <c:crosses val="autoZero"/>
        <c:auto val="1"/>
        <c:lblAlgn val="ctr"/>
        <c:lblOffset val="100"/>
        <c:noMultiLvlLbl val="1"/>
      </c:catAx>
      <c:valAx>
        <c:axId val="1310831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pt-BR"/>
          </a:p>
        </c:txPr>
        <c:crossAx val="499768538"/>
        <c:crosses val="autoZero"/>
        <c:crossBetween val="between"/>
      </c:valAx>
      <c:spPr>
        <a:ln>
          <a:solidFill>
            <a:srgbClr val="B7B7B7"/>
          </a:solidFill>
        </a:ln>
      </c:spPr>
    </c:plotArea>
    <c:plotVisOnly val="1"/>
    <c:dispBlanksAs val="zero"/>
    <c:showDLblsOverMax val="1"/>
  </c:chart>
  <c:spPr>
    <a:ln cap="rnd"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1"/>
            </a:pPr>
            <a:r>
              <a:rPr lang="pt-BR" sz="1400" b="1"/>
              <a:t>Valor Recebido por Mês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dos Contratos'!$B$4</c:f>
              <c:strCache>
                <c:ptCount val="1"/>
              </c:strCache>
            </c:strRef>
          </c:tx>
          <c:spPr>
            <a:solidFill>
              <a:srgbClr val="6D9EEB"/>
            </a:solidFill>
          </c:spPr>
          <c:invertIfNegative val="1"/>
          <c:cat>
            <c:strRef>
              <c:f>'Dashboard dos Contratos'!$C$3:$N$4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dos Contratos'!$C$4:$N$4</c:f>
              <c:numCache>
                <c:formatCode>General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0D6-4118-A852-16C99D7BC09B}"/>
            </c:ext>
          </c:extLst>
        </c:ser>
        <c:ser>
          <c:idx val="1"/>
          <c:order val="1"/>
          <c:tx>
            <c:strRef>
              <c:f>'Dashboard dos Contratos'!$B$8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0756E4"/>
            </a:solidFill>
          </c:spPr>
          <c:invertIfNegative val="1"/>
          <c:cat>
            <c:strRef>
              <c:f>'Dashboard dos Contratos'!$C$3:$N$4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dos Contratos'!$C$8:$N$8</c:f>
              <c:numCache>
                <c:formatCode>[$R$]#,##0.00</c:formatCode>
                <c:ptCount val="12"/>
                <c:pt idx="0">
                  <c:v>8416</c:v>
                </c:pt>
                <c:pt idx="1">
                  <c:v>8416</c:v>
                </c:pt>
                <c:pt idx="2">
                  <c:v>23416</c:v>
                </c:pt>
                <c:pt idx="3">
                  <c:v>23416</c:v>
                </c:pt>
                <c:pt idx="4">
                  <c:v>20416</c:v>
                </c:pt>
                <c:pt idx="5">
                  <c:v>20416</c:v>
                </c:pt>
                <c:pt idx="6">
                  <c:v>20416</c:v>
                </c:pt>
                <c:pt idx="7">
                  <c:v>20416</c:v>
                </c:pt>
                <c:pt idx="8">
                  <c:v>20416</c:v>
                </c:pt>
                <c:pt idx="9">
                  <c:v>20416</c:v>
                </c:pt>
                <c:pt idx="10">
                  <c:v>20416</c:v>
                </c:pt>
                <c:pt idx="11">
                  <c:v>8416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E0D6-4118-A852-16C99D7B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5710324"/>
        <c:axId val="1743472737"/>
      </c:barChart>
      <c:catAx>
        <c:axId val="20457103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pt-BR"/>
          </a:p>
        </c:txPr>
        <c:crossAx val="1743472737"/>
        <c:crosses val="autoZero"/>
        <c:auto val="1"/>
        <c:lblAlgn val="ctr"/>
        <c:lblOffset val="100"/>
        <c:noMultiLvlLbl val="1"/>
      </c:catAx>
      <c:valAx>
        <c:axId val="17434727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rPr lang="pt-BR"/>
                  <a:t>Valor Recebido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pt-BR"/>
          </a:p>
        </c:txPr>
        <c:crossAx val="2045710324"/>
        <c:crosses val="autoZero"/>
        <c:crossBetween val="between"/>
      </c:valAx>
    </c:plotArea>
    <c:plotVisOnly val="1"/>
    <c:dispBlanksAs val="zero"/>
    <c:showDLblsOverMax val="1"/>
  </c:chart>
  <c:spPr>
    <a:ln cap="rnd"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Situação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F-4CD4-B855-CC64A11538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F-4CD4-B855-CC64A115384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1F-4CD4-B855-CC64A1153840}"/>
              </c:ext>
            </c:extLst>
          </c:dPt>
          <c:dPt>
            <c:idx val="3"/>
            <c:bubble3D val="0"/>
            <c:spPr>
              <a:solidFill>
                <a:srgbClr val="0756E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F-4CD4-B855-CC64A11538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'Registro de Contratos'!$J$101:$J$104</c:f>
              <c:strCache>
                <c:ptCount val="4"/>
                <c:pt idx="0">
                  <c:v>Vencido</c:v>
                </c:pt>
                <c:pt idx="1">
                  <c:v>A vencer</c:v>
                </c:pt>
                <c:pt idx="2">
                  <c:v>Renegociar</c:v>
                </c:pt>
                <c:pt idx="3">
                  <c:v>Ok</c:v>
                </c:pt>
              </c:strCache>
            </c:strRef>
          </c:cat>
          <c:val>
            <c:numRef>
              <c:f>'Registro de Contratos'!$K$101:$K$104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F-4CD4-B855-CC64A1153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DB-4573-8982-ADB6A2AE98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DB-4573-8982-ADB6A2AE986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DB-4573-8982-ADB6A2AE9867}"/>
              </c:ext>
            </c:extLst>
          </c:dPt>
          <c:dPt>
            <c:idx val="3"/>
            <c:bubble3D val="0"/>
            <c:spPr>
              <a:solidFill>
                <a:srgbClr val="0756E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DB-4573-8982-ADB6A2AE98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'Registro de Contratos'!$J$106:$J$109</c:f>
              <c:strCache>
                <c:ptCount val="4"/>
                <c:pt idx="0">
                  <c:v>Paulo Costa</c:v>
                </c:pt>
                <c:pt idx="1">
                  <c:v>Renan Viana</c:v>
                </c:pt>
                <c:pt idx="2">
                  <c:v>Rogério Vilela</c:v>
                </c:pt>
                <c:pt idx="3">
                  <c:v>Maurílio Vicente</c:v>
                </c:pt>
              </c:strCache>
            </c:strRef>
          </c:cat>
          <c:val>
            <c:numRef>
              <c:f>'Registro de Contratos'!$K$106:$K$109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DB-4573-8982-ADB6A2AE9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C-405A-824B-F63F699745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4C-405A-824B-F63F6997454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4C-405A-824B-F63F69974549}"/>
              </c:ext>
            </c:extLst>
          </c:dPt>
          <c:dPt>
            <c:idx val="3"/>
            <c:invertIfNegative val="0"/>
            <c:bubble3D val="0"/>
            <c:spPr>
              <a:solidFill>
                <a:srgbClr val="0756E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4C-405A-824B-F63F699745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'Registro de Contratos'!$J$111:$J$123</c:f>
              <c:strCache>
                <c:ptCount val="13"/>
                <c:pt idx="0">
                  <c:v>Aluguel</c:v>
                </c:pt>
                <c:pt idx="1">
                  <c:v>Compra e Venda</c:v>
                </c:pt>
                <c:pt idx="2">
                  <c:v>Prestação de Serviço</c:v>
                </c:pt>
                <c:pt idx="3">
                  <c:v>Parceria</c:v>
                </c:pt>
                <c:pt idx="4">
                  <c:v>Compra de Produto</c:v>
                </c:pt>
                <c:pt idx="5">
                  <c:v>Consórcio</c:v>
                </c:pt>
                <c:pt idx="6">
                  <c:v>Contrato de Comodato</c:v>
                </c:pt>
                <c:pt idx="7">
                  <c:v>Locação de Shopping Center</c:v>
                </c:pt>
                <c:pt idx="8">
                  <c:v>Financeiro</c:v>
                </c:pt>
                <c:pt idx="9">
                  <c:v>Fornecimento de Produto</c:v>
                </c:pt>
                <c:pt idx="10">
                  <c:v>Instalação e Desinstalação</c:v>
                </c:pt>
                <c:pt idx="11">
                  <c:v>Manutenção Preventiva e Corretiva</c:v>
                </c:pt>
                <c:pt idx="12">
                  <c:v>Materiais de construção</c:v>
                </c:pt>
              </c:strCache>
            </c:strRef>
          </c:cat>
          <c:val>
            <c:numRef>
              <c:f>'Registro de Contratos'!$K$111:$K$123</c:f>
              <c:numCache>
                <c:formatCode>General</c:formatCode>
                <c:ptCount val="13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4C-405A-824B-F63F69974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18337600"/>
        <c:axId val="1318334688"/>
      </c:barChart>
      <c:catAx>
        <c:axId val="131833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8334688"/>
        <c:crosses val="autoZero"/>
        <c:auto val="1"/>
        <c:lblAlgn val="ctr"/>
        <c:lblOffset val="100"/>
        <c:noMultiLvlLbl val="0"/>
      </c:catAx>
      <c:valAx>
        <c:axId val="131833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833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hyperlink" Target="https://promo.projuris.com.br/kit-modelos-de-contrato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https://promo.projuris.com.br/planilha-controle?utm_source=ebook&amp;utm_medium=call-to-action&amp;utm_campaign=agropecuaria&amp;utm_term=processos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891540</xdr:colOff>
      <xdr:row>13</xdr:row>
      <xdr:rowOff>68071</xdr:rowOff>
    </xdr:from>
    <xdr:to>
      <xdr:col>14</xdr:col>
      <xdr:colOff>92302</xdr:colOff>
      <xdr:row>20</xdr:row>
      <xdr:rowOff>91635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4DB90F6-A3CF-C90A-3FB0-5585F400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5740" y="2392171"/>
          <a:ext cx="6134962" cy="139516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  <xdr:twoCellAnchor editAs="oneCell">
    <xdr:from>
      <xdr:col>0</xdr:col>
      <xdr:colOff>15240</xdr:colOff>
      <xdr:row>33</xdr:row>
      <xdr:rowOff>7622</xdr:rowOff>
    </xdr:from>
    <xdr:to>
      <xdr:col>7</xdr:col>
      <xdr:colOff>0</xdr:colOff>
      <xdr:row>61</xdr:row>
      <xdr:rowOff>62752</xdr:rowOff>
    </xdr:to>
    <xdr:pic>
      <xdr:nvPicPr>
        <xdr:cNvPr id="7" name="Imagem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5B96CA-A906-830B-6165-0189AF2A69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878"/>
        <a:stretch/>
      </xdr:blipFill>
      <xdr:spPr>
        <a:xfrm>
          <a:off x="15240" y="6309810"/>
          <a:ext cx="7031019" cy="5075366"/>
        </a:xfrm>
        <a:prstGeom prst="rect">
          <a:avLst/>
        </a:prstGeom>
      </xdr:spPr>
    </xdr:pic>
    <xdr:clientData/>
  </xdr:twoCellAnchor>
  <xdr:twoCellAnchor editAs="oneCell">
    <xdr:from>
      <xdr:col>6</xdr:col>
      <xdr:colOff>991001</xdr:colOff>
      <xdr:row>33</xdr:row>
      <xdr:rowOff>8964</xdr:rowOff>
    </xdr:from>
    <xdr:to>
      <xdr:col>14</xdr:col>
      <xdr:colOff>10858</xdr:colOff>
      <xdr:row>61</xdr:row>
      <xdr:rowOff>62752</xdr:rowOff>
    </xdr:to>
    <xdr:pic>
      <xdr:nvPicPr>
        <xdr:cNvPr id="8" name="Imagem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D4BCB1-C944-4AE7-0659-BD3EE6ECD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2177" y="6311152"/>
          <a:ext cx="6980516" cy="5074024"/>
        </a:xfrm>
        <a:prstGeom prst="rect">
          <a:avLst/>
        </a:prstGeom>
      </xdr:spPr>
    </xdr:pic>
    <xdr:clientData/>
  </xdr:twoCellAnchor>
  <xdr:twoCellAnchor>
    <xdr:from>
      <xdr:col>5</xdr:col>
      <xdr:colOff>609600</xdr:colOff>
      <xdr:row>2</xdr:row>
      <xdr:rowOff>168536</xdr:rowOff>
    </xdr:from>
    <xdr:to>
      <xdr:col>8</xdr:col>
      <xdr:colOff>317800</xdr:colOff>
      <xdr:row>5</xdr:row>
      <xdr:rowOff>29135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52365881-BB68-E0F6-9CE6-6EB1455898DD}"/>
            </a:ext>
          </a:extLst>
        </xdr:cNvPr>
        <xdr:cNvGrpSpPr/>
      </xdr:nvGrpSpPr>
      <xdr:grpSpPr>
        <a:xfrm>
          <a:off x="5629835" y="508522"/>
          <a:ext cx="2670363" cy="426384"/>
          <a:chOff x="5414682" y="509194"/>
          <a:chExt cx="2693447" cy="434340"/>
        </a:xfrm>
      </xdr:grpSpPr>
      <xdr:pic>
        <xdr:nvPicPr>
          <xdr:cNvPr id="10" name="Imagem 9">
            <a:extLst>
              <a:ext uri="{FF2B5EF4-FFF2-40B4-BE49-F238E27FC236}">
                <a16:creationId xmlns:a16="http://schemas.microsoft.com/office/drawing/2014/main" id="{9C22E625-AB7D-52E4-BA5A-64C0E4B3DB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5109" y="509194"/>
            <a:ext cx="1303020" cy="434340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3320D839-657D-94BD-CEF8-7A988B74DC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14682" y="537884"/>
            <a:ext cx="1246094" cy="33963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196664</xdr:colOff>
      <xdr:row>10</xdr:row>
      <xdr:rowOff>17370</xdr:rowOff>
    </xdr:from>
    <xdr:ext cx="6930278" cy="34671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726141</xdr:colOff>
      <xdr:row>9</xdr:row>
      <xdr:rowOff>176492</xdr:rowOff>
    </xdr:from>
    <xdr:ext cx="6990230" cy="3481107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197224</xdr:colOff>
      <xdr:row>30</xdr:row>
      <xdr:rowOff>156883</xdr:rowOff>
    </xdr:from>
    <xdr:to>
      <xdr:col>4</xdr:col>
      <xdr:colOff>493059</xdr:colOff>
      <xdr:row>49</xdr:row>
      <xdr:rowOff>17929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17DF0B1-C62C-8BE1-5D4F-85070E266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717176</xdr:colOff>
      <xdr:row>30</xdr:row>
      <xdr:rowOff>170330</xdr:rowOff>
    </xdr:from>
    <xdr:to>
      <xdr:col>8</xdr:col>
      <xdr:colOff>878542</xdr:colOff>
      <xdr:row>49</xdr:row>
      <xdr:rowOff>31376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B10A4F7-73AC-4E49-A50E-B680D3D81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80682</xdr:colOff>
      <xdr:row>30</xdr:row>
      <xdr:rowOff>143436</xdr:rowOff>
    </xdr:from>
    <xdr:to>
      <xdr:col>14</xdr:col>
      <xdr:colOff>439270</xdr:colOff>
      <xdr:row>49</xdr:row>
      <xdr:rowOff>4482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66F153C-D9E5-42F0-AECC-4B2B6D379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421341</xdr:colOff>
      <xdr:row>0</xdr:row>
      <xdr:rowOff>125506</xdr:rowOff>
    </xdr:from>
    <xdr:to>
      <xdr:col>3</xdr:col>
      <xdr:colOff>550882</xdr:colOff>
      <xdr:row>1</xdr:row>
      <xdr:rowOff>308834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357446ED-A0F7-42C2-A2E9-D4E1EC047797}"/>
            </a:ext>
          </a:extLst>
        </xdr:cNvPr>
        <xdr:cNvGrpSpPr/>
      </xdr:nvGrpSpPr>
      <xdr:grpSpPr>
        <a:xfrm>
          <a:off x="667870" y="127411"/>
          <a:ext cx="2688293" cy="429857"/>
          <a:chOff x="5414682" y="509194"/>
          <a:chExt cx="2693447" cy="434340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156DF307-9908-2E3E-A668-C41DBEFD08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5109" y="509194"/>
            <a:ext cx="1303020" cy="434340"/>
          </a:xfrm>
          <a:prstGeom prst="rect">
            <a:avLst/>
          </a:prstGeom>
        </xdr:spPr>
      </xdr:pic>
      <xdr:pic>
        <xdr:nvPicPr>
          <xdr:cNvPr id="9" name="Imagem 8">
            <a:extLst>
              <a:ext uri="{FF2B5EF4-FFF2-40B4-BE49-F238E27FC236}">
                <a16:creationId xmlns:a16="http://schemas.microsoft.com/office/drawing/2014/main" id="{52F6E275-4348-181F-6983-0688DD0854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14682" y="537884"/>
            <a:ext cx="1246094" cy="33963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0</xdr:row>
      <xdr:rowOff>121920</xdr:rowOff>
    </xdr:from>
    <xdr:to>
      <xdr:col>2</xdr:col>
      <xdr:colOff>1009427</xdr:colOff>
      <xdr:row>2</xdr:row>
      <xdr:rowOff>205740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2B1AA5B-FBA9-4248-8842-E3FD12C8134D}"/>
            </a:ext>
          </a:extLst>
        </xdr:cNvPr>
        <xdr:cNvGrpSpPr/>
      </xdr:nvGrpSpPr>
      <xdr:grpSpPr>
        <a:xfrm>
          <a:off x="733425" y="123825"/>
          <a:ext cx="2699162" cy="428625"/>
          <a:chOff x="5414682" y="509194"/>
          <a:chExt cx="2693447" cy="434340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16814059-F7DF-418A-4AF4-6A2B454686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5109" y="509194"/>
            <a:ext cx="1303020" cy="434340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D6C497DB-9C4E-FB0A-9166-A141A6FCA1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14682" y="537884"/>
            <a:ext cx="1246094" cy="33963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152400</xdr:rowOff>
    </xdr:from>
    <xdr:to>
      <xdr:col>1</xdr:col>
      <xdr:colOff>1390427</xdr:colOff>
      <xdr:row>1</xdr:row>
      <xdr:rowOff>243840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9E8C460-F2CF-418E-85EF-06E4FA59EB0C}"/>
            </a:ext>
          </a:extLst>
        </xdr:cNvPr>
        <xdr:cNvGrpSpPr/>
      </xdr:nvGrpSpPr>
      <xdr:grpSpPr>
        <a:xfrm>
          <a:off x="209550" y="152400"/>
          <a:ext cx="2699162" cy="438150"/>
          <a:chOff x="5414682" y="509194"/>
          <a:chExt cx="2693447" cy="43434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F0342C3D-EFC7-66E8-B63C-07923E673F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5109" y="509194"/>
            <a:ext cx="1303020" cy="434340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F9791039-9205-EF3A-3F64-7C80B4B373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14682" y="537884"/>
            <a:ext cx="1246094" cy="33963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321734</xdr:colOff>
      <xdr:row>0</xdr:row>
      <xdr:rowOff>143934</xdr:rowOff>
    </xdr:from>
    <xdr:to>
      <xdr:col>4</xdr:col>
      <xdr:colOff>9514</xdr:colOff>
      <xdr:row>2</xdr:row>
      <xdr:rowOff>121074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49F4C34-0F95-4EB1-BE47-64A39EF6E592}"/>
            </a:ext>
          </a:extLst>
        </xdr:cNvPr>
        <xdr:cNvGrpSpPr/>
      </xdr:nvGrpSpPr>
      <xdr:grpSpPr>
        <a:xfrm>
          <a:off x="590127" y="142029"/>
          <a:ext cx="2691542" cy="436033"/>
          <a:chOff x="5414682" y="509194"/>
          <a:chExt cx="2693447" cy="434340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1BCC85F1-CBDD-8487-04A9-5B103AB8C2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5109" y="509194"/>
            <a:ext cx="1303020" cy="434340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88C288B1-EDF3-04EB-7AFE-EA1C880316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14682" y="537884"/>
            <a:ext cx="1246094" cy="33963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161925</xdr:rowOff>
    </xdr:from>
    <xdr:to>
      <xdr:col>1</xdr:col>
      <xdr:colOff>16922</xdr:colOff>
      <xdr:row>2</xdr:row>
      <xdr:rowOff>53340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88FC3EB5-3039-41FC-B3F5-D571AE25D9A3}"/>
            </a:ext>
          </a:extLst>
        </xdr:cNvPr>
        <xdr:cNvGrpSpPr/>
      </xdr:nvGrpSpPr>
      <xdr:grpSpPr>
        <a:xfrm>
          <a:off x="430530" y="163830"/>
          <a:ext cx="2697733" cy="429101"/>
          <a:chOff x="5414682" y="509194"/>
          <a:chExt cx="2693447" cy="434340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777BAC38-74DF-2999-0C96-0B7540C428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5109" y="509194"/>
            <a:ext cx="1303020" cy="434340"/>
          </a:xfrm>
          <a:prstGeom prst="rect">
            <a:avLst/>
          </a:prstGeom>
        </xdr:spPr>
      </xdr:pic>
      <xdr:pic>
        <xdr:nvPicPr>
          <xdr:cNvPr id="7" name="Imagem 6">
            <a:extLst>
              <a:ext uri="{FF2B5EF4-FFF2-40B4-BE49-F238E27FC236}">
                <a16:creationId xmlns:a16="http://schemas.microsoft.com/office/drawing/2014/main" id="{F150D536-EEEC-738F-9F81-D9AD943C92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14682" y="537884"/>
            <a:ext cx="1246094" cy="339632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_2" displayName="Table_2" ref="B5:O8" headerRowCount="0" headerRowDxfId="42" dataDxfId="41" totalsRowDxfId="40">
  <tableColumns count="14">
    <tableColumn id="1" xr3:uid="{00000000-0010-0000-0200-000001000000}" name="Column1" dataDxfId="39"/>
    <tableColumn id="2" xr3:uid="{00000000-0010-0000-0200-000002000000}" name="Column2" dataDxfId="38"/>
    <tableColumn id="3" xr3:uid="{00000000-0010-0000-0200-000003000000}" name="Column3" dataDxfId="37"/>
    <tableColumn id="4" xr3:uid="{00000000-0010-0000-0200-000004000000}" name="Column4" dataDxfId="36"/>
    <tableColumn id="5" xr3:uid="{00000000-0010-0000-0200-000005000000}" name="Column5" dataDxfId="35"/>
    <tableColumn id="6" xr3:uid="{00000000-0010-0000-0200-000006000000}" name="Column6" dataDxfId="34"/>
    <tableColumn id="7" xr3:uid="{00000000-0010-0000-0200-000007000000}" name="Column7" dataDxfId="33"/>
    <tableColumn id="8" xr3:uid="{00000000-0010-0000-0200-000008000000}" name="Column8" dataDxfId="32"/>
    <tableColumn id="9" xr3:uid="{00000000-0010-0000-0200-000009000000}" name="Column9" dataDxfId="31"/>
    <tableColumn id="10" xr3:uid="{00000000-0010-0000-0200-00000A000000}" name="Column10" dataDxfId="30"/>
    <tableColumn id="11" xr3:uid="{00000000-0010-0000-0200-00000B000000}" name="Column11" dataDxfId="29"/>
    <tableColumn id="12" xr3:uid="{00000000-0010-0000-0200-00000C000000}" name="Column12" dataDxfId="28"/>
    <tableColumn id="13" xr3:uid="{00000000-0010-0000-0200-00000D000000}" name="Column13" dataDxfId="27"/>
    <tableColumn id="14" xr3:uid="{00000000-0010-0000-0200-00000E000000}" name="Column14" dataDxfId="26"/>
  </tableColumns>
  <tableStyleInfo name="Relatório Geral dos Contra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B17" headerRowCount="0" headerRowDxfId="25" dataDxfId="24" totalsRowDxfId="23">
  <tableColumns count="1">
    <tableColumn id="1" xr3:uid="{00000000-0010-0000-0000-000001000000}" name="Column1" dataDxfId="22"/>
  </tableColumns>
  <tableStyleInfo name="Outros Cadastr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3" displayName="Table_3" ref="A5:M1002" headerRowCount="0" headerRowDxfId="15" dataDxfId="14" totalsRowDxfId="13">
  <tableColumns count="13">
    <tableColumn id="1" xr3:uid="{00000000-0010-0000-0100-000001000000}" name="Column1" dataDxfId="12"/>
    <tableColumn id="2" xr3:uid="{00000000-0010-0000-0100-000002000000}" name="Column2" dataDxfId="11"/>
    <tableColumn id="3" xr3:uid="{00000000-0010-0000-0100-000003000000}" name="Column3" dataDxfId="10"/>
    <tableColumn id="4" xr3:uid="{00000000-0010-0000-0100-000004000000}" name="Column4" dataDxfId="9"/>
    <tableColumn id="5" xr3:uid="{00000000-0010-0000-0100-000005000000}" name="Column5" dataDxfId="8"/>
    <tableColumn id="6" xr3:uid="{00000000-0010-0000-0100-000006000000}" name="Column6" dataDxfId="7"/>
    <tableColumn id="7" xr3:uid="{00000000-0010-0000-0100-000007000000}" name="Column7" dataDxfId="6"/>
    <tableColumn id="8" xr3:uid="{00000000-0010-0000-0100-000008000000}" name="Column8" dataDxfId="5"/>
    <tableColumn id="9" xr3:uid="{00000000-0010-0000-0100-000009000000}" name="Column9" dataDxfId="4"/>
    <tableColumn id="10" xr3:uid="{00000000-0010-0000-0100-00000A000000}" name="Column10" dataDxfId="3"/>
    <tableColumn id="11" xr3:uid="{00000000-0010-0000-0100-00000B000000}" name="Column11" dataDxfId="2"/>
    <tableColumn id="12" xr3:uid="{00000000-0010-0000-0100-00000C000000}" name="Column12" dataDxfId="1"/>
    <tableColumn id="13" xr3:uid="{00000000-0010-0000-0100-00000D000000}" name="Column13" dataDxfId="0"/>
  </tableColumns>
  <tableStyleInfo name="Recebimentos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rojuris.com.br/contrato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1"/>
  <sheetViews>
    <sheetView showGridLines="0" tabSelected="1" zoomScale="85" zoomScaleNormal="85" workbookViewId="0">
      <selection activeCell="A8" sqref="A8"/>
    </sheetView>
  </sheetViews>
  <sheetFormatPr defaultColWidth="14.44140625" defaultRowHeight="15.75" customHeight="1" x14ac:dyDescent="0.3"/>
  <cols>
    <col min="1" max="1" width="15.6640625" style="3" customWidth="1"/>
    <col min="2" max="16384" width="14.44140625" style="3"/>
  </cols>
  <sheetData>
    <row r="1" spans="1:14" ht="13.8" x14ac:dyDescent="0.3">
      <c r="A1" s="2"/>
      <c r="B1" s="56"/>
      <c r="C1" s="56"/>
      <c r="D1" s="56"/>
      <c r="E1" s="56"/>
      <c r="F1" s="56"/>
      <c r="G1" s="56"/>
      <c r="H1" s="2"/>
      <c r="I1" s="2"/>
      <c r="J1" s="2"/>
      <c r="K1" s="2"/>
      <c r="L1" s="2"/>
      <c r="M1" s="2"/>
      <c r="N1" s="2"/>
    </row>
    <row r="2" spans="1:14" ht="13.95" customHeight="1" x14ac:dyDescent="0.3">
      <c r="A2" s="83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4" ht="15.75" customHeight="1" x14ac:dyDescent="0.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ht="15.75" customHeight="1" x14ac:dyDescent="0.3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 spans="1:14" ht="13.95" customHeight="1" x14ac:dyDescent="0.3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</row>
    <row r="6" spans="1:14" ht="13.8" x14ac:dyDescent="0.3">
      <c r="A6" s="57"/>
      <c r="B6" s="57"/>
      <c r="C6" s="57"/>
      <c r="D6" s="57"/>
      <c r="E6" s="57"/>
      <c r="F6" s="57"/>
      <c r="G6" s="57"/>
      <c r="H6" s="57"/>
      <c r="I6" s="2"/>
      <c r="J6" s="2"/>
      <c r="K6" s="2"/>
      <c r="L6" s="2"/>
      <c r="M6" s="2"/>
      <c r="N6" s="2"/>
    </row>
    <row r="7" spans="1:14" ht="13.8" x14ac:dyDescent="0.3">
      <c r="A7" s="5"/>
      <c r="B7" s="5"/>
      <c r="C7" s="5"/>
      <c r="D7" s="5"/>
      <c r="E7" s="5"/>
      <c r="F7" s="5"/>
      <c r="G7" s="5"/>
      <c r="H7" s="5"/>
      <c r="I7" s="73"/>
      <c r="J7" s="73"/>
      <c r="K7" s="73"/>
      <c r="L7" s="73"/>
      <c r="M7" s="73"/>
      <c r="N7" s="73"/>
    </row>
    <row r="8" spans="1:14" ht="13.8" x14ac:dyDescent="0.3">
      <c r="A8" s="5"/>
      <c r="B8" s="84" t="s">
        <v>1</v>
      </c>
      <c r="C8" s="85"/>
      <c r="D8" s="85"/>
      <c r="E8" s="85"/>
      <c r="F8" s="85"/>
      <c r="G8" s="85"/>
      <c r="H8" s="5"/>
      <c r="I8" s="75" t="s">
        <v>2</v>
      </c>
      <c r="J8" s="75"/>
      <c r="K8" s="75"/>
      <c r="L8" s="75"/>
      <c r="M8" s="75"/>
      <c r="N8" s="75"/>
    </row>
    <row r="9" spans="1:14" ht="13.8" x14ac:dyDescent="0.3">
      <c r="A9" s="5"/>
      <c r="B9" s="21"/>
      <c r="C9" s="21"/>
      <c r="D9" s="21"/>
      <c r="E9" s="21"/>
      <c r="F9" s="21"/>
      <c r="G9" s="21"/>
      <c r="H9" s="5"/>
      <c r="I9" s="75"/>
      <c r="J9" s="75"/>
      <c r="K9" s="75"/>
      <c r="L9" s="75"/>
      <c r="M9" s="75"/>
      <c r="N9" s="75"/>
    </row>
    <row r="10" spans="1:14" ht="13.8" x14ac:dyDescent="0.3">
      <c r="A10" s="5"/>
      <c r="B10" s="87" t="s">
        <v>3</v>
      </c>
      <c r="C10" s="88"/>
      <c r="D10" s="88"/>
      <c r="E10" s="88"/>
      <c r="F10" s="88"/>
      <c r="G10" s="88"/>
      <c r="H10" s="5"/>
      <c r="I10" s="75"/>
      <c r="J10" s="75"/>
      <c r="K10" s="75"/>
      <c r="L10" s="75"/>
      <c r="M10" s="75"/>
      <c r="N10" s="75"/>
    </row>
    <row r="11" spans="1:14" ht="13.8" x14ac:dyDescent="0.3">
      <c r="A11" s="5"/>
      <c r="B11" s="91" t="s">
        <v>4</v>
      </c>
      <c r="C11" s="85"/>
      <c r="D11" s="85"/>
      <c r="E11" s="85"/>
      <c r="F11" s="85"/>
      <c r="G11" s="85"/>
      <c r="H11" s="5"/>
      <c r="I11" s="75"/>
      <c r="J11" s="75"/>
      <c r="K11" s="75"/>
      <c r="L11" s="75"/>
      <c r="M11" s="75"/>
      <c r="N11" s="75"/>
    </row>
    <row r="12" spans="1:14" ht="13.8" x14ac:dyDescent="0.3">
      <c r="A12" s="5"/>
      <c r="B12" s="85"/>
      <c r="C12" s="85"/>
      <c r="D12" s="85"/>
      <c r="E12" s="85"/>
      <c r="F12" s="85"/>
      <c r="G12" s="85"/>
      <c r="H12" s="5"/>
      <c r="I12" s="75"/>
      <c r="J12" s="75"/>
      <c r="K12" s="75"/>
      <c r="L12" s="75"/>
      <c r="M12" s="75"/>
      <c r="N12" s="75"/>
    </row>
    <row r="13" spans="1:14" ht="13.8" x14ac:dyDescent="0.3">
      <c r="A13" s="5"/>
      <c r="B13" s="21"/>
      <c r="C13" s="21"/>
      <c r="D13" s="21"/>
      <c r="E13" s="21"/>
      <c r="F13" s="21"/>
      <c r="G13" s="21"/>
      <c r="H13" s="5"/>
      <c r="I13" s="75"/>
      <c r="J13" s="75"/>
      <c r="K13" s="75"/>
      <c r="L13" s="75"/>
      <c r="M13" s="75"/>
      <c r="N13" s="75"/>
    </row>
    <row r="14" spans="1:14" ht="13.8" x14ac:dyDescent="0.3">
      <c r="A14" s="5"/>
      <c r="B14" s="87" t="s">
        <v>5</v>
      </c>
      <c r="C14" s="88"/>
      <c r="D14" s="88"/>
      <c r="E14" s="88"/>
      <c r="F14" s="88"/>
      <c r="G14" s="88"/>
      <c r="H14" s="5"/>
      <c r="I14" s="75"/>
      <c r="J14" s="75"/>
      <c r="K14" s="75"/>
      <c r="L14" s="75"/>
      <c r="M14" s="75"/>
      <c r="N14" s="75"/>
    </row>
    <row r="15" spans="1:14" ht="13.8" x14ac:dyDescent="0.3">
      <c r="A15" s="5"/>
      <c r="B15" s="93" t="s">
        <v>6</v>
      </c>
      <c r="C15" s="90"/>
      <c r="D15" s="90"/>
      <c r="E15" s="90"/>
      <c r="F15" s="90"/>
      <c r="G15" s="90"/>
      <c r="H15" s="5"/>
      <c r="I15" s="73"/>
      <c r="J15" s="73"/>
      <c r="K15" s="73"/>
      <c r="L15" s="73"/>
      <c r="M15" s="73"/>
      <c r="N15" s="73"/>
    </row>
    <row r="16" spans="1:14" ht="13.8" x14ac:dyDescent="0.3">
      <c r="A16" s="5"/>
      <c r="B16" s="90"/>
      <c r="C16" s="90"/>
      <c r="D16" s="90"/>
      <c r="E16" s="90"/>
      <c r="F16" s="90"/>
      <c r="G16" s="90"/>
      <c r="H16" s="5"/>
      <c r="I16" s="73"/>
      <c r="J16" s="73"/>
      <c r="K16" s="73"/>
      <c r="L16" s="73"/>
      <c r="M16" s="73"/>
      <c r="N16" s="73"/>
    </row>
    <row r="17" spans="1:14" ht="13.8" x14ac:dyDescent="0.3">
      <c r="A17" s="5"/>
      <c r="B17" s="22"/>
      <c r="C17" s="22"/>
      <c r="D17" s="22"/>
      <c r="E17" s="22"/>
      <c r="F17" s="22"/>
      <c r="G17" s="22"/>
      <c r="H17" s="5"/>
      <c r="I17" s="73"/>
      <c r="J17" s="73"/>
      <c r="K17" s="73"/>
      <c r="L17" s="73"/>
      <c r="M17" s="73"/>
      <c r="N17" s="73"/>
    </row>
    <row r="18" spans="1:14" ht="13.8" x14ac:dyDescent="0.3">
      <c r="A18" s="5"/>
      <c r="B18" s="87" t="s">
        <v>7</v>
      </c>
      <c r="C18" s="88"/>
      <c r="D18" s="88"/>
      <c r="E18" s="88"/>
      <c r="F18" s="88"/>
      <c r="G18" s="88"/>
      <c r="H18" s="5"/>
      <c r="I18" s="73"/>
      <c r="J18" s="73"/>
      <c r="K18" s="73"/>
      <c r="L18" s="73"/>
      <c r="M18" s="73"/>
      <c r="N18" s="73"/>
    </row>
    <row r="19" spans="1:14" ht="25.5" customHeight="1" x14ac:dyDescent="0.3">
      <c r="A19" s="5"/>
      <c r="B19" s="86" t="s">
        <v>8</v>
      </c>
      <c r="C19" s="85"/>
      <c r="D19" s="85"/>
      <c r="E19" s="85"/>
      <c r="F19" s="85"/>
      <c r="G19" s="85"/>
      <c r="H19" s="5"/>
      <c r="I19" s="73"/>
      <c r="J19" s="73"/>
      <c r="K19" s="73"/>
      <c r="L19" s="73"/>
      <c r="M19" s="73"/>
      <c r="N19" s="73"/>
    </row>
    <row r="20" spans="1:14" ht="13.8" x14ac:dyDescent="0.3">
      <c r="A20" s="5"/>
      <c r="B20" s="85"/>
      <c r="C20" s="85"/>
      <c r="D20" s="85"/>
      <c r="E20" s="85"/>
      <c r="F20" s="85"/>
      <c r="G20" s="85"/>
      <c r="H20" s="5"/>
      <c r="I20" s="73"/>
      <c r="J20" s="73"/>
      <c r="K20" s="73"/>
      <c r="L20" s="73"/>
      <c r="M20" s="73"/>
      <c r="N20" s="73"/>
    </row>
    <row r="21" spans="1:14" ht="13.8" x14ac:dyDescent="0.3">
      <c r="A21" s="5"/>
      <c r="B21" s="22"/>
      <c r="C21" s="22"/>
      <c r="D21" s="22"/>
      <c r="E21" s="22"/>
      <c r="F21" s="22"/>
      <c r="G21" s="22"/>
      <c r="H21" s="5"/>
      <c r="I21" s="73"/>
      <c r="J21" s="73"/>
      <c r="K21" s="73"/>
      <c r="L21" s="73"/>
      <c r="M21" s="73"/>
      <c r="N21" s="73"/>
    </row>
    <row r="22" spans="1:14" ht="13.8" x14ac:dyDescent="0.3">
      <c r="A22" s="5"/>
      <c r="B22" s="87" t="s">
        <v>9</v>
      </c>
      <c r="C22" s="88"/>
      <c r="D22" s="88"/>
      <c r="E22" s="88"/>
      <c r="F22" s="88"/>
      <c r="G22" s="88"/>
      <c r="H22" s="5"/>
      <c r="I22" s="73"/>
      <c r="J22" s="73"/>
      <c r="K22" s="73"/>
      <c r="L22" s="73"/>
      <c r="M22" s="73"/>
      <c r="N22" s="73"/>
    </row>
    <row r="23" spans="1:14" ht="18" customHeight="1" x14ac:dyDescent="0.3">
      <c r="A23" s="5"/>
      <c r="B23" s="86" t="s">
        <v>10</v>
      </c>
      <c r="C23" s="85"/>
      <c r="D23" s="85"/>
      <c r="E23" s="85"/>
      <c r="F23" s="85"/>
      <c r="G23" s="85"/>
      <c r="H23" s="5"/>
      <c r="I23" s="73"/>
      <c r="J23" s="82" t="s">
        <v>11</v>
      </c>
      <c r="K23" s="82"/>
      <c r="L23" s="82"/>
      <c r="M23" s="82"/>
      <c r="N23" s="73"/>
    </row>
    <row r="24" spans="1:14" ht="13.95" customHeight="1" x14ac:dyDescent="0.3">
      <c r="A24" s="5"/>
      <c r="B24" s="85"/>
      <c r="C24" s="85"/>
      <c r="D24" s="85"/>
      <c r="E24" s="85"/>
      <c r="F24" s="85"/>
      <c r="G24" s="85"/>
      <c r="H24" s="5"/>
      <c r="I24" s="73"/>
      <c r="J24" s="82"/>
      <c r="K24" s="82"/>
      <c r="L24" s="82"/>
      <c r="M24" s="82"/>
      <c r="N24" s="73"/>
    </row>
    <row r="25" spans="1:14" ht="13.8" x14ac:dyDescent="0.3">
      <c r="A25" s="5"/>
      <c r="B25" s="22"/>
      <c r="C25" s="22"/>
      <c r="D25" s="22"/>
      <c r="E25" s="22"/>
      <c r="F25" s="22"/>
      <c r="G25" s="22"/>
      <c r="H25" s="5"/>
      <c r="I25" s="73"/>
      <c r="J25" s="82"/>
      <c r="K25" s="82"/>
      <c r="L25" s="82"/>
      <c r="M25" s="82"/>
      <c r="N25" s="73"/>
    </row>
    <row r="26" spans="1:14" ht="13.8" x14ac:dyDescent="0.3">
      <c r="A26" s="5"/>
      <c r="B26" s="87" t="s">
        <v>12</v>
      </c>
      <c r="C26" s="88"/>
      <c r="D26" s="88"/>
      <c r="E26" s="88"/>
      <c r="F26" s="88"/>
      <c r="G26" s="88"/>
      <c r="H26" s="5"/>
      <c r="I26" s="73"/>
      <c r="J26" s="82"/>
      <c r="K26" s="82"/>
      <c r="L26" s="82"/>
      <c r="M26" s="82"/>
      <c r="N26" s="73"/>
    </row>
    <row r="27" spans="1:14" ht="13.8" x14ac:dyDescent="0.3">
      <c r="A27" s="5"/>
      <c r="B27" s="89" t="s">
        <v>13</v>
      </c>
      <c r="C27" s="90"/>
      <c r="D27" s="90"/>
      <c r="E27" s="90"/>
      <c r="F27" s="90"/>
      <c r="G27" s="90"/>
      <c r="H27" s="5"/>
      <c r="I27" s="73"/>
      <c r="J27" s="82"/>
      <c r="K27" s="82"/>
      <c r="L27" s="82"/>
      <c r="M27" s="82"/>
      <c r="N27" s="73"/>
    </row>
    <row r="28" spans="1:14" ht="26.25" customHeight="1" x14ac:dyDescent="0.3">
      <c r="A28" s="5"/>
      <c r="B28" s="90"/>
      <c r="C28" s="90"/>
      <c r="D28" s="90"/>
      <c r="E28" s="90"/>
      <c r="F28" s="90"/>
      <c r="G28" s="90"/>
      <c r="H28" s="5"/>
      <c r="I28" s="73"/>
      <c r="J28" s="73"/>
      <c r="K28" s="73"/>
      <c r="L28" s="73"/>
      <c r="M28" s="73"/>
      <c r="N28" s="73"/>
    </row>
    <row r="29" spans="1:14" ht="13.8" x14ac:dyDescent="0.3">
      <c r="A29" s="5"/>
      <c r="B29" s="22"/>
      <c r="C29" s="22"/>
      <c r="D29" s="22"/>
      <c r="E29" s="22"/>
      <c r="F29" s="22"/>
      <c r="G29" s="22"/>
      <c r="H29" s="5"/>
      <c r="I29" s="73"/>
      <c r="J29" s="74"/>
      <c r="K29" s="76" t="s">
        <v>14</v>
      </c>
      <c r="L29" s="77"/>
      <c r="M29" s="73"/>
      <c r="N29" s="73"/>
    </row>
    <row r="30" spans="1:14" ht="13.8" x14ac:dyDescent="0.3">
      <c r="A30" s="5"/>
      <c r="B30" s="92" t="s">
        <v>15</v>
      </c>
      <c r="C30" s="85"/>
      <c r="D30" s="85"/>
      <c r="E30" s="85"/>
      <c r="F30" s="85"/>
      <c r="G30" s="85"/>
      <c r="H30" s="5"/>
      <c r="I30" s="73"/>
      <c r="J30" s="74"/>
      <c r="K30" s="78"/>
      <c r="L30" s="79"/>
      <c r="M30" s="73"/>
      <c r="N30" s="73"/>
    </row>
    <row r="31" spans="1:14" ht="13.8" x14ac:dyDescent="0.3">
      <c r="A31" s="5"/>
      <c r="B31" s="85"/>
      <c r="C31" s="85"/>
      <c r="D31" s="85"/>
      <c r="E31" s="85"/>
      <c r="F31" s="85"/>
      <c r="G31" s="85"/>
      <c r="H31" s="5"/>
      <c r="I31" s="73"/>
      <c r="J31" s="74"/>
      <c r="K31" s="80"/>
      <c r="L31" s="81"/>
      <c r="M31" s="73"/>
      <c r="N31" s="73"/>
    </row>
    <row r="32" spans="1:14" ht="13.8" x14ac:dyDescent="0.3">
      <c r="A32" s="5"/>
      <c r="B32" s="22"/>
      <c r="C32" s="22"/>
      <c r="D32" s="22"/>
      <c r="E32" s="22"/>
      <c r="F32" s="22"/>
      <c r="G32" s="22"/>
      <c r="H32" s="5"/>
      <c r="I32" s="73"/>
      <c r="J32" s="73"/>
      <c r="K32" s="73"/>
      <c r="L32" s="73"/>
      <c r="M32" s="73"/>
      <c r="N32" s="73"/>
    </row>
    <row r="33" spans="1:14" ht="13.8" x14ac:dyDescent="0.3">
      <c r="A33" s="5"/>
      <c r="B33" s="22"/>
      <c r="C33" s="22"/>
      <c r="D33" s="22"/>
      <c r="E33" s="22"/>
      <c r="F33" s="22"/>
      <c r="G33" s="22"/>
      <c r="H33" s="5"/>
      <c r="I33" s="73"/>
      <c r="J33" s="73"/>
      <c r="K33" s="73"/>
      <c r="L33" s="73"/>
      <c r="M33" s="73"/>
      <c r="N33" s="73"/>
    </row>
    <row r="34" spans="1:14" ht="13.8" x14ac:dyDescent="0.3">
      <c r="B34" s="20"/>
      <c r="C34" s="20"/>
      <c r="D34" s="20"/>
      <c r="E34" s="20"/>
      <c r="F34" s="20"/>
      <c r="G34" s="20"/>
    </row>
    <row r="35" spans="1:14" ht="13.8" x14ac:dyDescent="0.3">
      <c r="B35" s="20"/>
      <c r="C35" s="20"/>
      <c r="D35" s="20"/>
      <c r="E35" s="20"/>
      <c r="F35" s="20"/>
      <c r="G35" s="20"/>
    </row>
    <row r="36" spans="1:14" ht="13.8" x14ac:dyDescent="0.3">
      <c r="B36" s="20"/>
      <c r="C36" s="20"/>
      <c r="D36" s="20"/>
      <c r="E36" s="20"/>
      <c r="F36" s="20"/>
      <c r="G36" s="20"/>
    </row>
    <row r="37" spans="1:14" ht="13.8" x14ac:dyDescent="0.3">
      <c r="B37" s="20"/>
      <c r="C37" s="20"/>
      <c r="D37" s="20"/>
      <c r="E37" s="20"/>
      <c r="F37" s="20"/>
      <c r="G37" s="20"/>
    </row>
    <row r="38" spans="1:14" ht="13.8" x14ac:dyDescent="0.3">
      <c r="B38" s="20"/>
      <c r="C38" s="20"/>
      <c r="D38" s="20"/>
      <c r="E38" s="20"/>
      <c r="F38" s="20"/>
      <c r="G38" s="20"/>
    </row>
    <row r="39" spans="1:14" ht="13.8" x14ac:dyDescent="0.3">
      <c r="B39" s="20"/>
      <c r="C39" s="20"/>
      <c r="D39" s="20"/>
      <c r="E39" s="20"/>
      <c r="F39" s="20"/>
      <c r="G39" s="20"/>
    </row>
    <row r="40" spans="1:14" ht="13.8" x14ac:dyDescent="0.3">
      <c r="B40" s="20"/>
      <c r="C40" s="20"/>
      <c r="D40" s="20"/>
      <c r="E40" s="20"/>
      <c r="F40" s="20"/>
      <c r="G40" s="20"/>
    </row>
    <row r="41" spans="1:14" ht="13.8" x14ac:dyDescent="0.3">
      <c r="B41" s="20"/>
      <c r="C41" s="20"/>
      <c r="D41" s="20"/>
      <c r="E41" s="20"/>
      <c r="F41" s="20"/>
      <c r="G41" s="20"/>
    </row>
    <row r="42" spans="1:14" ht="13.8" x14ac:dyDescent="0.3">
      <c r="B42" s="20"/>
      <c r="C42" s="20"/>
      <c r="D42" s="20"/>
      <c r="E42" s="20"/>
      <c r="F42" s="20"/>
      <c r="G42" s="20"/>
    </row>
    <row r="43" spans="1:14" ht="13.8" x14ac:dyDescent="0.3">
      <c r="B43" s="20"/>
      <c r="C43" s="20"/>
      <c r="D43" s="20"/>
      <c r="E43" s="20"/>
      <c r="F43" s="20"/>
      <c r="G43" s="20"/>
    </row>
    <row r="44" spans="1:14" ht="13.8" x14ac:dyDescent="0.3">
      <c r="B44" s="20"/>
      <c r="C44" s="20"/>
      <c r="D44" s="20"/>
      <c r="E44" s="20"/>
      <c r="F44" s="20"/>
      <c r="G44" s="20"/>
    </row>
    <row r="45" spans="1:14" ht="13.8" x14ac:dyDescent="0.3">
      <c r="B45" s="20"/>
      <c r="C45" s="20"/>
      <c r="D45" s="20"/>
      <c r="E45" s="20"/>
      <c r="F45" s="20"/>
      <c r="G45" s="20"/>
    </row>
    <row r="46" spans="1:14" ht="13.8" x14ac:dyDescent="0.3">
      <c r="B46" s="20"/>
      <c r="C46" s="20"/>
      <c r="D46" s="20"/>
      <c r="E46" s="20"/>
      <c r="F46" s="20"/>
      <c r="G46" s="20"/>
    </row>
    <row r="47" spans="1:14" ht="13.8" x14ac:dyDescent="0.3">
      <c r="B47" s="20"/>
      <c r="C47" s="20"/>
      <c r="D47" s="20"/>
      <c r="E47" s="20"/>
      <c r="F47" s="20"/>
      <c r="G47" s="20"/>
    </row>
    <row r="48" spans="1:14" ht="13.8" x14ac:dyDescent="0.3">
      <c r="B48" s="20"/>
      <c r="C48" s="20"/>
      <c r="D48" s="20"/>
      <c r="E48" s="20"/>
      <c r="F48" s="20"/>
      <c r="G48" s="20"/>
    </row>
    <row r="49" spans="2:7" ht="13.8" x14ac:dyDescent="0.3">
      <c r="B49" s="20"/>
      <c r="C49" s="20"/>
      <c r="D49" s="20"/>
      <c r="E49" s="20"/>
      <c r="F49" s="20"/>
      <c r="G49" s="20"/>
    </row>
    <row r="50" spans="2:7" ht="13.8" x14ac:dyDescent="0.3">
      <c r="B50" s="20"/>
      <c r="C50" s="20"/>
      <c r="D50" s="20"/>
      <c r="E50" s="20"/>
      <c r="F50" s="20"/>
      <c r="G50" s="20"/>
    </row>
    <row r="51" spans="2:7" ht="13.8" x14ac:dyDescent="0.3">
      <c r="B51" s="20"/>
      <c r="C51" s="20"/>
      <c r="D51" s="20"/>
      <c r="E51" s="20"/>
      <c r="F51" s="20"/>
      <c r="G51" s="20"/>
    </row>
    <row r="52" spans="2:7" ht="13.8" x14ac:dyDescent="0.3">
      <c r="B52" s="20"/>
      <c r="C52" s="20"/>
      <c r="D52" s="20"/>
      <c r="E52" s="20"/>
      <c r="F52" s="20"/>
      <c r="G52" s="20"/>
    </row>
    <row r="53" spans="2:7" ht="13.8" x14ac:dyDescent="0.3">
      <c r="B53" s="20"/>
      <c r="C53" s="20"/>
      <c r="D53" s="20"/>
      <c r="E53" s="20"/>
      <c r="F53" s="20"/>
      <c r="G53" s="20"/>
    </row>
    <row r="54" spans="2:7" ht="13.8" x14ac:dyDescent="0.3">
      <c r="B54" s="20"/>
      <c r="C54" s="20"/>
      <c r="D54" s="20"/>
      <c r="E54" s="20"/>
      <c r="F54" s="20"/>
      <c r="G54" s="20"/>
    </row>
    <row r="55" spans="2:7" ht="13.8" x14ac:dyDescent="0.3">
      <c r="B55" s="20"/>
      <c r="C55" s="20"/>
      <c r="D55" s="20"/>
      <c r="E55" s="20"/>
      <c r="F55" s="20"/>
      <c r="G55" s="20"/>
    </row>
    <row r="56" spans="2:7" ht="13.8" x14ac:dyDescent="0.3">
      <c r="B56" s="20"/>
      <c r="C56" s="20"/>
      <c r="D56" s="20"/>
      <c r="E56" s="20"/>
      <c r="F56" s="20"/>
      <c r="G56" s="20"/>
    </row>
    <row r="57" spans="2:7" ht="13.8" x14ac:dyDescent="0.3">
      <c r="B57" s="20"/>
      <c r="C57" s="20"/>
      <c r="D57" s="20"/>
      <c r="E57" s="20"/>
      <c r="F57" s="20"/>
      <c r="G57" s="20"/>
    </row>
    <row r="58" spans="2:7" ht="13.8" x14ac:dyDescent="0.3">
      <c r="B58" s="20"/>
      <c r="C58" s="20"/>
      <c r="D58" s="20"/>
      <c r="E58" s="20"/>
      <c r="F58" s="20"/>
      <c r="G58" s="20"/>
    </row>
    <row r="59" spans="2:7" ht="13.8" x14ac:dyDescent="0.3">
      <c r="B59" s="20"/>
      <c r="C59" s="20"/>
      <c r="D59" s="20"/>
      <c r="E59" s="20"/>
      <c r="F59" s="20"/>
      <c r="G59" s="20"/>
    </row>
    <row r="60" spans="2:7" ht="13.8" x14ac:dyDescent="0.3">
      <c r="B60" s="20"/>
      <c r="C60" s="20"/>
      <c r="D60" s="20"/>
      <c r="E60" s="20"/>
      <c r="F60" s="20"/>
      <c r="G60" s="20"/>
    </row>
    <row r="61" spans="2:7" ht="13.8" x14ac:dyDescent="0.3">
      <c r="B61" s="20"/>
      <c r="C61" s="20"/>
      <c r="D61" s="20"/>
      <c r="E61" s="20"/>
      <c r="F61" s="20"/>
      <c r="G61" s="20"/>
    </row>
    <row r="62" spans="2:7" ht="13.8" x14ac:dyDescent="0.3">
      <c r="B62" s="20"/>
      <c r="C62" s="20"/>
      <c r="D62" s="20"/>
      <c r="E62" s="20"/>
      <c r="F62" s="20"/>
      <c r="G62" s="20"/>
    </row>
    <row r="63" spans="2:7" ht="13.8" x14ac:dyDescent="0.3">
      <c r="B63" s="20"/>
      <c r="C63" s="20"/>
      <c r="D63" s="20"/>
      <c r="E63" s="20"/>
      <c r="F63" s="20"/>
      <c r="G63" s="20"/>
    </row>
    <row r="64" spans="2:7" ht="13.8" x14ac:dyDescent="0.3">
      <c r="B64" s="20"/>
      <c r="C64" s="20"/>
      <c r="D64" s="20"/>
      <c r="E64" s="20"/>
      <c r="F64" s="20"/>
      <c r="G64" s="20"/>
    </row>
    <row r="65" spans="2:7" ht="13.8" x14ac:dyDescent="0.3">
      <c r="B65" s="20"/>
      <c r="C65" s="20"/>
      <c r="D65" s="20"/>
      <c r="E65" s="20"/>
      <c r="F65" s="20"/>
      <c r="G65" s="20"/>
    </row>
    <row r="66" spans="2:7" ht="13.8" x14ac:dyDescent="0.3">
      <c r="B66" s="20"/>
      <c r="C66" s="20"/>
      <c r="D66" s="20"/>
      <c r="E66" s="20"/>
      <c r="F66" s="20"/>
      <c r="G66" s="20"/>
    </row>
    <row r="67" spans="2:7" ht="13.8" x14ac:dyDescent="0.3">
      <c r="B67" s="20"/>
      <c r="C67" s="20"/>
      <c r="D67" s="20"/>
      <c r="E67" s="20"/>
      <c r="F67" s="20"/>
      <c r="G67" s="20"/>
    </row>
    <row r="68" spans="2:7" ht="13.8" x14ac:dyDescent="0.3">
      <c r="B68" s="20"/>
      <c r="C68" s="20"/>
      <c r="D68" s="20"/>
      <c r="E68" s="20"/>
      <c r="F68" s="20"/>
      <c r="G68" s="20"/>
    </row>
    <row r="69" spans="2:7" ht="13.8" x14ac:dyDescent="0.3">
      <c r="B69" s="20"/>
      <c r="C69" s="20"/>
      <c r="D69" s="20"/>
      <c r="E69" s="20"/>
      <c r="F69" s="20"/>
      <c r="G69" s="20"/>
    </row>
    <row r="70" spans="2:7" ht="13.8" x14ac:dyDescent="0.3">
      <c r="B70" s="20"/>
      <c r="C70" s="20"/>
      <c r="D70" s="20"/>
      <c r="E70" s="20"/>
      <c r="F70" s="20"/>
      <c r="G70" s="20"/>
    </row>
    <row r="71" spans="2:7" ht="13.8" x14ac:dyDescent="0.3">
      <c r="B71" s="20"/>
      <c r="C71" s="20"/>
      <c r="D71" s="20"/>
      <c r="E71" s="20"/>
      <c r="F71" s="20"/>
      <c r="G71" s="20"/>
    </row>
    <row r="72" spans="2:7" ht="13.8" x14ac:dyDescent="0.3">
      <c r="B72" s="20"/>
      <c r="C72" s="20"/>
      <c r="D72" s="20"/>
      <c r="E72" s="20"/>
      <c r="F72" s="20"/>
      <c r="G72" s="20"/>
    </row>
    <row r="73" spans="2:7" ht="13.8" x14ac:dyDescent="0.3">
      <c r="B73" s="20"/>
      <c r="C73" s="20"/>
      <c r="D73" s="20"/>
      <c r="E73" s="20"/>
      <c r="F73" s="20"/>
      <c r="G73" s="20"/>
    </row>
    <row r="74" spans="2:7" ht="13.8" x14ac:dyDescent="0.3">
      <c r="B74" s="20"/>
      <c r="C74" s="20"/>
      <c r="D74" s="20"/>
      <c r="E74" s="20"/>
      <c r="F74" s="20"/>
      <c r="G74" s="20"/>
    </row>
    <row r="75" spans="2:7" ht="13.8" x14ac:dyDescent="0.3">
      <c r="B75" s="20"/>
      <c r="C75" s="20"/>
      <c r="D75" s="20"/>
      <c r="E75" s="20"/>
      <c r="F75" s="20"/>
      <c r="G75" s="20"/>
    </row>
    <row r="76" spans="2:7" ht="13.8" x14ac:dyDescent="0.3">
      <c r="B76" s="20"/>
      <c r="C76" s="20"/>
      <c r="D76" s="20"/>
      <c r="E76" s="20"/>
      <c r="F76" s="20"/>
      <c r="G76" s="20"/>
    </row>
    <row r="77" spans="2:7" ht="13.8" x14ac:dyDescent="0.3">
      <c r="B77" s="20"/>
      <c r="C77" s="20"/>
      <c r="D77" s="20"/>
      <c r="E77" s="20"/>
      <c r="F77" s="20"/>
      <c r="G77" s="20"/>
    </row>
    <row r="78" spans="2:7" ht="13.8" x14ac:dyDescent="0.3">
      <c r="B78" s="20"/>
      <c r="C78" s="20"/>
      <c r="D78" s="20"/>
      <c r="E78" s="20"/>
      <c r="F78" s="20"/>
      <c r="G78" s="20"/>
    </row>
    <row r="79" spans="2:7" ht="13.8" x14ac:dyDescent="0.3">
      <c r="B79" s="20"/>
      <c r="C79" s="20"/>
      <c r="D79" s="20"/>
      <c r="E79" s="20"/>
      <c r="F79" s="20"/>
      <c r="G79" s="20"/>
    </row>
    <row r="80" spans="2:7" ht="13.8" x14ac:dyDescent="0.3">
      <c r="B80" s="20"/>
      <c r="C80" s="20"/>
      <c r="D80" s="20"/>
      <c r="E80" s="20"/>
      <c r="F80" s="20"/>
      <c r="G80" s="20"/>
    </row>
    <row r="81" spans="2:7" ht="13.8" x14ac:dyDescent="0.3">
      <c r="B81" s="20"/>
      <c r="C81" s="20"/>
      <c r="D81" s="20"/>
      <c r="E81" s="20"/>
      <c r="F81" s="20"/>
      <c r="G81" s="20"/>
    </row>
    <row r="82" spans="2:7" ht="13.8" x14ac:dyDescent="0.3">
      <c r="B82" s="20"/>
      <c r="C82" s="20"/>
      <c r="D82" s="20"/>
      <c r="E82" s="20"/>
      <c r="F82" s="20"/>
      <c r="G82" s="20"/>
    </row>
    <row r="83" spans="2:7" ht="13.8" x14ac:dyDescent="0.3">
      <c r="B83" s="20"/>
      <c r="C83" s="20"/>
      <c r="D83" s="20"/>
      <c r="E83" s="20"/>
      <c r="F83" s="20"/>
      <c r="G83" s="20"/>
    </row>
    <row r="84" spans="2:7" ht="13.8" x14ac:dyDescent="0.3">
      <c r="B84" s="20"/>
      <c r="C84" s="20"/>
      <c r="D84" s="20"/>
      <c r="E84" s="20"/>
      <c r="F84" s="20"/>
      <c r="G84" s="20"/>
    </row>
    <row r="85" spans="2:7" ht="13.8" x14ac:dyDescent="0.3">
      <c r="B85" s="20"/>
      <c r="C85" s="20"/>
      <c r="D85" s="20"/>
      <c r="E85" s="20"/>
      <c r="F85" s="20"/>
      <c r="G85" s="20"/>
    </row>
    <row r="86" spans="2:7" ht="13.8" x14ac:dyDescent="0.3">
      <c r="B86" s="20"/>
      <c r="C86" s="20"/>
      <c r="D86" s="20"/>
      <c r="E86" s="20"/>
      <c r="F86" s="20"/>
      <c r="G86" s="20"/>
    </row>
    <row r="87" spans="2:7" ht="13.8" x14ac:dyDescent="0.3">
      <c r="B87" s="20"/>
      <c r="C87" s="20"/>
      <c r="D87" s="20"/>
      <c r="E87" s="20"/>
      <c r="F87" s="20"/>
      <c r="G87" s="20"/>
    </row>
    <row r="88" spans="2:7" ht="13.8" x14ac:dyDescent="0.3">
      <c r="B88" s="20"/>
      <c r="C88" s="20"/>
      <c r="D88" s="20"/>
      <c r="E88" s="20"/>
      <c r="F88" s="20"/>
      <c r="G88" s="20"/>
    </row>
    <row r="89" spans="2:7" ht="13.8" x14ac:dyDescent="0.3">
      <c r="B89" s="20"/>
      <c r="C89" s="20"/>
      <c r="D89" s="20"/>
      <c r="E89" s="20"/>
      <c r="F89" s="20"/>
      <c r="G89" s="20"/>
    </row>
    <row r="90" spans="2:7" ht="13.8" x14ac:dyDescent="0.3">
      <c r="B90" s="20"/>
      <c r="C90" s="20"/>
      <c r="D90" s="20"/>
      <c r="E90" s="20"/>
      <c r="F90" s="20"/>
      <c r="G90" s="20"/>
    </row>
    <row r="91" spans="2:7" ht="13.8" x14ac:dyDescent="0.3">
      <c r="B91" s="20"/>
      <c r="C91" s="20"/>
      <c r="D91" s="20"/>
      <c r="E91" s="20"/>
      <c r="F91" s="20"/>
      <c r="G91" s="20"/>
    </row>
    <row r="92" spans="2:7" ht="13.8" x14ac:dyDescent="0.3">
      <c r="B92" s="20"/>
      <c r="C92" s="20"/>
      <c r="D92" s="20"/>
      <c r="E92" s="20"/>
      <c r="F92" s="20"/>
      <c r="G92" s="20"/>
    </row>
    <row r="93" spans="2:7" ht="13.8" x14ac:dyDescent="0.3">
      <c r="B93" s="20"/>
      <c r="C93" s="20"/>
      <c r="D93" s="20"/>
      <c r="E93" s="20"/>
      <c r="F93" s="20"/>
      <c r="G93" s="20"/>
    </row>
    <row r="94" spans="2:7" ht="13.8" x14ac:dyDescent="0.3">
      <c r="B94" s="20"/>
      <c r="C94" s="20"/>
      <c r="D94" s="20"/>
      <c r="E94" s="20"/>
      <c r="F94" s="20"/>
      <c r="G94" s="20"/>
    </row>
    <row r="95" spans="2:7" ht="13.8" x14ac:dyDescent="0.3">
      <c r="B95" s="20"/>
      <c r="C95" s="20"/>
      <c r="D95" s="20"/>
      <c r="E95" s="20"/>
      <c r="F95" s="20"/>
      <c r="G95" s="20"/>
    </row>
    <row r="96" spans="2:7" ht="13.8" x14ac:dyDescent="0.3">
      <c r="B96" s="20"/>
      <c r="C96" s="20"/>
      <c r="D96" s="20"/>
      <c r="E96" s="20"/>
      <c r="F96" s="20"/>
      <c r="G96" s="20"/>
    </row>
    <row r="97" spans="2:7" ht="13.8" x14ac:dyDescent="0.3">
      <c r="B97" s="20"/>
      <c r="C97" s="20"/>
      <c r="D97" s="20"/>
      <c r="E97" s="20"/>
      <c r="F97" s="20"/>
      <c r="G97" s="20"/>
    </row>
    <row r="98" spans="2:7" ht="13.8" x14ac:dyDescent="0.3">
      <c r="B98" s="20"/>
      <c r="C98" s="20"/>
      <c r="D98" s="20"/>
      <c r="E98" s="20"/>
      <c r="F98" s="20"/>
      <c r="G98" s="20"/>
    </row>
    <row r="99" spans="2:7" ht="13.8" x14ac:dyDescent="0.3">
      <c r="B99" s="20"/>
      <c r="C99" s="20"/>
      <c r="D99" s="20"/>
      <c r="E99" s="20"/>
      <c r="F99" s="20"/>
      <c r="G99" s="20"/>
    </row>
    <row r="100" spans="2:7" ht="13.8" x14ac:dyDescent="0.3">
      <c r="B100" s="20"/>
      <c r="C100" s="20"/>
      <c r="D100" s="20"/>
      <c r="E100" s="20"/>
      <c r="F100" s="20"/>
      <c r="G100" s="20"/>
    </row>
    <row r="101" spans="2:7" ht="13.8" x14ac:dyDescent="0.3">
      <c r="B101" s="20"/>
      <c r="C101" s="20"/>
      <c r="D101" s="20"/>
      <c r="E101" s="20"/>
      <c r="F101" s="20"/>
      <c r="G101" s="20"/>
    </row>
    <row r="102" spans="2:7" ht="13.8" x14ac:dyDescent="0.3">
      <c r="B102" s="20"/>
      <c r="C102" s="20"/>
      <c r="D102" s="20"/>
      <c r="E102" s="20"/>
      <c r="F102" s="20"/>
      <c r="G102" s="20"/>
    </row>
    <row r="103" spans="2:7" ht="13.8" x14ac:dyDescent="0.3">
      <c r="B103" s="20"/>
      <c r="C103" s="20"/>
      <c r="D103" s="20"/>
      <c r="E103" s="20"/>
      <c r="F103" s="20"/>
      <c r="G103" s="20"/>
    </row>
    <row r="104" spans="2:7" ht="13.8" x14ac:dyDescent="0.3">
      <c r="B104" s="20"/>
      <c r="C104" s="20"/>
      <c r="D104" s="20"/>
      <c r="E104" s="20"/>
      <c r="F104" s="20"/>
      <c r="G104" s="20"/>
    </row>
    <row r="105" spans="2:7" ht="13.8" x14ac:dyDescent="0.3">
      <c r="B105" s="20"/>
      <c r="C105" s="20"/>
      <c r="D105" s="20"/>
      <c r="E105" s="20"/>
      <c r="F105" s="20"/>
      <c r="G105" s="20"/>
    </row>
    <row r="106" spans="2:7" ht="13.8" x14ac:dyDescent="0.3">
      <c r="B106" s="20"/>
      <c r="C106" s="20"/>
      <c r="D106" s="20"/>
      <c r="E106" s="20"/>
      <c r="F106" s="20"/>
      <c r="G106" s="20"/>
    </row>
    <row r="107" spans="2:7" ht="13.8" x14ac:dyDescent="0.3">
      <c r="B107" s="20"/>
      <c r="C107" s="20"/>
      <c r="D107" s="20"/>
      <c r="E107" s="20"/>
      <c r="F107" s="20"/>
      <c r="G107" s="20"/>
    </row>
    <row r="108" spans="2:7" ht="13.8" x14ac:dyDescent="0.3">
      <c r="B108" s="20"/>
      <c r="C108" s="20"/>
      <c r="D108" s="20"/>
      <c r="E108" s="20"/>
      <c r="F108" s="20"/>
      <c r="G108" s="20"/>
    </row>
    <row r="109" spans="2:7" ht="13.8" x14ac:dyDescent="0.3">
      <c r="B109" s="20"/>
      <c r="C109" s="20"/>
      <c r="D109" s="20"/>
      <c r="E109" s="20"/>
      <c r="F109" s="20"/>
      <c r="G109" s="20"/>
    </row>
    <row r="110" spans="2:7" ht="13.8" x14ac:dyDescent="0.3">
      <c r="B110" s="20"/>
      <c r="C110" s="20"/>
      <c r="D110" s="20"/>
      <c r="E110" s="20"/>
      <c r="F110" s="20"/>
      <c r="G110" s="20"/>
    </row>
    <row r="111" spans="2:7" ht="13.8" x14ac:dyDescent="0.3">
      <c r="B111" s="20"/>
      <c r="C111" s="20"/>
      <c r="D111" s="20"/>
      <c r="E111" s="20"/>
      <c r="F111" s="20"/>
      <c r="G111" s="20"/>
    </row>
    <row r="112" spans="2:7" ht="13.8" x14ac:dyDescent="0.3">
      <c r="B112" s="20"/>
      <c r="C112" s="20"/>
      <c r="D112" s="20"/>
      <c r="E112" s="20"/>
      <c r="F112" s="20"/>
      <c r="G112" s="20"/>
    </row>
    <row r="113" spans="2:7" ht="13.8" x14ac:dyDescent="0.3">
      <c r="B113" s="20"/>
      <c r="C113" s="20"/>
      <c r="D113" s="20"/>
      <c r="E113" s="20"/>
      <c r="F113" s="20"/>
      <c r="G113" s="20"/>
    </row>
    <row r="114" spans="2:7" ht="13.8" x14ac:dyDescent="0.3">
      <c r="B114" s="20"/>
      <c r="C114" s="20"/>
      <c r="D114" s="20"/>
      <c r="E114" s="20"/>
      <c r="F114" s="20"/>
      <c r="G114" s="20"/>
    </row>
    <row r="115" spans="2:7" ht="13.8" x14ac:dyDescent="0.3">
      <c r="B115" s="20"/>
      <c r="C115" s="20"/>
      <c r="D115" s="20"/>
      <c r="E115" s="20"/>
      <c r="F115" s="20"/>
      <c r="G115" s="20"/>
    </row>
    <row r="116" spans="2:7" ht="13.8" x14ac:dyDescent="0.3">
      <c r="B116" s="20"/>
      <c r="C116" s="20"/>
      <c r="D116" s="20"/>
      <c r="E116" s="20"/>
      <c r="F116" s="20"/>
      <c r="G116" s="20"/>
    </row>
    <row r="117" spans="2:7" ht="13.8" x14ac:dyDescent="0.3">
      <c r="B117" s="20"/>
      <c r="C117" s="20"/>
      <c r="D117" s="20"/>
      <c r="E117" s="20"/>
      <c r="F117" s="20"/>
      <c r="G117" s="20"/>
    </row>
    <row r="118" spans="2:7" ht="13.8" x14ac:dyDescent="0.3">
      <c r="B118" s="20"/>
      <c r="C118" s="20"/>
      <c r="D118" s="20"/>
      <c r="E118" s="20"/>
      <c r="F118" s="20"/>
      <c r="G118" s="20"/>
    </row>
    <row r="119" spans="2:7" ht="13.8" x14ac:dyDescent="0.3">
      <c r="B119" s="20"/>
      <c r="C119" s="20"/>
      <c r="D119" s="20"/>
      <c r="E119" s="20"/>
      <c r="F119" s="20"/>
      <c r="G119" s="20"/>
    </row>
    <row r="120" spans="2:7" ht="13.8" x14ac:dyDescent="0.3">
      <c r="B120" s="20"/>
      <c r="C120" s="20"/>
      <c r="D120" s="20"/>
      <c r="E120" s="20"/>
      <c r="F120" s="20"/>
      <c r="G120" s="20"/>
    </row>
    <row r="121" spans="2:7" ht="13.8" x14ac:dyDescent="0.3">
      <c r="B121" s="20"/>
      <c r="C121" s="20"/>
      <c r="D121" s="20"/>
      <c r="E121" s="20"/>
      <c r="F121" s="20"/>
      <c r="G121" s="20"/>
    </row>
    <row r="122" spans="2:7" ht="13.8" x14ac:dyDescent="0.3">
      <c r="B122" s="20"/>
      <c r="C122" s="20"/>
      <c r="D122" s="20"/>
      <c r="E122" s="20"/>
      <c r="F122" s="20"/>
      <c r="G122" s="20"/>
    </row>
    <row r="123" spans="2:7" ht="13.8" x14ac:dyDescent="0.3">
      <c r="B123" s="20"/>
      <c r="C123" s="20"/>
      <c r="D123" s="20"/>
      <c r="E123" s="20"/>
      <c r="F123" s="20"/>
      <c r="G123" s="20"/>
    </row>
    <row r="124" spans="2:7" ht="13.8" x14ac:dyDescent="0.3">
      <c r="B124" s="20"/>
      <c r="C124" s="20"/>
      <c r="D124" s="20"/>
      <c r="E124" s="20"/>
      <c r="F124" s="20"/>
      <c r="G124" s="20"/>
    </row>
    <row r="125" spans="2:7" ht="13.8" x14ac:dyDescent="0.3">
      <c r="B125" s="20"/>
      <c r="C125" s="20"/>
      <c r="D125" s="20"/>
      <c r="E125" s="20"/>
      <c r="F125" s="20"/>
      <c r="G125" s="20"/>
    </row>
    <row r="126" spans="2:7" ht="13.8" x14ac:dyDescent="0.3">
      <c r="B126" s="20"/>
      <c r="C126" s="20"/>
      <c r="D126" s="20"/>
      <c r="E126" s="20"/>
      <c r="F126" s="20"/>
      <c r="G126" s="20"/>
    </row>
    <row r="127" spans="2:7" ht="13.8" x14ac:dyDescent="0.3">
      <c r="B127" s="20"/>
      <c r="C127" s="20"/>
      <c r="D127" s="20"/>
      <c r="E127" s="20"/>
      <c r="F127" s="20"/>
      <c r="G127" s="20"/>
    </row>
    <row r="128" spans="2:7" ht="13.8" x14ac:dyDescent="0.3">
      <c r="B128" s="20"/>
      <c r="C128" s="20"/>
      <c r="D128" s="20"/>
      <c r="E128" s="20"/>
      <c r="F128" s="20"/>
      <c r="G128" s="20"/>
    </row>
    <row r="129" spans="2:7" ht="13.8" x14ac:dyDescent="0.3">
      <c r="B129" s="20"/>
      <c r="C129" s="20"/>
      <c r="D129" s="20"/>
      <c r="E129" s="20"/>
      <c r="F129" s="20"/>
      <c r="G129" s="20"/>
    </row>
    <row r="130" spans="2:7" ht="13.8" x14ac:dyDescent="0.3">
      <c r="B130" s="20"/>
      <c r="C130" s="20"/>
      <c r="D130" s="20"/>
      <c r="E130" s="20"/>
      <c r="F130" s="20"/>
      <c r="G130" s="20"/>
    </row>
    <row r="131" spans="2:7" ht="13.8" x14ac:dyDescent="0.3">
      <c r="B131" s="20"/>
      <c r="C131" s="20"/>
      <c r="D131" s="20"/>
      <c r="E131" s="20"/>
      <c r="F131" s="20"/>
      <c r="G131" s="20"/>
    </row>
    <row r="132" spans="2:7" ht="13.8" x14ac:dyDescent="0.3">
      <c r="B132" s="20"/>
      <c r="C132" s="20"/>
      <c r="D132" s="20"/>
      <c r="E132" s="20"/>
      <c r="F132" s="20"/>
      <c r="G132" s="20"/>
    </row>
    <row r="133" spans="2:7" ht="13.8" x14ac:dyDescent="0.3">
      <c r="B133" s="20"/>
      <c r="C133" s="20"/>
      <c r="D133" s="20"/>
      <c r="E133" s="20"/>
      <c r="F133" s="20"/>
      <c r="G133" s="20"/>
    </row>
    <row r="134" spans="2:7" ht="13.8" x14ac:dyDescent="0.3">
      <c r="B134" s="20"/>
      <c r="C134" s="20"/>
      <c r="D134" s="20"/>
      <c r="E134" s="20"/>
      <c r="F134" s="20"/>
      <c r="G134" s="20"/>
    </row>
    <row r="135" spans="2:7" ht="13.8" x14ac:dyDescent="0.3">
      <c r="B135" s="20"/>
      <c r="C135" s="20"/>
      <c r="D135" s="20"/>
      <c r="E135" s="20"/>
      <c r="F135" s="20"/>
      <c r="G135" s="20"/>
    </row>
    <row r="136" spans="2:7" ht="13.8" x14ac:dyDescent="0.3">
      <c r="B136" s="20"/>
      <c r="C136" s="20"/>
      <c r="D136" s="20"/>
      <c r="E136" s="20"/>
      <c r="F136" s="20"/>
      <c r="G136" s="20"/>
    </row>
    <row r="137" spans="2:7" ht="13.8" x14ac:dyDescent="0.3">
      <c r="B137" s="20"/>
      <c r="C137" s="20"/>
      <c r="D137" s="20"/>
      <c r="E137" s="20"/>
      <c r="F137" s="20"/>
      <c r="G137" s="20"/>
    </row>
    <row r="138" spans="2:7" ht="13.8" x14ac:dyDescent="0.3">
      <c r="B138" s="20"/>
      <c r="C138" s="20"/>
      <c r="D138" s="20"/>
      <c r="E138" s="20"/>
      <c r="F138" s="20"/>
      <c r="G138" s="20"/>
    </row>
    <row r="139" spans="2:7" ht="13.8" x14ac:dyDescent="0.3">
      <c r="B139" s="20"/>
      <c r="C139" s="20"/>
      <c r="D139" s="20"/>
      <c r="E139" s="20"/>
      <c r="F139" s="20"/>
      <c r="G139" s="20"/>
    </row>
    <row r="140" spans="2:7" ht="13.8" x14ac:dyDescent="0.3">
      <c r="B140" s="20"/>
      <c r="C140" s="20"/>
      <c r="D140" s="20"/>
      <c r="E140" s="20"/>
      <c r="F140" s="20"/>
      <c r="G140" s="20"/>
    </row>
    <row r="141" spans="2:7" ht="13.8" x14ac:dyDescent="0.3">
      <c r="B141" s="20"/>
      <c r="C141" s="20"/>
      <c r="D141" s="20"/>
      <c r="E141" s="20"/>
      <c r="F141" s="20"/>
      <c r="G141" s="20"/>
    </row>
    <row r="142" spans="2:7" ht="13.8" x14ac:dyDescent="0.3">
      <c r="B142" s="20"/>
      <c r="C142" s="20"/>
      <c r="D142" s="20"/>
      <c r="E142" s="20"/>
      <c r="F142" s="20"/>
      <c r="G142" s="20"/>
    </row>
    <row r="143" spans="2:7" ht="13.8" x14ac:dyDescent="0.3">
      <c r="B143" s="20"/>
      <c r="C143" s="20"/>
      <c r="D143" s="20"/>
      <c r="E143" s="20"/>
      <c r="F143" s="20"/>
      <c r="G143" s="20"/>
    </row>
    <row r="144" spans="2:7" ht="13.8" x14ac:dyDescent="0.3">
      <c r="B144" s="20"/>
      <c r="C144" s="20"/>
      <c r="D144" s="20"/>
      <c r="E144" s="20"/>
      <c r="F144" s="20"/>
      <c r="G144" s="20"/>
    </row>
    <row r="145" spans="2:7" ht="13.8" x14ac:dyDescent="0.3">
      <c r="B145" s="20"/>
      <c r="C145" s="20"/>
      <c r="D145" s="20"/>
      <c r="E145" s="20"/>
      <c r="F145" s="20"/>
      <c r="G145" s="20"/>
    </row>
    <row r="146" spans="2:7" ht="13.8" x14ac:dyDescent="0.3">
      <c r="B146" s="20"/>
      <c r="C146" s="20"/>
      <c r="D146" s="20"/>
      <c r="E146" s="20"/>
      <c r="F146" s="20"/>
      <c r="G146" s="20"/>
    </row>
    <row r="147" spans="2:7" ht="13.8" x14ac:dyDescent="0.3">
      <c r="B147" s="20"/>
      <c r="C147" s="20"/>
      <c r="D147" s="20"/>
      <c r="E147" s="20"/>
      <c r="F147" s="20"/>
      <c r="G147" s="20"/>
    </row>
    <row r="148" spans="2:7" ht="13.8" x14ac:dyDescent="0.3">
      <c r="B148" s="20"/>
      <c r="C148" s="20"/>
      <c r="D148" s="20"/>
      <c r="E148" s="20"/>
      <c r="F148" s="20"/>
      <c r="G148" s="20"/>
    </row>
    <row r="149" spans="2:7" ht="13.8" x14ac:dyDescent="0.3">
      <c r="B149" s="20"/>
      <c r="C149" s="20"/>
      <c r="D149" s="20"/>
      <c r="E149" s="20"/>
      <c r="F149" s="20"/>
      <c r="G149" s="20"/>
    </row>
    <row r="150" spans="2:7" ht="13.8" x14ac:dyDescent="0.3">
      <c r="B150" s="20"/>
      <c r="C150" s="20"/>
      <c r="D150" s="20"/>
      <c r="E150" s="20"/>
      <c r="F150" s="20"/>
      <c r="G150" s="20"/>
    </row>
    <row r="151" spans="2:7" ht="13.8" x14ac:dyDescent="0.3">
      <c r="B151" s="20"/>
      <c r="C151" s="20"/>
      <c r="D151" s="20"/>
      <c r="E151" s="20"/>
      <c r="F151" s="20"/>
      <c r="G151" s="20"/>
    </row>
    <row r="152" spans="2:7" ht="13.8" x14ac:dyDescent="0.3">
      <c r="B152" s="20"/>
      <c r="C152" s="20"/>
      <c r="D152" s="20"/>
      <c r="E152" s="20"/>
      <c r="F152" s="20"/>
      <c r="G152" s="20"/>
    </row>
    <row r="153" spans="2:7" ht="13.8" x14ac:dyDescent="0.3">
      <c r="B153" s="20"/>
      <c r="C153" s="20"/>
      <c r="D153" s="20"/>
      <c r="E153" s="20"/>
      <c r="F153" s="20"/>
      <c r="G153" s="20"/>
    </row>
    <row r="154" spans="2:7" ht="13.8" x14ac:dyDescent="0.3">
      <c r="B154" s="20"/>
      <c r="C154" s="20"/>
      <c r="D154" s="20"/>
      <c r="E154" s="20"/>
      <c r="F154" s="20"/>
      <c r="G154" s="20"/>
    </row>
    <row r="155" spans="2:7" ht="13.8" x14ac:dyDescent="0.3">
      <c r="B155" s="20"/>
      <c r="C155" s="20"/>
      <c r="D155" s="20"/>
      <c r="E155" s="20"/>
      <c r="F155" s="20"/>
      <c r="G155" s="20"/>
    </row>
    <row r="156" spans="2:7" ht="13.8" x14ac:dyDescent="0.3">
      <c r="B156" s="20"/>
      <c r="C156" s="20"/>
      <c r="D156" s="20"/>
      <c r="E156" s="20"/>
      <c r="F156" s="20"/>
      <c r="G156" s="20"/>
    </row>
    <row r="157" spans="2:7" ht="13.8" x14ac:dyDescent="0.3">
      <c r="B157" s="20"/>
      <c r="C157" s="20"/>
      <c r="D157" s="20"/>
      <c r="E157" s="20"/>
      <c r="F157" s="20"/>
      <c r="G157" s="20"/>
    </row>
    <row r="158" spans="2:7" ht="13.8" x14ac:dyDescent="0.3">
      <c r="B158" s="20"/>
      <c r="C158" s="20"/>
      <c r="D158" s="20"/>
      <c r="E158" s="20"/>
      <c r="F158" s="20"/>
      <c r="G158" s="20"/>
    </row>
    <row r="159" spans="2:7" ht="13.8" x14ac:dyDescent="0.3">
      <c r="B159" s="20"/>
      <c r="C159" s="20"/>
      <c r="D159" s="20"/>
      <c r="E159" s="20"/>
      <c r="F159" s="20"/>
      <c r="G159" s="20"/>
    </row>
    <row r="160" spans="2:7" ht="13.8" x14ac:dyDescent="0.3">
      <c r="B160" s="20"/>
      <c r="C160" s="20"/>
      <c r="D160" s="20"/>
      <c r="E160" s="20"/>
      <c r="F160" s="20"/>
      <c r="G160" s="20"/>
    </row>
    <row r="161" spans="2:7" ht="13.8" x14ac:dyDescent="0.3">
      <c r="B161" s="20"/>
      <c r="C161" s="20"/>
      <c r="D161" s="20"/>
      <c r="E161" s="20"/>
      <c r="F161" s="20"/>
      <c r="G161" s="20"/>
    </row>
    <row r="162" spans="2:7" ht="13.8" x14ac:dyDescent="0.3">
      <c r="B162" s="20"/>
      <c r="C162" s="20"/>
      <c r="D162" s="20"/>
      <c r="E162" s="20"/>
      <c r="F162" s="20"/>
      <c r="G162" s="20"/>
    </row>
    <row r="163" spans="2:7" ht="13.8" x14ac:dyDescent="0.3">
      <c r="B163" s="20"/>
      <c r="C163" s="20"/>
      <c r="D163" s="20"/>
      <c r="E163" s="20"/>
      <c r="F163" s="20"/>
      <c r="G163" s="20"/>
    </row>
    <row r="164" spans="2:7" ht="13.8" x14ac:dyDescent="0.3">
      <c r="B164" s="20"/>
      <c r="C164" s="20"/>
      <c r="D164" s="20"/>
      <c r="E164" s="20"/>
      <c r="F164" s="20"/>
      <c r="G164" s="20"/>
    </row>
    <row r="165" spans="2:7" ht="13.8" x14ac:dyDescent="0.3">
      <c r="B165" s="20"/>
      <c r="C165" s="20"/>
      <c r="D165" s="20"/>
      <c r="E165" s="20"/>
      <c r="F165" s="20"/>
      <c r="G165" s="20"/>
    </row>
    <row r="166" spans="2:7" ht="13.8" x14ac:dyDescent="0.3">
      <c r="B166" s="20"/>
      <c r="C166" s="20"/>
      <c r="D166" s="20"/>
      <c r="E166" s="20"/>
      <c r="F166" s="20"/>
      <c r="G166" s="20"/>
    </row>
    <row r="167" spans="2:7" ht="13.8" x14ac:dyDescent="0.3">
      <c r="B167" s="20"/>
      <c r="C167" s="20"/>
      <c r="D167" s="20"/>
      <c r="E167" s="20"/>
      <c r="F167" s="20"/>
      <c r="G167" s="20"/>
    </row>
    <row r="168" spans="2:7" ht="13.8" x14ac:dyDescent="0.3">
      <c r="B168" s="20"/>
      <c r="C168" s="20"/>
      <c r="D168" s="20"/>
      <c r="E168" s="20"/>
      <c r="F168" s="20"/>
      <c r="G168" s="20"/>
    </row>
    <row r="169" spans="2:7" ht="13.8" x14ac:dyDescent="0.3">
      <c r="B169" s="20"/>
      <c r="C169" s="20"/>
      <c r="D169" s="20"/>
      <c r="E169" s="20"/>
      <c r="F169" s="20"/>
      <c r="G169" s="20"/>
    </row>
    <row r="170" spans="2:7" ht="13.8" x14ac:dyDescent="0.3">
      <c r="B170" s="20"/>
      <c r="C170" s="20"/>
      <c r="D170" s="20"/>
      <c r="E170" s="20"/>
      <c r="F170" s="20"/>
      <c r="G170" s="20"/>
    </row>
    <row r="171" spans="2:7" ht="13.8" x14ac:dyDescent="0.3">
      <c r="B171" s="20"/>
      <c r="C171" s="20"/>
      <c r="D171" s="20"/>
      <c r="E171" s="20"/>
      <c r="F171" s="20"/>
      <c r="G171" s="20"/>
    </row>
    <row r="172" spans="2:7" ht="13.8" x14ac:dyDescent="0.3">
      <c r="B172" s="20"/>
      <c r="C172" s="20"/>
      <c r="D172" s="20"/>
      <c r="E172" s="20"/>
      <c r="F172" s="20"/>
      <c r="G172" s="20"/>
    </row>
    <row r="173" spans="2:7" ht="13.8" x14ac:dyDescent="0.3">
      <c r="B173" s="20"/>
      <c r="C173" s="20"/>
      <c r="D173" s="20"/>
      <c r="E173" s="20"/>
      <c r="F173" s="20"/>
      <c r="G173" s="20"/>
    </row>
    <row r="174" spans="2:7" ht="13.8" x14ac:dyDescent="0.3">
      <c r="B174" s="20"/>
      <c r="C174" s="20"/>
      <c r="D174" s="20"/>
      <c r="E174" s="20"/>
      <c r="F174" s="20"/>
      <c r="G174" s="20"/>
    </row>
    <row r="175" spans="2:7" ht="13.8" x14ac:dyDescent="0.3">
      <c r="B175" s="20"/>
      <c r="C175" s="20"/>
      <c r="D175" s="20"/>
      <c r="E175" s="20"/>
      <c r="F175" s="20"/>
      <c r="G175" s="20"/>
    </row>
    <row r="176" spans="2:7" ht="13.8" x14ac:dyDescent="0.3">
      <c r="B176" s="20"/>
      <c r="C176" s="20"/>
      <c r="D176" s="20"/>
      <c r="E176" s="20"/>
      <c r="F176" s="20"/>
      <c r="G176" s="20"/>
    </row>
    <row r="177" spans="2:7" ht="13.8" x14ac:dyDescent="0.3">
      <c r="B177" s="20"/>
      <c r="C177" s="20"/>
      <c r="D177" s="20"/>
      <c r="E177" s="20"/>
      <c r="F177" s="20"/>
      <c r="G177" s="20"/>
    </row>
    <row r="178" spans="2:7" ht="13.8" x14ac:dyDescent="0.3">
      <c r="B178" s="20"/>
      <c r="C178" s="20"/>
      <c r="D178" s="20"/>
      <c r="E178" s="20"/>
      <c r="F178" s="20"/>
      <c r="G178" s="20"/>
    </row>
    <row r="179" spans="2:7" ht="13.8" x14ac:dyDescent="0.3">
      <c r="B179" s="20"/>
      <c r="C179" s="20"/>
      <c r="D179" s="20"/>
      <c r="E179" s="20"/>
      <c r="F179" s="20"/>
      <c r="G179" s="20"/>
    </row>
    <row r="180" spans="2:7" ht="13.8" x14ac:dyDescent="0.3">
      <c r="B180" s="20"/>
      <c r="C180" s="20"/>
      <c r="D180" s="20"/>
      <c r="E180" s="20"/>
      <c r="F180" s="20"/>
      <c r="G180" s="20"/>
    </row>
    <row r="181" spans="2:7" ht="13.8" x14ac:dyDescent="0.3">
      <c r="B181" s="20"/>
      <c r="C181" s="20"/>
      <c r="D181" s="20"/>
      <c r="E181" s="20"/>
      <c r="F181" s="20"/>
      <c r="G181" s="20"/>
    </row>
    <row r="182" spans="2:7" ht="13.8" x14ac:dyDescent="0.3">
      <c r="B182" s="20"/>
      <c r="C182" s="20"/>
      <c r="D182" s="20"/>
      <c r="E182" s="20"/>
      <c r="F182" s="20"/>
      <c r="G182" s="20"/>
    </row>
    <row r="183" spans="2:7" ht="13.8" x14ac:dyDescent="0.3">
      <c r="B183" s="20"/>
      <c r="C183" s="20"/>
      <c r="D183" s="20"/>
      <c r="E183" s="20"/>
      <c r="F183" s="20"/>
      <c r="G183" s="20"/>
    </row>
    <row r="184" spans="2:7" ht="13.8" x14ac:dyDescent="0.3">
      <c r="B184" s="20"/>
      <c r="C184" s="20"/>
      <c r="D184" s="20"/>
      <c r="E184" s="20"/>
      <c r="F184" s="20"/>
      <c r="G184" s="20"/>
    </row>
    <row r="185" spans="2:7" ht="13.8" x14ac:dyDescent="0.3">
      <c r="B185" s="20"/>
      <c r="C185" s="20"/>
      <c r="D185" s="20"/>
      <c r="E185" s="20"/>
      <c r="F185" s="20"/>
      <c r="G185" s="20"/>
    </row>
    <row r="186" spans="2:7" ht="13.8" x14ac:dyDescent="0.3">
      <c r="B186" s="20"/>
      <c r="C186" s="20"/>
      <c r="D186" s="20"/>
      <c r="E186" s="20"/>
      <c r="F186" s="20"/>
      <c r="G186" s="20"/>
    </row>
    <row r="187" spans="2:7" ht="13.8" x14ac:dyDescent="0.3">
      <c r="B187" s="20"/>
      <c r="C187" s="20"/>
      <c r="D187" s="20"/>
      <c r="E187" s="20"/>
      <c r="F187" s="20"/>
      <c r="G187" s="20"/>
    </row>
    <row r="188" spans="2:7" ht="13.8" x14ac:dyDescent="0.3">
      <c r="B188" s="20"/>
      <c r="C188" s="20"/>
      <c r="D188" s="20"/>
      <c r="E188" s="20"/>
      <c r="F188" s="20"/>
      <c r="G188" s="20"/>
    </row>
    <row r="189" spans="2:7" ht="13.8" x14ac:dyDescent="0.3">
      <c r="B189" s="20"/>
      <c r="C189" s="20"/>
      <c r="D189" s="20"/>
      <c r="E189" s="20"/>
      <c r="F189" s="20"/>
      <c r="G189" s="20"/>
    </row>
    <row r="190" spans="2:7" ht="13.8" x14ac:dyDescent="0.3">
      <c r="B190" s="20"/>
      <c r="C190" s="20"/>
      <c r="D190" s="20"/>
      <c r="E190" s="20"/>
      <c r="F190" s="20"/>
      <c r="G190" s="20"/>
    </row>
    <row r="191" spans="2:7" ht="13.8" x14ac:dyDescent="0.3">
      <c r="B191" s="20"/>
      <c r="C191" s="20"/>
      <c r="D191" s="20"/>
      <c r="E191" s="20"/>
      <c r="F191" s="20"/>
      <c r="G191" s="20"/>
    </row>
    <row r="192" spans="2:7" ht="13.8" x14ac:dyDescent="0.3">
      <c r="B192" s="20"/>
      <c r="C192" s="20"/>
      <c r="D192" s="20"/>
      <c r="E192" s="20"/>
      <c r="F192" s="20"/>
      <c r="G192" s="20"/>
    </row>
    <row r="193" spans="2:7" ht="13.8" x14ac:dyDescent="0.3">
      <c r="B193" s="20"/>
      <c r="C193" s="20"/>
      <c r="D193" s="20"/>
      <c r="E193" s="20"/>
      <c r="F193" s="20"/>
      <c r="G193" s="20"/>
    </row>
    <row r="194" spans="2:7" ht="13.8" x14ac:dyDescent="0.3">
      <c r="B194" s="20"/>
      <c r="C194" s="20"/>
      <c r="D194" s="20"/>
      <c r="E194" s="20"/>
      <c r="F194" s="20"/>
      <c r="G194" s="20"/>
    </row>
    <row r="195" spans="2:7" ht="13.8" x14ac:dyDescent="0.3">
      <c r="B195" s="20"/>
      <c r="C195" s="20"/>
      <c r="D195" s="20"/>
      <c r="E195" s="20"/>
      <c r="F195" s="20"/>
      <c r="G195" s="20"/>
    </row>
    <row r="196" spans="2:7" ht="13.8" x14ac:dyDescent="0.3">
      <c r="B196" s="20"/>
      <c r="C196" s="20"/>
      <c r="D196" s="20"/>
      <c r="E196" s="20"/>
      <c r="F196" s="20"/>
      <c r="G196" s="20"/>
    </row>
    <row r="197" spans="2:7" ht="13.8" x14ac:dyDescent="0.3">
      <c r="B197" s="20"/>
      <c r="C197" s="20"/>
      <c r="D197" s="20"/>
      <c r="E197" s="20"/>
      <c r="F197" s="20"/>
      <c r="G197" s="20"/>
    </row>
    <row r="198" spans="2:7" ht="13.8" x14ac:dyDescent="0.3">
      <c r="B198" s="20"/>
      <c r="C198" s="20"/>
      <c r="D198" s="20"/>
      <c r="E198" s="20"/>
      <c r="F198" s="20"/>
      <c r="G198" s="20"/>
    </row>
    <row r="199" spans="2:7" ht="13.8" x14ac:dyDescent="0.3">
      <c r="B199" s="20"/>
      <c r="C199" s="20"/>
      <c r="D199" s="20"/>
      <c r="E199" s="20"/>
      <c r="F199" s="20"/>
      <c r="G199" s="20"/>
    </row>
    <row r="200" spans="2:7" ht="13.8" x14ac:dyDescent="0.3">
      <c r="B200" s="20"/>
      <c r="C200" s="20"/>
      <c r="D200" s="20"/>
      <c r="E200" s="20"/>
      <c r="F200" s="20"/>
      <c r="G200" s="20"/>
    </row>
    <row r="201" spans="2:7" ht="13.8" x14ac:dyDescent="0.3">
      <c r="B201" s="20"/>
      <c r="C201" s="20"/>
      <c r="D201" s="20"/>
      <c r="E201" s="20"/>
      <c r="F201" s="20"/>
      <c r="G201" s="20"/>
    </row>
    <row r="202" spans="2:7" ht="13.8" x14ac:dyDescent="0.3">
      <c r="B202" s="20"/>
      <c r="C202" s="20"/>
      <c r="D202" s="20"/>
      <c r="E202" s="20"/>
      <c r="F202" s="20"/>
      <c r="G202" s="20"/>
    </row>
    <row r="203" spans="2:7" ht="13.8" x14ac:dyDescent="0.3">
      <c r="B203" s="20"/>
      <c r="C203" s="20"/>
      <c r="D203" s="20"/>
      <c r="E203" s="20"/>
      <c r="F203" s="20"/>
      <c r="G203" s="20"/>
    </row>
    <row r="204" spans="2:7" ht="13.8" x14ac:dyDescent="0.3">
      <c r="B204" s="20"/>
      <c r="C204" s="20"/>
      <c r="D204" s="20"/>
      <c r="E204" s="20"/>
      <c r="F204" s="20"/>
      <c r="G204" s="20"/>
    </row>
    <row r="205" spans="2:7" ht="13.8" x14ac:dyDescent="0.3">
      <c r="B205" s="20"/>
      <c r="C205" s="20"/>
      <c r="D205" s="20"/>
      <c r="E205" s="20"/>
      <c r="F205" s="20"/>
      <c r="G205" s="20"/>
    </row>
    <row r="206" spans="2:7" ht="13.8" x14ac:dyDescent="0.3">
      <c r="B206" s="20"/>
      <c r="C206" s="20"/>
      <c r="D206" s="20"/>
      <c r="E206" s="20"/>
      <c r="F206" s="20"/>
      <c r="G206" s="20"/>
    </row>
    <row r="207" spans="2:7" ht="13.8" x14ac:dyDescent="0.3">
      <c r="B207" s="20"/>
      <c r="C207" s="20"/>
      <c r="D207" s="20"/>
      <c r="E207" s="20"/>
      <c r="F207" s="20"/>
      <c r="G207" s="20"/>
    </row>
    <row r="208" spans="2:7" ht="13.8" x14ac:dyDescent="0.3">
      <c r="B208" s="20"/>
      <c r="C208" s="20"/>
      <c r="D208" s="20"/>
      <c r="E208" s="20"/>
      <c r="F208" s="20"/>
      <c r="G208" s="20"/>
    </row>
    <row r="209" spans="2:7" ht="13.8" x14ac:dyDescent="0.3">
      <c r="B209" s="20"/>
      <c r="C209" s="20"/>
      <c r="D209" s="20"/>
      <c r="E209" s="20"/>
      <c r="F209" s="20"/>
      <c r="G209" s="20"/>
    </row>
    <row r="210" spans="2:7" ht="13.8" x14ac:dyDescent="0.3">
      <c r="B210" s="20"/>
      <c r="C210" s="20"/>
      <c r="D210" s="20"/>
      <c r="E210" s="20"/>
      <c r="F210" s="20"/>
      <c r="G210" s="20"/>
    </row>
    <row r="211" spans="2:7" ht="13.8" x14ac:dyDescent="0.3">
      <c r="B211" s="20"/>
      <c r="C211" s="20"/>
      <c r="D211" s="20"/>
      <c r="E211" s="20"/>
      <c r="F211" s="20"/>
      <c r="G211" s="20"/>
    </row>
    <row r="212" spans="2:7" ht="13.8" x14ac:dyDescent="0.3">
      <c r="B212" s="20"/>
      <c r="C212" s="20"/>
      <c r="D212" s="20"/>
      <c r="E212" s="20"/>
      <c r="F212" s="20"/>
      <c r="G212" s="20"/>
    </row>
    <row r="213" spans="2:7" ht="13.8" x14ac:dyDescent="0.3">
      <c r="B213" s="20"/>
      <c r="C213" s="20"/>
      <c r="D213" s="20"/>
      <c r="E213" s="20"/>
      <c r="F213" s="20"/>
      <c r="G213" s="20"/>
    </row>
    <row r="214" spans="2:7" ht="13.8" x14ac:dyDescent="0.3">
      <c r="B214" s="20"/>
      <c r="C214" s="20"/>
      <c r="D214" s="20"/>
      <c r="E214" s="20"/>
      <c r="F214" s="20"/>
      <c r="G214" s="20"/>
    </row>
    <row r="215" spans="2:7" ht="13.8" x14ac:dyDescent="0.3">
      <c r="B215" s="20"/>
      <c r="C215" s="20"/>
      <c r="D215" s="20"/>
      <c r="E215" s="20"/>
      <c r="F215" s="20"/>
      <c r="G215" s="20"/>
    </row>
    <row r="216" spans="2:7" ht="13.8" x14ac:dyDescent="0.3">
      <c r="B216" s="20"/>
      <c r="C216" s="20"/>
      <c r="D216" s="20"/>
      <c r="E216" s="20"/>
      <c r="F216" s="20"/>
      <c r="G216" s="20"/>
    </row>
    <row r="217" spans="2:7" ht="13.8" x14ac:dyDescent="0.3">
      <c r="B217" s="20"/>
      <c r="C217" s="20"/>
      <c r="D217" s="20"/>
      <c r="E217" s="20"/>
      <c r="F217" s="20"/>
      <c r="G217" s="20"/>
    </row>
    <row r="218" spans="2:7" ht="13.8" x14ac:dyDescent="0.3">
      <c r="B218" s="20"/>
      <c r="C218" s="20"/>
      <c r="D218" s="20"/>
      <c r="E218" s="20"/>
      <c r="F218" s="20"/>
      <c r="G218" s="20"/>
    </row>
    <row r="219" spans="2:7" ht="13.8" x14ac:dyDescent="0.3">
      <c r="B219" s="20"/>
      <c r="C219" s="20"/>
      <c r="D219" s="20"/>
      <c r="E219" s="20"/>
      <c r="F219" s="20"/>
      <c r="G219" s="20"/>
    </row>
    <row r="220" spans="2:7" ht="13.8" x14ac:dyDescent="0.3">
      <c r="B220" s="20"/>
      <c r="C220" s="20"/>
      <c r="D220" s="20"/>
      <c r="E220" s="20"/>
      <c r="F220" s="20"/>
      <c r="G220" s="20"/>
    </row>
    <row r="221" spans="2:7" ht="13.8" x14ac:dyDescent="0.3">
      <c r="B221" s="20"/>
      <c r="C221" s="20"/>
      <c r="D221" s="20"/>
      <c r="E221" s="20"/>
      <c r="F221" s="20"/>
      <c r="G221" s="20"/>
    </row>
    <row r="222" spans="2:7" ht="13.8" x14ac:dyDescent="0.3">
      <c r="B222" s="20"/>
      <c r="C222" s="20"/>
      <c r="D222" s="20"/>
      <c r="E222" s="20"/>
      <c r="F222" s="20"/>
      <c r="G222" s="20"/>
    </row>
    <row r="223" spans="2:7" ht="13.8" x14ac:dyDescent="0.3">
      <c r="B223" s="20"/>
      <c r="C223" s="20"/>
      <c r="D223" s="20"/>
      <c r="E223" s="20"/>
      <c r="F223" s="20"/>
      <c r="G223" s="20"/>
    </row>
    <row r="224" spans="2:7" ht="13.8" x14ac:dyDescent="0.3">
      <c r="B224" s="20"/>
      <c r="C224" s="20"/>
      <c r="D224" s="20"/>
      <c r="E224" s="20"/>
      <c r="F224" s="20"/>
      <c r="G224" s="20"/>
    </row>
    <row r="225" spans="2:7" ht="13.8" x14ac:dyDescent="0.3">
      <c r="B225" s="20"/>
      <c r="C225" s="20"/>
      <c r="D225" s="20"/>
      <c r="E225" s="20"/>
      <c r="F225" s="20"/>
      <c r="G225" s="20"/>
    </row>
    <row r="226" spans="2:7" ht="13.8" x14ac:dyDescent="0.3">
      <c r="B226" s="20"/>
      <c r="C226" s="20"/>
      <c r="D226" s="20"/>
      <c r="E226" s="20"/>
      <c r="F226" s="20"/>
      <c r="G226" s="20"/>
    </row>
    <row r="227" spans="2:7" ht="13.8" x14ac:dyDescent="0.3">
      <c r="B227" s="20"/>
      <c r="C227" s="20"/>
      <c r="D227" s="20"/>
      <c r="E227" s="20"/>
      <c r="F227" s="20"/>
      <c r="G227" s="20"/>
    </row>
    <row r="228" spans="2:7" ht="13.8" x14ac:dyDescent="0.3">
      <c r="B228" s="20"/>
      <c r="C228" s="20"/>
      <c r="D228" s="20"/>
      <c r="E228" s="20"/>
      <c r="F228" s="20"/>
      <c r="G228" s="20"/>
    </row>
    <row r="229" spans="2:7" ht="13.8" x14ac:dyDescent="0.3">
      <c r="B229" s="20"/>
      <c r="C229" s="20"/>
      <c r="D229" s="20"/>
      <c r="E229" s="20"/>
      <c r="F229" s="20"/>
      <c r="G229" s="20"/>
    </row>
    <row r="230" spans="2:7" ht="13.8" x14ac:dyDescent="0.3">
      <c r="B230" s="20"/>
      <c r="C230" s="20"/>
      <c r="D230" s="20"/>
      <c r="E230" s="20"/>
      <c r="F230" s="20"/>
      <c r="G230" s="20"/>
    </row>
    <row r="231" spans="2:7" ht="13.8" x14ac:dyDescent="0.3">
      <c r="B231" s="20"/>
      <c r="C231" s="20"/>
      <c r="D231" s="20"/>
      <c r="E231" s="20"/>
      <c r="F231" s="20"/>
      <c r="G231" s="20"/>
    </row>
    <row r="232" spans="2:7" ht="13.8" x14ac:dyDescent="0.3">
      <c r="B232" s="20"/>
      <c r="C232" s="20"/>
      <c r="D232" s="20"/>
      <c r="E232" s="20"/>
      <c r="F232" s="20"/>
      <c r="G232" s="20"/>
    </row>
    <row r="233" spans="2:7" ht="13.8" x14ac:dyDescent="0.3">
      <c r="B233" s="20"/>
      <c r="C233" s="20"/>
      <c r="D233" s="20"/>
      <c r="E233" s="20"/>
      <c r="F233" s="20"/>
      <c r="G233" s="20"/>
    </row>
    <row r="234" spans="2:7" ht="13.8" x14ac:dyDescent="0.3">
      <c r="B234" s="20"/>
      <c r="C234" s="20"/>
      <c r="D234" s="20"/>
      <c r="E234" s="20"/>
      <c r="F234" s="20"/>
      <c r="G234" s="20"/>
    </row>
    <row r="235" spans="2:7" ht="13.8" x14ac:dyDescent="0.3">
      <c r="B235" s="20"/>
      <c r="C235" s="20"/>
      <c r="D235" s="20"/>
      <c r="E235" s="20"/>
      <c r="F235" s="20"/>
      <c r="G235" s="20"/>
    </row>
    <row r="236" spans="2:7" ht="13.8" x14ac:dyDescent="0.3">
      <c r="B236" s="20"/>
      <c r="C236" s="20"/>
      <c r="D236" s="20"/>
      <c r="E236" s="20"/>
      <c r="F236" s="20"/>
      <c r="G236" s="20"/>
    </row>
    <row r="237" spans="2:7" ht="13.8" x14ac:dyDescent="0.3">
      <c r="B237" s="20"/>
      <c r="C237" s="20"/>
      <c r="D237" s="20"/>
      <c r="E237" s="20"/>
      <c r="F237" s="20"/>
      <c r="G237" s="20"/>
    </row>
    <row r="238" spans="2:7" ht="13.8" x14ac:dyDescent="0.3">
      <c r="B238" s="20"/>
      <c r="C238" s="20"/>
      <c r="D238" s="20"/>
      <c r="E238" s="20"/>
      <c r="F238" s="20"/>
      <c r="G238" s="20"/>
    </row>
    <row r="239" spans="2:7" ht="13.8" x14ac:dyDescent="0.3">
      <c r="B239" s="20"/>
      <c r="C239" s="20"/>
      <c r="D239" s="20"/>
      <c r="E239" s="20"/>
      <c r="F239" s="20"/>
      <c r="G239" s="20"/>
    </row>
    <row r="240" spans="2:7" ht="13.8" x14ac:dyDescent="0.3">
      <c r="B240" s="20"/>
      <c r="C240" s="20"/>
      <c r="D240" s="20"/>
      <c r="E240" s="20"/>
      <c r="F240" s="20"/>
      <c r="G240" s="20"/>
    </row>
    <row r="241" spans="2:7" ht="13.8" x14ac:dyDescent="0.3">
      <c r="B241" s="20"/>
      <c r="C241" s="20"/>
      <c r="D241" s="20"/>
      <c r="E241" s="20"/>
      <c r="F241" s="20"/>
      <c r="G241" s="20"/>
    </row>
    <row r="242" spans="2:7" ht="13.8" x14ac:dyDescent="0.3">
      <c r="B242" s="20"/>
      <c r="C242" s="20"/>
      <c r="D242" s="20"/>
      <c r="E242" s="20"/>
      <c r="F242" s="20"/>
      <c r="G242" s="20"/>
    </row>
    <row r="243" spans="2:7" ht="13.8" x14ac:dyDescent="0.3">
      <c r="B243" s="20"/>
      <c r="C243" s="20"/>
      <c r="D243" s="20"/>
      <c r="E243" s="20"/>
      <c r="F243" s="20"/>
      <c r="G243" s="20"/>
    </row>
    <row r="244" spans="2:7" ht="13.8" x14ac:dyDescent="0.3">
      <c r="B244" s="20"/>
      <c r="C244" s="20"/>
      <c r="D244" s="20"/>
      <c r="E244" s="20"/>
      <c r="F244" s="20"/>
      <c r="G244" s="20"/>
    </row>
    <row r="245" spans="2:7" ht="13.8" x14ac:dyDescent="0.3">
      <c r="B245" s="20"/>
      <c r="C245" s="20"/>
      <c r="D245" s="20"/>
      <c r="E245" s="20"/>
      <c r="F245" s="20"/>
      <c r="G245" s="20"/>
    </row>
    <row r="246" spans="2:7" ht="13.8" x14ac:dyDescent="0.3">
      <c r="B246" s="20"/>
      <c r="C246" s="20"/>
      <c r="D246" s="20"/>
      <c r="E246" s="20"/>
      <c r="F246" s="20"/>
      <c r="G246" s="20"/>
    </row>
    <row r="247" spans="2:7" ht="13.8" x14ac:dyDescent="0.3">
      <c r="B247" s="20"/>
      <c r="C247" s="20"/>
      <c r="D247" s="20"/>
      <c r="E247" s="20"/>
      <c r="F247" s="20"/>
      <c r="G247" s="20"/>
    </row>
    <row r="248" spans="2:7" ht="13.8" x14ac:dyDescent="0.3">
      <c r="B248" s="20"/>
      <c r="C248" s="20"/>
      <c r="D248" s="20"/>
      <c r="E248" s="20"/>
      <c r="F248" s="20"/>
      <c r="G248" s="20"/>
    </row>
    <row r="249" spans="2:7" ht="13.8" x14ac:dyDescent="0.3">
      <c r="B249" s="20"/>
      <c r="C249" s="20"/>
      <c r="D249" s="20"/>
      <c r="E249" s="20"/>
      <c r="F249" s="20"/>
      <c r="G249" s="20"/>
    </row>
    <row r="250" spans="2:7" ht="13.8" x14ac:dyDescent="0.3">
      <c r="B250" s="20"/>
      <c r="C250" s="20"/>
      <c r="D250" s="20"/>
      <c r="E250" s="20"/>
      <c r="F250" s="20"/>
      <c r="G250" s="20"/>
    </row>
    <row r="251" spans="2:7" ht="13.8" x14ac:dyDescent="0.3">
      <c r="B251" s="20"/>
      <c r="C251" s="20"/>
      <c r="D251" s="20"/>
      <c r="E251" s="20"/>
      <c r="F251" s="20"/>
      <c r="G251" s="20"/>
    </row>
    <row r="252" spans="2:7" ht="13.8" x14ac:dyDescent="0.3">
      <c r="B252" s="20"/>
      <c r="C252" s="20"/>
      <c r="D252" s="20"/>
      <c r="E252" s="20"/>
      <c r="F252" s="20"/>
      <c r="G252" s="20"/>
    </row>
    <row r="253" spans="2:7" ht="13.8" x14ac:dyDescent="0.3">
      <c r="B253" s="20"/>
      <c r="C253" s="20"/>
      <c r="D253" s="20"/>
      <c r="E253" s="20"/>
      <c r="F253" s="20"/>
      <c r="G253" s="20"/>
    </row>
    <row r="254" spans="2:7" ht="13.8" x14ac:dyDescent="0.3">
      <c r="B254" s="20"/>
      <c r="C254" s="20"/>
      <c r="D254" s="20"/>
      <c r="E254" s="20"/>
      <c r="F254" s="20"/>
      <c r="G254" s="20"/>
    </row>
    <row r="255" spans="2:7" ht="13.8" x14ac:dyDescent="0.3">
      <c r="B255" s="20"/>
      <c r="C255" s="20"/>
      <c r="D255" s="20"/>
      <c r="E255" s="20"/>
      <c r="F255" s="20"/>
      <c r="G255" s="20"/>
    </row>
    <row r="256" spans="2:7" ht="13.8" x14ac:dyDescent="0.3">
      <c r="B256" s="20"/>
      <c r="C256" s="20"/>
      <c r="D256" s="20"/>
      <c r="E256" s="20"/>
      <c r="F256" s="20"/>
      <c r="G256" s="20"/>
    </row>
    <row r="257" spans="2:7" ht="13.8" x14ac:dyDescent="0.3">
      <c r="B257" s="20"/>
      <c r="C257" s="20"/>
      <c r="D257" s="20"/>
      <c r="E257" s="20"/>
      <c r="F257" s="20"/>
      <c r="G257" s="20"/>
    </row>
    <row r="258" spans="2:7" ht="13.8" x14ac:dyDescent="0.3">
      <c r="B258" s="20"/>
      <c r="C258" s="20"/>
      <c r="D258" s="20"/>
      <c r="E258" s="20"/>
      <c r="F258" s="20"/>
      <c r="G258" s="20"/>
    </row>
    <row r="259" spans="2:7" ht="13.8" x14ac:dyDescent="0.3">
      <c r="B259" s="20"/>
      <c r="C259" s="20"/>
      <c r="D259" s="20"/>
      <c r="E259" s="20"/>
      <c r="F259" s="20"/>
      <c r="G259" s="20"/>
    </row>
    <row r="260" spans="2:7" ht="13.8" x14ac:dyDescent="0.3">
      <c r="B260" s="20"/>
      <c r="C260" s="20"/>
      <c r="D260" s="20"/>
      <c r="E260" s="20"/>
      <c r="F260" s="20"/>
      <c r="G260" s="20"/>
    </row>
    <row r="261" spans="2:7" ht="13.8" x14ac:dyDescent="0.3">
      <c r="B261" s="20"/>
      <c r="C261" s="20"/>
      <c r="D261" s="20"/>
      <c r="E261" s="20"/>
      <c r="F261" s="20"/>
      <c r="G261" s="20"/>
    </row>
    <row r="262" spans="2:7" ht="13.8" x14ac:dyDescent="0.3">
      <c r="B262" s="20"/>
      <c r="C262" s="20"/>
      <c r="D262" s="20"/>
      <c r="E262" s="20"/>
      <c r="F262" s="20"/>
      <c r="G262" s="20"/>
    </row>
    <row r="263" spans="2:7" ht="13.8" x14ac:dyDescent="0.3">
      <c r="B263" s="20"/>
      <c r="C263" s="20"/>
      <c r="D263" s="20"/>
      <c r="E263" s="20"/>
      <c r="F263" s="20"/>
      <c r="G263" s="20"/>
    </row>
    <row r="264" spans="2:7" ht="13.8" x14ac:dyDescent="0.3">
      <c r="B264" s="20"/>
      <c r="C264" s="20"/>
      <c r="D264" s="20"/>
      <c r="E264" s="20"/>
      <c r="F264" s="20"/>
      <c r="G264" s="20"/>
    </row>
    <row r="265" spans="2:7" ht="13.8" x14ac:dyDescent="0.3">
      <c r="B265" s="20"/>
      <c r="C265" s="20"/>
      <c r="D265" s="20"/>
      <c r="E265" s="20"/>
      <c r="F265" s="20"/>
      <c r="G265" s="20"/>
    </row>
    <row r="266" spans="2:7" ht="13.8" x14ac:dyDescent="0.3">
      <c r="B266" s="20"/>
      <c r="C266" s="20"/>
      <c r="D266" s="20"/>
      <c r="E266" s="20"/>
      <c r="F266" s="20"/>
      <c r="G266" s="20"/>
    </row>
    <row r="267" spans="2:7" ht="13.8" x14ac:dyDescent="0.3">
      <c r="B267" s="20"/>
      <c r="C267" s="20"/>
      <c r="D267" s="20"/>
      <c r="E267" s="20"/>
      <c r="F267" s="20"/>
      <c r="G267" s="20"/>
    </row>
    <row r="268" spans="2:7" ht="13.8" x14ac:dyDescent="0.3">
      <c r="B268" s="20"/>
      <c r="C268" s="20"/>
      <c r="D268" s="20"/>
      <c r="E268" s="20"/>
      <c r="F268" s="20"/>
      <c r="G268" s="20"/>
    </row>
    <row r="269" spans="2:7" ht="13.8" x14ac:dyDescent="0.3">
      <c r="B269" s="20"/>
      <c r="C269" s="20"/>
      <c r="D269" s="20"/>
      <c r="E269" s="20"/>
      <c r="F269" s="20"/>
      <c r="G269" s="20"/>
    </row>
    <row r="270" spans="2:7" ht="13.8" x14ac:dyDescent="0.3">
      <c r="B270" s="20"/>
      <c r="C270" s="20"/>
      <c r="D270" s="20"/>
      <c r="E270" s="20"/>
      <c r="F270" s="20"/>
      <c r="G270" s="20"/>
    </row>
    <row r="271" spans="2:7" ht="13.8" x14ac:dyDescent="0.3">
      <c r="B271" s="20"/>
      <c r="C271" s="20"/>
      <c r="D271" s="20"/>
      <c r="E271" s="20"/>
      <c r="F271" s="20"/>
      <c r="G271" s="20"/>
    </row>
    <row r="272" spans="2:7" ht="13.8" x14ac:dyDescent="0.3">
      <c r="B272" s="20"/>
      <c r="C272" s="20"/>
      <c r="D272" s="20"/>
      <c r="E272" s="20"/>
      <c r="F272" s="20"/>
      <c r="G272" s="20"/>
    </row>
    <row r="273" spans="2:7" ht="13.8" x14ac:dyDescent="0.3">
      <c r="B273" s="20"/>
      <c r="C273" s="20"/>
      <c r="D273" s="20"/>
      <c r="E273" s="20"/>
      <c r="F273" s="20"/>
      <c r="G273" s="20"/>
    </row>
    <row r="274" spans="2:7" ht="13.8" x14ac:dyDescent="0.3">
      <c r="B274" s="20"/>
      <c r="C274" s="20"/>
      <c r="D274" s="20"/>
      <c r="E274" s="20"/>
      <c r="F274" s="20"/>
      <c r="G274" s="20"/>
    </row>
    <row r="275" spans="2:7" ht="13.8" x14ac:dyDescent="0.3">
      <c r="B275" s="20"/>
      <c r="C275" s="20"/>
      <c r="D275" s="20"/>
      <c r="E275" s="20"/>
      <c r="F275" s="20"/>
      <c r="G275" s="20"/>
    </row>
    <row r="276" spans="2:7" ht="13.8" x14ac:dyDescent="0.3">
      <c r="B276" s="20"/>
      <c r="C276" s="20"/>
      <c r="D276" s="20"/>
      <c r="E276" s="20"/>
      <c r="F276" s="20"/>
      <c r="G276" s="20"/>
    </row>
    <row r="277" spans="2:7" ht="13.8" x14ac:dyDescent="0.3">
      <c r="B277" s="20"/>
      <c r="C277" s="20"/>
      <c r="D277" s="20"/>
      <c r="E277" s="20"/>
      <c r="F277" s="20"/>
      <c r="G277" s="20"/>
    </row>
    <row r="278" spans="2:7" ht="13.8" x14ac:dyDescent="0.3">
      <c r="B278" s="20"/>
      <c r="C278" s="20"/>
      <c r="D278" s="20"/>
      <c r="E278" s="20"/>
      <c r="F278" s="20"/>
      <c r="G278" s="20"/>
    </row>
    <row r="279" spans="2:7" ht="13.8" x14ac:dyDescent="0.3">
      <c r="B279" s="20"/>
      <c r="C279" s="20"/>
      <c r="D279" s="20"/>
      <c r="E279" s="20"/>
      <c r="F279" s="20"/>
      <c r="G279" s="20"/>
    </row>
    <row r="280" spans="2:7" ht="13.8" x14ac:dyDescent="0.3">
      <c r="B280" s="20"/>
      <c r="C280" s="20"/>
      <c r="D280" s="20"/>
      <c r="E280" s="20"/>
      <c r="F280" s="20"/>
      <c r="G280" s="20"/>
    </row>
    <row r="281" spans="2:7" ht="13.8" x14ac:dyDescent="0.3">
      <c r="B281" s="20"/>
      <c r="C281" s="20"/>
      <c r="D281" s="20"/>
      <c r="E281" s="20"/>
      <c r="F281" s="20"/>
      <c r="G281" s="20"/>
    </row>
    <row r="282" spans="2:7" ht="13.8" x14ac:dyDescent="0.3">
      <c r="B282" s="20"/>
      <c r="C282" s="20"/>
      <c r="D282" s="20"/>
      <c r="E282" s="20"/>
      <c r="F282" s="20"/>
      <c r="G282" s="20"/>
    </row>
    <row r="283" spans="2:7" ht="13.8" x14ac:dyDescent="0.3">
      <c r="B283" s="20"/>
      <c r="C283" s="20"/>
      <c r="D283" s="20"/>
      <c r="E283" s="20"/>
      <c r="F283" s="20"/>
      <c r="G283" s="20"/>
    </row>
    <row r="284" spans="2:7" ht="13.8" x14ac:dyDescent="0.3">
      <c r="B284" s="20"/>
      <c r="C284" s="20"/>
      <c r="D284" s="20"/>
      <c r="E284" s="20"/>
      <c r="F284" s="20"/>
      <c r="G284" s="20"/>
    </row>
    <row r="285" spans="2:7" ht="13.8" x14ac:dyDescent="0.3">
      <c r="B285" s="20"/>
      <c r="C285" s="20"/>
      <c r="D285" s="20"/>
      <c r="E285" s="20"/>
      <c r="F285" s="20"/>
      <c r="G285" s="20"/>
    </row>
    <row r="286" spans="2:7" ht="13.8" x14ac:dyDescent="0.3">
      <c r="B286" s="20"/>
      <c r="C286" s="20"/>
      <c r="D286" s="20"/>
      <c r="E286" s="20"/>
      <c r="F286" s="20"/>
      <c r="G286" s="20"/>
    </row>
    <row r="287" spans="2:7" ht="13.8" x14ac:dyDescent="0.3">
      <c r="B287" s="20"/>
      <c r="C287" s="20"/>
      <c r="D287" s="20"/>
      <c r="E287" s="20"/>
      <c r="F287" s="20"/>
      <c r="G287" s="20"/>
    </row>
    <row r="288" spans="2:7" ht="13.8" x14ac:dyDescent="0.3">
      <c r="B288" s="20"/>
      <c r="C288" s="20"/>
      <c r="D288" s="20"/>
      <c r="E288" s="20"/>
      <c r="F288" s="20"/>
      <c r="G288" s="20"/>
    </row>
    <row r="289" spans="2:7" ht="13.8" x14ac:dyDescent="0.3">
      <c r="B289" s="20"/>
      <c r="C289" s="20"/>
      <c r="D289" s="20"/>
      <c r="E289" s="20"/>
      <c r="F289" s="20"/>
      <c r="G289" s="20"/>
    </row>
    <row r="290" spans="2:7" ht="13.8" x14ac:dyDescent="0.3">
      <c r="B290" s="20"/>
      <c r="C290" s="20"/>
      <c r="D290" s="20"/>
      <c r="E290" s="20"/>
      <c r="F290" s="20"/>
      <c r="G290" s="20"/>
    </row>
    <row r="291" spans="2:7" ht="13.8" x14ac:dyDescent="0.3">
      <c r="B291" s="20"/>
      <c r="C291" s="20"/>
      <c r="D291" s="20"/>
      <c r="E291" s="20"/>
      <c r="F291" s="20"/>
      <c r="G291" s="20"/>
    </row>
    <row r="292" spans="2:7" ht="13.8" x14ac:dyDescent="0.3">
      <c r="B292" s="20"/>
      <c r="C292" s="20"/>
      <c r="D292" s="20"/>
      <c r="E292" s="20"/>
      <c r="F292" s="20"/>
      <c r="G292" s="20"/>
    </row>
    <row r="293" spans="2:7" ht="13.8" x14ac:dyDescent="0.3">
      <c r="B293" s="20"/>
      <c r="C293" s="20"/>
      <c r="D293" s="20"/>
      <c r="E293" s="20"/>
      <c r="F293" s="20"/>
      <c r="G293" s="20"/>
    </row>
    <row r="294" spans="2:7" ht="13.8" x14ac:dyDescent="0.3">
      <c r="B294" s="20"/>
      <c r="C294" s="20"/>
      <c r="D294" s="20"/>
      <c r="E294" s="20"/>
      <c r="F294" s="20"/>
      <c r="G294" s="20"/>
    </row>
    <row r="295" spans="2:7" ht="13.8" x14ac:dyDescent="0.3">
      <c r="B295" s="20"/>
      <c r="C295" s="20"/>
      <c r="D295" s="20"/>
      <c r="E295" s="20"/>
      <c r="F295" s="20"/>
      <c r="G295" s="20"/>
    </row>
    <row r="296" spans="2:7" ht="13.8" x14ac:dyDescent="0.3">
      <c r="B296" s="20"/>
      <c r="C296" s="20"/>
      <c r="D296" s="20"/>
      <c r="E296" s="20"/>
      <c r="F296" s="20"/>
      <c r="G296" s="20"/>
    </row>
    <row r="297" spans="2:7" ht="13.8" x14ac:dyDescent="0.3">
      <c r="B297" s="20"/>
      <c r="C297" s="20"/>
      <c r="D297" s="20"/>
      <c r="E297" s="20"/>
      <c r="F297" s="20"/>
      <c r="G297" s="20"/>
    </row>
    <row r="298" spans="2:7" ht="13.8" x14ac:dyDescent="0.3">
      <c r="B298" s="20"/>
      <c r="C298" s="20"/>
      <c r="D298" s="20"/>
      <c r="E298" s="20"/>
      <c r="F298" s="20"/>
      <c r="G298" s="20"/>
    </row>
    <row r="299" spans="2:7" ht="13.8" x14ac:dyDescent="0.3">
      <c r="B299" s="20"/>
      <c r="C299" s="20"/>
      <c r="D299" s="20"/>
      <c r="E299" s="20"/>
      <c r="F299" s="20"/>
      <c r="G299" s="20"/>
    </row>
    <row r="300" spans="2:7" ht="13.8" x14ac:dyDescent="0.3">
      <c r="B300" s="20"/>
      <c r="C300" s="20"/>
      <c r="D300" s="20"/>
      <c r="E300" s="20"/>
      <c r="F300" s="20"/>
      <c r="G300" s="20"/>
    </row>
    <row r="301" spans="2:7" ht="13.8" x14ac:dyDescent="0.3">
      <c r="B301" s="20"/>
      <c r="C301" s="20"/>
      <c r="D301" s="20"/>
      <c r="E301" s="20"/>
      <c r="F301" s="20"/>
      <c r="G301" s="20"/>
    </row>
    <row r="302" spans="2:7" ht="13.8" x14ac:dyDescent="0.3">
      <c r="B302" s="20"/>
      <c r="C302" s="20"/>
      <c r="D302" s="20"/>
      <c r="E302" s="20"/>
      <c r="F302" s="20"/>
      <c r="G302" s="20"/>
    </row>
    <row r="303" spans="2:7" ht="13.8" x14ac:dyDescent="0.3">
      <c r="B303" s="20"/>
      <c r="C303" s="20"/>
      <c r="D303" s="20"/>
      <c r="E303" s="20"/>
      <c r="F303" s="20"/>
      <c r="G303" s="20"/>
    </row>
    <row r="304" spans="2:7" ht="13.8" x14ac:dyDescent="0.3">
      <c r="B304" s="20"/>
      <c r="C304" s="20"/>
      <c r="D304" s="20"/>
      <c r="E304" s="20"/>
      <c r="F304" s="20"/>
      <c r="G304" s="20"/>
    </row>
    <row r="305" spans="2:7" ht="13.8" x14ac:dyDescent="0.3">
      <c r="B305" s="20"/>
      <c r="C305" s="20"/>
      <c r="D305" s="20"/>
      <c r="E305" s="20"/>
      <c r="F305" s="20"/>
      <c r="G305" s="20"/>
    </row>
    <row r="306" spans="2:7" ht="13.8" x14ac:dyDescent="0.3">
      <c r="B306" s="20"/>
      <c r="C306" s="20"/>
      <c r="D306" s="20"/>
      <c r="E306" s="20"/>
      <c r="F306" s="20"/>
      <c r="G306" s="20"/>
    </row>
    <row r="307" spans="2:7" ht="13.8" x14ac:dyDescent="0.3">
      <c r="B307" s="20"/>
      <c r="C307" s="20"/>
      <c r="D307" s="20"/>
      <c r="E307" s="20"/>
      <c r="F307" s="20"/>
      <c r="G307" s="20"/>
    </row>
    <row r="308" spans="2:7" ht="13.8" x14ac:dyDescent="0.3">
      <c r="B308" s="20"/>
      <c r="C308" s="20"/>
      <c r="D308" s="20"/>
      <c r="E308" s="20"/>
      <c r="F308" s="20"/>
      <c r="G308" s="20"/>
    </row>
    <row r="309" spans="2:7" ht="13.8" x14ac:dyDescent="0.3">
      <c r="B309" s="20"/>
      <c r="C309" s="20"/>
      <c r="D309" s="20"/>
      <c r="E309" s="20"/>
      <c r="F309" s="20"/>
      <c r="G309" s="20"/>
    </row>
    <row r="310" spans="2:7" ht="13.8" x14ac:dyDescent="0.3">
      <c r="B310" s="20"/>
      <c r="C310" s="20"/>
      <c r="D310" s="20"/>
      <c r="E310" s="20"/>
      <c r="F310" s="20"/>
      <c r="G310" s="20"/>
    </row>
    <row r="311" spans="2:7" ht="13.8" x14ac:dyDescent="0.3">
      <c r="B311" s="20"/>
      <c r="C311" s="20"/>
      <c r="D311" s="20"/>
      <c r="E311" s="20"/>
      <c r="F311" s="20"/>
      <c r="G311" s="20"/>
    </row>
    <row r="312" spans="2:7" ht="13.8" x14ac:dyDescent="0.3">
      <c r="B312" s="20"/>
      <c r="C312" s="20"/>
      <c r="D312" s="20"/>
      <c r="E312" s="20"/>
      <c r="F312" s="20"/>
      <c r="G312" s="20"/>
    </row>
    <row r="313" spans="2:7" ht="13.8" x14ac:dyDescent="0.3">
      <c r="B313" s="20"/>
      <c r="C313" s="20"/>
      <c r="D313" s="20"/>
      <c r="E313" s="20"/>
      <c r="F313" s="20"/>
      <c r="G313" s="20"/>
    </row>
    <row r="314" spans="2:7" ht="13.8" x14ac:dyDescent="0.3">
      <c r="B314" s="20"/>
      <c r="C314" s="20"/>
      <c r="D314" s="20"/>
      <c r="E314" s="20"/>
      <c r="F314" s="20"/>
      <c r="G314" s="20"/>
    </row>
    <row r="315" spans="2:7" ht="13.8" x14ac:dyDescent="0.3">
      <c r="B315" s="20"/>
      <c r="C315" s="20"/>
      <c r="D315" s="20"/>
      <c r="E315" s="20"/>
      <c r="F315" s="20"/>
      <c r="G315" s="20"/>
    </row>
    <row r="316" spans="2:7" ht="13.8" x14ac:dyDescent="0.3">
      <c r="B316" s="20"/>
      <c r="C316" s="20"/>
      <c r="D316" s="20"/>
      <c r="E316" s="20"/>
      <c r="F316" s="20"/>
      <c r="G316" s="20"/>
    </row>
    <row r="317" spans="2:7" ht="13.8" x14ac:dyDescent="0.3">
      <c r="B317" s="20"/>
      <c r="C317" s="20"/>
      <c r="D317" s="20"/>
      <c r="E317" s="20"/>
      <c r="F317" s="20"/>
      <c r="G317" s="20"/>
    </row>
    <row r="318" spans="2:7" ht="13.8" x14ac:dyDescent="0.3">
      <c r="B318" s="20"/>
      <c r="C318" s="20"/>
      <c r="D318" s="20"/>
      <c r="E318" s="20"/>
      <c r="F318" s="20"/>
      <c r="G318" s="20"/>
    </row>
    <row r="319" spans="2:7" ht="13.8" x14ac:dyDescent="0.3">
      <c r="B319" s="20"/>
      <c r="C319" s="20"/>
      <c r="D319" s="20"/>
      <c r="E319" s="20"/>
      <c r="F319" s="20"/>
      <c r="G319" s="20"/>
    </row>
    <row r="320" spans="2:7" ht="13.8" x14ac:dyDescent="0.3">
      <c r="B320" s="20"/>
      <c r="C320" s="20"/>
      <c r="D320" s="20"/>
      <c r="E320" s="20"/>
      <c r="F320" s="20"/>
      <c r="G320" s="20"/>
    </row>
    <row r="321" spans="2:7" ht="13.8" x14ac:dyDescent="0.3">
      <c r="B321" s="20"/>
      <c r="C321" s="20"/>
      <c r="D321" s="20"/>
      <c r="E321" s="20"/>
      <c r="F321" s="20"/>
      <c r="G321" s="20"/>
    </row>
    <row r="322" spans="2:7" ht="13.8" x14ac:dyDescent="0.3">
      <c r="B322" s="20"/>
      <c r="C322" s="20"/>
      <c r="D322" s="20"/>
      <c r="E322" s="20"/>
      <c r="F322" s="20"/>
      <c r="G322" s="20"/>
    </row>
    <row r="323" spans="2:7" ht="13.8" x14ac:dyDescent="0.3">
      <c r="B323" s="20"/>
      <c r="C323" s="20"/>
      <c r="D323" s="20"/>
      <c r="E323" s="20"/>
      <c r="F323" s="20"/>
      <c r="G323" s="20"/>
    </row>
    <row r="324" spans="2:7" ht="13.8" x14ac:dyDescent="0.3">
      <c r="B324" s="20"/>
      <c r="C324" s="20"/>
      <c r="D324" s="20"/>
      <c r="E324" s="20"/>
      <c r="F324" s="20"/>
      <c r="G324" s="20"/>
    </row>
    <row r="325" spans="2:7" ht="13.8" x14ac:dyDescent="0.3">
      <c r="B325" s="20"/>
      <c r="C325" s="20"/>
      <c r="D325" s="20"/>
      <c r="E325" s="20"/>
      <c r="F325" s="20"/>
      <c r="G325" s="20"/>
    </row>
    <row r="326" spans="2:7" ht="13.8" x14ac:dyDescent="0.3">
      <c r="B326" s="20"/>
      <c r="C326" s="20"/>
      <c r="D326" s="20"/>
      <c r="E326" s="20"/>
      <c r="F326" s="20"/>
      <c r="G326" s="20"/>
    </row>
    <row r="327" spans="2:7" ht="13.8" x14ac:dyDescent="0.3">
      <c r="B327" s="20"/>
      <c r="C327" s="20"/>
      <c r="D327" s="20"/>
      <c r="E327" s="20"/>
      <c r="F327" s="20"/>
      <c r="G327" s="20"/>
    </row>
    <row r="328" spans="2:7" ht="13.8" x14ac:dyDescent="0.3">
      <c r="B328" s="20"/>
      <c r="C328" s="20"/>
      <c r="D328" s="20"/>
      <c r="E328" s="20"/>
      <c r="F328" s="20"/>
      <c r="G328" s="20"/>
    </row>
    <row r="329" spans="2:7" ht="13.8" x14ac:dyDescent="0.3">
      <c r="B329" s="20"/>
      <c r="C329" s="20"/>
      <c r="D329" s="20"/>
      <c r="E329" s="20"/>
      <c r="F329" s="20"/>
      <c r="G329" s="20"/>
    </row>
    <row r="330" spans="2:7" ht="13.8" x14ac:dyDescent="0.3">
      <c r="B330" s="20"/>
      <c r="C330" s="20"/>
      <c r="D330" s="20"/>
      <c r="E330" s="20"/>
      <c r="F330" s="20"/>
      <c r="G330" s="20"/>
    </row>
    <row r="331" spans="2:7" ht="13.8" x14ac:dyDescent="0.3">
      <c r="B331" s="20"/>
      <c r="C331" s="20"/>
      <c r="D331" s="20"/>
      <c r="E331" s="20"/>
      <c r="F331" s="20"/>
      <c r="G331" s="20"/>
    </row>
    <row r="332" spans="2:7" ht="13.8" x14ac:dyDescent="0.3">
      <c r="B332" s="20"/>
      <c r="C332" s="20"/>
      <c r="D332" s="20"/>
      <c r="E332" s="20"/>
      <c r="F332" s="20"/>
      <c r="G332" s="20"/>
    </row>
    <row r="333" spans="2:7" ht="13.8" x14ac:dyDescent="0.3">
      <c r="B333" s="20"/>
      <c r="C333" s="20"/>
      <c r="D333" s="20"/>
      <c r="E333" s="20"/>
      <c r="F333" s="20"/>
      <c r="G333" s="20"/>
    </row>
    <row r="334" spans="2:7" ht="13.8" x14ac:dyDescent="0.3">
      <c r="B334" s="20"/>
      <c r="C334" s="20"/>
      <c r="D334" s="20"/>
      <c r="E334" s="20"/>
      <c r="F334" s="20"/>
      <c r="G334" s="20"/>
    </row>
    <row r="335" spans="2:7" ht="13.8" x14ac:dyDescent="0.3">
      <c r="B335" s="20"/>
      <c r="C335" s="20"/>
      <c r="D335" s="20"/>
      <c r="E335" s="20"/>
      <c r="F335" s="20"/>
      <c r="G335" s="20"/>
    </row>
    <row r="336" spans="2:7" ht="13.8" x14ac:dyDescent="0.3">
      <c r="B336" s="20"/>
      <c r="C336" s="20"/>
      <c r="D336" s="20"/>
      <c r="E336" s="20"/>
      <c r="F336" s="20"/>
      <c r="G336" s="20"/>
    </row>
    <row r="337" spans="2:7" ht="13.8" x14ac:dyDescent="0.3">
      <c r="B337" s="20"/>
      <c r="C337" s="20"/>
      <c r="D337" s="20"/>
      <c r="E337" s="20"/>
      <c r="F337" s="20"/>
      <c r="G337" s="20"/>
    </row>
    <row r="338" spans="2:7" ht="13.8" x14ac:dyDescent="0.3">
      <c r="B338" s="20"/>
      <c r="C338" s="20"/>
      <c r="D338" s="20"/>
      <c r="E338" s="20"/>
      <c r="F338" s="20"/>
      <c r="G338" s="20"/>
    </row>
    <row r="339" spans="2:7" ht="13.8" x14ac:dyDescent="0.3">
      <c r="B339" s="20"/>
      <c r="C339" s="20"/>
      <c r="D339" s="20"/>
      <c r="E339" s="20"/>
      <c r="F339" s="20"/>
      <c r="G339" s="20"/>
    </row>
    <row r="340" spans="2:7" ht="13.8" x14ac:dyDescent="0.3">
      <c r="B340" s="20"/>
      <c r="C340" s="20"/>
      <c r="D340" s="20"/>
      <c r="E340" s="20"/>
      <c r="F340" s="20"/>
      <c r="G340" s="20"/>
    </row>
    <row r="341" spans="2:7" ht="13.8" x14ac:dyDescent="0.3">
      <c r="B341" s="20"/>
      <c r="C341" s="20"/>
      <c r="D341" s="20"/>
      <c r="E341" s="20"/>
      <c r="F341" s="20"/>
      <c r="G341" s="20"/>
    </row>
    <row r="342" spans="2:7" ht="13.8" x14ac:dyDescent="0.3">
      <c r="B342" s="20"/>
      <c r="C342" s="20"/>
      <c r="D342" s="20"/>
      <c r="E342" s="20"/>
      <c r="F342" s="20"/>
      <c r="G342" s="20"/>
    </row>
    <row r="343" spans="2:7" ht="13.8" x14ac:dyDescent="0.3">
      <c r="B343" s="20"/>
      <c r="C343" s="20"/>
      <c r="D343" s="20"/>
      <c r="E343" s="20"/>
      <c r="F343" s="20"/>
      <c r="G343" s="20"/>
    </row>
    <row r="344" spans="2:7" ht="13.8" x14ac:dyDescent="0.3">
      <c r="B344" s="20"/>
      <c r="C344" s="20"/>
      <c r="D344" s="20"/>
      <c r="E344" s="20"/>
      <c r="F344" s="20"/>
      <c r="G344" s="20"/>
    </row>
    <row r="345" spans="2:7" ht="13.8" x14ac:dyDescent="0.3">
      <c r="B345" s="20"/>
      <c r="C345" s="20"/>
      <c r="D345" s="20"/>
      <c r="E345" s="20"/>
      <c r="F345" s="20"/>
      <c r="G345" s="20"/>
    </row>
    <row r="346" spans="2:7" ht="13.8" x14ac:dyDescent="0.3">
      <c r="B346" s="20"/>
      <c r="C346" s="20"/>
      <c r="D346" s="20"/>
      <c r="E346" s="20"/>
      <c r="F346" s="20"/>
      <c r="G346" s="20"/>
    </row>
    <row r="347" spans="2:7" ht="13.8" x14ac:dyDescent="0.3">
      <c r="B347" s="20"/>
      <c r="C347" s="20"/>
      <c r="D347" s="20"/>
      <c r="E347" s="20"/>
      <c r="F347" s="20"/>
      <c r="G347" s="20"/>
    </row>
    <row r="348" spans="2:7" ht="13.8" x14ac:dyDescent="0.3">
      <c r="B348" s="20"/>
      <c r="C348" s="20"/>
      <c r="D348" s="20"/>
      <c r="E348" s="20"/>
      <c r="F348" s="20"/>
      <c r="G348" s="20"/>
    </row>
    <row r="349" spans="2:7" ht="13.8" x14ac:dyDescent="0.3">
      <c r="B349" s="20"/>
      <c r="C349" s="20"/>
      <c r="D349" s="20"/>
      <c r="E349" s="20"/>
      <c r="F349" s="20"/>
      <c r="G349" s="20"/>
    </row>
    <row r="350" spans="2:7" ht="13.8" x14ac:dyDescent="0.3">
      <c r="B350" s="20"/>
      <c r="C350" s="20"/>
      <c r="D350" s="20"/>
      <c r="E350" s="20"/>
      <c r="F350" s="20"/>
      <c r="G350" s="20"/>
    </row>
    <row r="351" spans="2:7" ht="13.8" x14ac:dyDescent="0.3">
      <c r="B351" s="20"/>
      <c r="C351" s="20"/>
      <c r="D351" s="20"/>
      <c r="E351" s="20"/>
      <c r="F351" s="20"/>
      <c r="G351" s="20"/>
    </row>
    <row r="352" spans="2:7" ht="13.8" x14ac:dyDescent="0.3">
      <c r="B352" s="20"/>
      <c r="C352" s="20"/>
      <c r="D352" s="20"/>
      <c r="E352" s="20"/>
      <c r="F352" s="20"/>
      <c r="G352" s="20"/>
    </row>
    <row r="353" spans="2:7" ht="13.8" x14ac:dyDescent="0.3">
      <c r="B353" s="20"/>
      <c r="C353" s="20"/>
      <c r="D353" s="20"/>
      <c r="E353" s="20"/>
      <c r="F353" s="20"/>
      <c r="G353" s="20"/>
    </row>
    <row r="354" spans="2:7" ht="13.8" x14ac:dyDescent="0.3">
      <c r="B354" s="20"/>
      <c r="C354" s="20"/>
      <c r="D354" s="20"/>
      <c r="E354" s="20"/>
      <c r="F354" s="20"/>
      <c r="G354" s="20"/>
    </row>
    <row r="355" spans="2:7" ht="13.8" x14ac:dyDescent="0.3">
      <c r="B355" s="20"/>
      <c r="C355" s="20"/>
      <c r="D355" s="20"/>
      <c r="E355" s="20"/>
      <c r="F355" s="20"/>
      <c r="G355" s="20"/>
    </row>
    <row r="356" spans="2:7" ht="13.8" x14ac:dyDescent="0.3">
      <c r="B356" s="20"/>
      <c r="C356" s="20"/>
      <c r="D356" s="20"/>
      <c r="E356" s="20"/>
      <c r="F356" s="20"/>
      <c r="G356" s="20"/>
    </row>
    <row r="357" spans="2:7" ht="13.8" x14ac:dyDescent="0.3">
      <c r="B357" s="20"/>
      <c r="C357" s="20"/>
      <c r="D357" s="20"/>
      <c r="E357" s="20"/>
      <c r="F357" s="20"/>
      <c r="G357" s="20"/>
    </row>
    <row r="358" spans="2:7" ht="13.8" x14ac:dyDescent="0.3">
      <c r="B358" s="20"/>
      <c r="C358" s="20"/>
      <c r="D358" s="20"/>
      <c r="E358" s="20"/>
      <c r="F358" s="20"/>
      <c r="G358" s="20"/>
    </row>
    <row r="359" spans="2:7" ht="13.8" x14ac:dyDescent="0.3">
      <c r="B359" s="20"/>
      <c r="C359" s="20"/>
      <c r="D359" s="20"/>
      <c r="E359" s="20"/>
      <c r="F359" s="20"/>
      <c r="G359" s="20"/>
    </row>
    <row r="360" spans="2:7" ht="13.8" x14ac:dyDescent="0.3">
      <c r="B360" s="20"/>
      <c r="C360" s="20"/>
      <c r="D360" s="20"/>
      <c r="E360" s="20"/>
      <c r="F360" s="20"/>
      <c r="G360" s="20"/>
    </row>
    <row r="361" spans="2:7" ht="13.8" x14ac:dyDescent="0.3">
      <c r="B361" s="20"/>
      <c r="C361" s="20"/>
      <c r="D361" s="20"/>
      <c r="E361" s="20"/>
      <c r="F361" s="20"/>
      <c r="G361" s="20"/>
    </row>
    <row r="362" spans="2:7" ht="13.8" x14ac:dyDescent="0.3">
      <c r="B362" s="20"/>
      <c r="C362" s="20"/>
      <c r="D362" s="20"/>
      <c r="E362" s="20"/>
      <c r="F362" s="20"/>
      <c r="G362" s="20"/>
    </row>
    <row r="363" spans="2:7" ht="13.8" x14ac:dyDescent="0.3">
      <c r="B363" s="20"/>
      <c r="C363" s="20"/>
      <c r="D363" s="20"/>
      <c r="E363" s="20"/>
      <c r="F363" s="20"/>
      <c r="G363" s="20"/>
    </row>
    <row r="364" spans="2:7" ht="13.8" x14ac:dyDescent="0.3">
      <c r="B364" s="20"/>
      <c r="C364" s="20"/>
      <c r="D364" s="20"/>
      <c r="E364" s="20"/>
      <c r="F364" s="20"/>
      <c r="G364" s="20"/>
    </row>
    <row r="365" spans="2:7" ht="13.8" x14ac:dyDescent="0.3">
      <c r="B365" s="20"/>
      <c r="C365" s="20"/>
      <c r="D365" s="20"/>
      <c r="E365" s="20"/>
      <c r="F365" s="20"/>
      <c r="G365" s="20"/>
    </row>
    <row r="366" spans="2:7" ht="13.8" x14ac:dyDescent="0.3">
      <c r="B366" s="20"/>
      <c r="C366" s="20"/>
      <c r="D366" s="20"/>
      <c r="E366" s="20"/>
      <c r="F366" s="20"/>
      <c r="G366" s="20"/>
    </row>
    <row r="367" spans="2:7" ht="13.8" x14ac:dyDescent="0.3">
      <c r="B367" s="20"/>
      <c r="C367" s="20"/>
      <c r="D367" s="20"/>
      <c r="E367" s="20"/>
      <c r="F367" s="20"/>
      <c r="G367" s="20"/>
    </row>
    <row r="368" spans="2:7" ht="13.8" x14ac:dyDescent="0.3">
      <c r="B368" s="20"/>
      <c r="C368" s="20"/>
      <c r="D368" s="20"/>
      <c r="E368" s="20"/>
      <c r="F368" s="20"/>
      <c r="G368" s="20"/>
    </row>
    <row r="369" spans="2:7" ht="13.8" x14ac:dyDescent="0.3">
      <c r="B369" s="20"/>
      <c r="C369" s="20"/>
      <c r="D369" s="20"/>
      <c r="E369" s="20"/>
      <c r="F369" s="20"/>
      <c r="G369" s="20"/>
    </row>
    <row r="370" spans="2:7" ht="13.8" x14ac:dyDescent="0.3">
      <c r="B370" s="20"/>
      <c r="C370" s="20"/>
      <c r="D370" s="20"/>
      <c r="E370" s="20"/>
      <c r="F370" s="20"/>
      <c r="G370" s="20"/>
    </row>
    <row r="371" spans="2:7" ht="13.8" x14ac:dyDescent="0.3">
      <c r="B371" s="20"/>
      <c r="C371" s="20"/>
      <c r="D371" s="20"/>
      <c r="E371" s="20"/>
      <c r="F371" s="20"/>
      <c r="G371" s="20"/>
    </row>
    <row r="372" spans="2:7" ht="13.8" x14ac:dyDescent="0.3">
      <c r="B372" s="20"/>
      <c r="C372" s="20"/>
      <c r="D372" s="20"/>
      <c r="E372" s="20"/>
      <c r="F372" s="20"/>
      <c r="G372" s="20"/>
    </row>
    <row r="373" spans="2:7" ht="13.8" x14ac:dyDescent="0.3">
      <c r="B373" s="20"/>
      <c r="C373" s="20"/>
      <c r="D373" s="20"/>
      <c r="E373" s="20"/>
      <c r="F373" s="20"/>
      <c r="G373" s="20"/>
    </row>
    <row r="374" spans="2:7" ht="13.8" x14ac:dyDescent="0.3">
      <c r="B374" s="20"/>
      <c r="C374" s="20"/>
      <c r="D374" s="20"/>
      <c r="E374" s="20"/>
      <c r="F374" s="20"/>
      <c r="G374" s="20"/>
    </row>
    <row r="375" spans="2:7" ht="13.8" x14ac:dyDescent="0.3">
      <c r="B375" s="20"/>
      <c r="C375" s="20"/>
      <c r="D375" s="20"/>
      <c r="E375" s="20"/>
      <c r="F375" s="20"/>
      <c r="G375" s="20"/>
    </row>
    <row r="376" spans="2:7" ht="13.8" x14ac:dyDescent="0.3">
      <c r="B376" s="20"/>
      <c r="C376" s="20"/>
      <c r="D376" s="20"/>
      <c r="E376" s="20"/>
      <c r="F376" s="20"/>
      <c r="G376" s="20"/>
    </row>
    <row r="377" spans="2:7" ht="13.8" x14ac:dyDescent="0.3">
      <c r="B377" s="20"/>
      <c r="C377" s="20"/>
      <c r="D377" s="20"/>
      <c r="E377" s="20"/>
      <c r="F377" s="20"/>
      <c r="G377" s="20"/>
    </row>
    <row r="378" spans="2:7" ht="13.8" x14ac:dyDescent="0.3">
      <c r="B378" s="20"/>
      <c r="C378" s="20"/>
      <c r="D378" s="20"/>
      <c r="E378" s="20"/>
      <c r="F378" s="20"/>
      <c r="G378" s="20"/>
    </row>
    <row r="379" spans="2:7" ht="13.8" x14ac:dyDescent="0.3">
      <c r="B379" s="20"/>
      <c r="C379" s="20"/>
      <c r="D379" s="20"/>
      <c r="E379" s="20"/>
      <c r="F379" s="20"/>
      <c r="G379" s="20"/>
    </row>
    <row r="380" spans="2:7" ht="13.8" x14ac:dyDescent="0.3">
      <c r="B380" s="20"/>
      <c r="C380" s="20"/>
      <c r="D380" s="20"/>
      <c r="E380" s="20"/>
      <c r="F380" s="20"/>
      <c r="G380" s="20"/>
    </row>
    <row r="381" spans="2:7" ht="13.8" x14ac:dyDescent="0.3">
      <c r="B381" s="20"/>
      <c r="C381" s="20"/>
      <c r="D381" s="20"/>
      <c r="E381" s="20"/>
      <c r="F381" s="20"/>
      <c r="G381" s="20"/>
    </row>
    <row r="382" spans="2:7" ht="13.8" x14ac:dyDescent="0.3">
      <c r="B382" s="20"/>
      <c r="C382" s="20"/>
      <c r="D382" s="20"/>
      <c r="E382" s="20"/>
      <c r="F382" s="20"/>
      <c r="G382" s="20"/>
    </row>
    <row r="383" spans="2:7" ht="13.8" x14ac:dyDescent="0.3">
      <c r="B383" s="20"/>
      <c r="C383" s="20"/>
      <c r="D383" s="20"/>
      <c r="E383" s="20"/>
      <c r="F383" s="20"/>
      <c r="G383" s="20"/>
    </row>
    <row r="384" spans="2:7" ht="13.8" x14ac:dyDescent="0.3">
      <c r="B384" s="20"/>
      <c r="C384" s="20"/>
      <c r="D384" s="20"/>
      <c r="E384" s="20"/>
      <c r="F384" s="20"/>
      <c r="G384" s="20"/>
    </row>
    <row r="385" spans="2:7" ht="13.8" x14ac:dyDescent="0.3">
      <c r="B385" s="20"/>
      <c r="C385" s="20"/>
      <c r="D385" s="20"/>
      <c r="E385" s="20"/>
      <c r="F385" s="20"/>
      <c r="G385" s="20"/>
    </row>
    <row r="386" spans="2:7" ht="13.8" x14ac:dyDescent="0.3">
      <c r="B386" s="20"/>
      <c r="C386" s="20"/>
      <c r="D386" s="20"/>
      <c r="E386" s="20"/>
      <c r="F386" s="20"/>
      <c r="G386" s="20"/>
    </row>
    <row r="387" spans="2:7" ht="13.8" x14ac:dyDescent="0.3">
      <c r="B387" s="20"/>
      <c r="C387" s="20"/>
      <c r="D387" s="20"/>
      <c r="E387" s="20"/>
      <c r="F387" s="20"/>
      <c r="G387" s="20"/>
    </row>
    <row r="388" spans="2:7" ht="13.8" x14ac:dyDescent="0.3">
      <c r="B388" s="20"/>
      <c r="C388" s="20"/>
      <c r="D388" s="20"/>
      <c r="E388" s="20"/>
      <c r="F388" s="20"/>
      <c r="G388" s="20"/>
    </row>
    <row r="389" spans="2:7" ht="13.8" x14ac:dyDescent="0.3">
      <c r="B389" s="20"/>
      <c r="C389" s="20"/>
      <c r="D389" s="20"/>
      <c r="E389" s="20"/>
      <c r="F389" s="20"/>
      <c r="G389" s="20"/>
    </row>
    <row r="390" spans="2:7" ht="13.8" x14ac:dyDescent="0.3">
      <c r="B390" s="20"/>
      <c r="C390" s="20"/>
      <c r="D390" s="20"/>
      <c r="E390" s="20"/>
      <c r="F390" s="20"/>
      <c r="G390" s="20"/>
    </row>
    <row r="391" spans="2:7" ht="13.8" x14ac:dyDescent="0.3">
      <c r="B391" s="20"/>
      <c r="C391" s="20"/>
      <c r="D391" s="20"/>
      <c r="E391" s="20"/>
      <c r="F391" s="20"/>
      <c r="G391" s="20"/>
    </row>
    <row r="392" spans="2:7" ht="13.8" x14ac:dyDescent="0.3">
      <c r="B392" s="20"/>
      <c r="C392" s="20"/>
      <c r="D392" s="20"/>
      <c r="E392" s="20"/>
      <c r="F392" s="20"/>
      <c r="G392" s="20"/>
    </row>
    <row r="393" spans="2:7" ht="13.8" x14ac:dyDescent="0.3">
      <c r="B393" s="20"/>
      <c r="C393" s="20"/>
      <c r="D393" s="20"/>
      <c r="E393" s="20"/>
      <c r="F393" s="20"/>
      <c r="G393" s="20"/>
    </row>
    <row r="394" spans="2:7" ht="13.8" x14ac:dyDescent="0.3">
      <c r="B394" s="20"/>
      <c r="C394" s="20"/>
      <c r="D394" s="20"/>
      <c r="E394" s="20"/>
      <c r="F394" s="20"/>
      <c r="G394" s="20"/>
    </row>
    <row r="395" spans="2:7" ht="13.8" x14ac:dyDescent="0.3">
      <c r="B395" s="20"/>
      <c r="C395" s="20"/>
      <c r="D395" s="20"/>
      <c r="E395" s="20"/>
      <c r="F395" s="20"/>
      <c r="G395" s="20"/>
    </row>
    <row r="396" spans="2:7" ht="13.8" x14ac:dyDescent="0.3">
      <c r="B396" s="20"/>
      <c r="C396" s="20"/>
      <c r="D396" s="20"/>
      <c r="E396" s="20"/>
      <c r="F396" s="20"/>
      <c r="G396" s="20"/>
    </row>
    <row r="397" spans="2:7" ht="13.8" x14ac:dyDescent="0.3">
      <c r="B397" s="20"/>
      <c r="C397" s="20"/>
      <c r="D397" s="20"/>
      <c r="E397" s="20"/>
      <c r="F397" s="20"/>
      <c r="G397" s="20"/>
    </row>
    <row r="398" spans="2:7" ht="13.8" x14ac:dyDescent="0.3">
      <c r="B398" s="20"/>
      <c r="C398" s="20"/>
      <c r="D398" s="20"/>
      <c r="E398" s="20"/>
      <c r="F398" s="20"/>
      <c r="G398" s="20"/>
    </row>
    <row r="399" spans="2:7" ht="13.8" x14ac:dyDescent="0.3">
      <c r="B399" s="20"/>
      <c r="C399" s="20"/>
      <c r="D399" s="20"/>
      <c r="E399" s="20"/>
      <c r="F399" s="20"/>
      <c r="G399" s="20"/>
    </row>
    <row r="400" spans="2:7" ht="13.8" x14ac:dyDescent="0.3">
      <c r="B400" s="20"/>
      <c r="C400" s="20"/>
      <c r="D400" s="20"/>
      <c r="E400" s="20"/>
      <c r="F400" s="20"/>
      <c r="G400" s="20"/>
    </row>
    <row r="401" spans="2:7" ht="13.8" x14ac:dyDescent="0.3">
      <c r="B401" s="20"/>
      <c r="C401" s="20"/>
      <c r="D401" s="20"/>
      <c r="E401" s="20"/>
      <c r="F401" s="20"/>
      <c r="G401" s="20"/>
    </row>
    <row r="402" spans="2:7" ht="13.8" x14ac:dyDescent="0.3">
      <c r="B402" s="20"/>
      <c r="C402" s="20"/>
      <c r="D402" s="20"/>
      <c r="E402" s="20"/>
      <c r="F402" s="20"/>
      <c r="G402" s="20"/>
    </row>
    <row r="403" spans="2:7" ht="13.8" x14ac:dyDescent="0.3">
      <c r="B403" s="20"/>
      <c r="C403" s="20"/>
      <c r="D403" s="20"/>
      <c r="E403" s="20"/>
      <c r="F403" s="20"/>
      <c r="G403" s="20"/>
    </row>
    <row r="404" spans="2:7" ht="13.8" x14ac:dyDescent="0.3">
      <c r="B404" s="20"/>
      <c r="C404" s="20"/>
      <c r="D404" s="20"/>
      <c r="E404" s="20"/>
      <c r="F404" s="20"/>
      <c r="G404" s="20"/>
    </row>
    <row r="405" spans="2:7" ht="13.8" x14ac:dyDescent="0.3">
      <c r="B405" s="20"/>
      <c r="C405" s="20"/>
      <c r="D405" s="20"/>
      <c r="E405" s="20"/>
      <c r="F405" s="20"/>
      <c r="G405" s="20"/>
    </row>
    <row r="406" spans="2:7" ht="13.8" x14ac:dyDescent="0.3">
      <c r="B406" s="20"/>
      <c r="C406" s="20"/>
      <c r="D406" s="20"/>
      <c r="E406" s="20"/>
      <c r="F406" s="20"/>
      <c r="G406" s="20"/>
    </row>
    <row r="407" spans="2:7" ht="13.8" x14ac:dyDescent="0.3">
      <c r="B407" s="20"/>
      <c r="C407" s="20"/>
      <c r="D407" s="20"/>
      <c r="E407" s="20"/>
      <c r="F407" s="20"/>
      <c r="G407" s="20"/>
    </row>
    <row r="408" spans="2:7" ht="13.8" x14ac:dyDescent="0.3">
      <c r="B408" s="20"/>
      <c r="C408" s="20"/>
      <c r="D408" s="20"/>
      <c r="E408" s="20"/>
      <c r="F408" s="20"/>
      <c r="G408" s="20"/>
    </row>
    <row r="409" spans="2:7" ht="13.8" x14ac:dyDescent="0.3">
      <c r="B409" s="20"/>
      <c r="C409" s="20"/>
      <c r="D409" s="20"/>
      <c r="E409" s="20"/>
      <c r="F409" s="20"/>
      <c r="G409" s="20"/>
    </row>
    <row r="410" spans="2:7" ht="13.8" x14ac:dyDescent="0.3">
      <c r="B410" s="20"/>
      <c r="C410" s="20"/>
      <c r="D410" s="20"/>
      <c r="E410" s="20"/>
      <c r="F410" s="20"/>
      <c r="G410" s="20"/>
    </row>
    <row r="411" spans="2:7" ht="13.8" x14ac:dyDescent="0.3">
      <c r="B411" s="20"/>
      <c r="C411" s="20"/>
      <c r="D411" s="20"/>
      <c r="E411" s="20"/>
      <c r="F411" s="20"/>
      <c r="G411" s="20"/>
    </row>
    <row r="412" spans="2:7" ht="13.8" x14ac:dyDescent="0.3">
      <c r="B412" s="20"/>
      <c r="C412" s="20"/>
      <c r="D412" s="20"/>
      <c r="E412" s="20"/>
      <c r="F412" s="20"/>
      <c r="G412" s="20"/>
    </row>
    <row r="413" spans="2:7" ht="13.8" x14ac:dyDescent="0.3">
      <c r="B413" s="20"/>
      <c r="C413" s="20"/>
      <c r="D413" s="20"/>
      <c r="E413" s="20"/>
      <c r="F413" s="20"/>
      <c r="G413" s="20"/>
    </row>
    <row r="414" spans="2:7" ht="13.8" x14ac:dyDescent="0.3">
      <c r="B414" s="20"/>
      <c r="C414" s="20"/>
      <c r="D414" s="20"/>
      <c r="E414" s="20"/>
      <c r="F414" s="20"/>
      <c r="G414" s="20"/>
    </row>
    <row r="415" spans="2:7" ht="13.8" x14ac:dyDescent="0.3">
      <c r="B415" s="20"/>
      <c r="C415" s="20"/>
      <c r="D415" s="20"/>
      <c r="E415" s="20"/>
      <c r="F415" s="20"/>
      <c r="G415" s="20"/>
    </row>
    <row r="416" spans="2:7" ht="13.8" x14ac:dyDescent="0.3">
      <c r="B416" s="20"/>
      <c r="C416" s="20"/>
      <c r="D416" s="20"/>
      <c r="E416" s="20"/>
      <c r="F416" s="20"/>
      <c r="G416" s="20"/>
    </row>
    <row r="417" spans="2:7" ht="13.8" x14ac:dyDescent="0.3">
      <c r="B417" s="20"/>
      <c r="C417" s="20"/>
      <c r="D417" s="20"/>
      <c r="E417" s="20"/>
      <c r="F417" s="20"/>
      <c r="G417" s="20"/>
    </row>
    <row r="418" spans="2:7" ht="13.8" x14ac:dyDescent="0.3">
      <c r="B418" s="20"/>
      <c r="C418" s="20"/>
      <c r="D418" s="20"/>
      <c r="E418" s="20"/>
      <c r="F418" s="20"/>
      <c r="G418" s="20"/>
    </row>
    <row r="419" spans="2:7" ht="13.8" x14ac:dyDescent="0.3">
      <c r="B419" s="20"/>
      <c r="C419" s="20"/>
      <c r="D419" s="20"/>
      <c r="E419" s="20"/>
      <c r="F419" s="20"/>
      <c r="G419" s="20"/>
    </row>
    <row r="420" spans="2:7" ht="13.8" x14ac:dyDescent="0.3">
      <c r="B420" s="20"/>
      <c r="C420" s="20"/>
      <c r="D420" s="20"/>
      <c r="E420" s="20"/>
      <c r="F420" s="20"/>
      <c r="G420" s="20"/>
    </row>
    <row r="421" spans="2:7" ht="13.8" x14ac:dyDescent="0.3">
      <c r="B421" s="20"/>
      <c r="C421" s="20"/>
      <c r="D421" s="20"/>
      <c r="E421" s="20"/>
      <c r="F421" s="20"/>
      <c r="G421" s="20"/>
    </row>
    <row r="422" spans="2:7" ht="13.8" x14ac:dyDescent="0.3">
      <c r="B422" s="20"/>
      <c r="C422" s="20"/>
      <c r="D422" s="20"/>
      <c r="E422" s="20"/>
      <c r="F422" s="20"/>
      <c r="G422" s="20"/>
    </row>
    <row r="423" spans="2:7" ht="13.8" x14ac:dyDescent="0.3">
      <c r="B423" s="20"/>
      <c r="C423" s="20"/>
      <c r="D423" s="20"/>
      <c r="E423" s="20"/>
      <c r="F423" s="20"/>
      <c r="G423" s="20"/>
    </row>
    <row r="424" spans="2:7" ht="13.8" x14ac:dyDescent="0.3">
      <c r="B424" s="20"/>
      <c r="C424" s="20"/>
      <c r="D424" s="20"/>
      <c r="E424" s="20"/>
      <c r="F424" s="20"/>
      <c r="G424" s="20"/>
    </row>
    <row r="425" spans="2:7" ht="13.8" x14ac:dyDescent="0.3">
      <c r="B425" s="20"/>
      <c r="C425" s="20"/>
      <c r="D425" s="20"/>
      <c r="E425" s="20"/>
      <c r="F425" s="20"/>
      <c r="G425" s="20"/>
    </row>
    <row r="426" spans="2:7" ht="13.8" x14ac:dyDescent="0.3">
      <c r="B426" s="20"/>
      <c r="C426" s="20"/>
      <c r="D426" s="20"/>
      <c r="E426" s="20"/>
      <c r="F426" s="20"/>
      <c r="G426" s="20"/>
    </row>
    <row r="427" spans="2:7" ht="13.8" x14ac:dyDescent="0.3">
      <c r="B427" s="20"/>
      <c r="C427" s="20"/>
      <c r="D427" s="20"/>
      <c r="E427" s="20"/>
      <c r="F427" s="20"/>
      <c r="G427" s="20"/>
    </row>
    <row r="428" spans="2:7" ht="13.8" x14ac:dyDescent="0.3">
      <c r="B428" s="20"/>
      <c r="C428" s="20"/>
      <c r="D428" s="20"/>
      <c r="E428" s="20"/>
      <c r="F428" s="20"/>
      <c r="G428" s="20"/>
    </row>
    <row r="429" spans="2:7" ht="13.8" x14ac:dyDescent="0.3">
      <c r="B429" s="20"/>
      <c r="C429" s="20"/>
      <c r="D429" s="20"/>
      <c r="E429" s="20"/>
      <c r="F429" s="20"/>
      <c r="G429" s="20"/>
    </row>
    <row r="430" spans="2:7" ht="13.8" x14ac:dyDescent="0.3">
      <c r="B430" s="20"/>
      <c r="C430" s="20"/>
      <c r="D430" s="20"/>
      <c r="E430" s="20"/>
      <c r="F430" s="20"/>
      <c r="G430" s="20"/>
    </row>
    <row r="431" spans="2:7" ht="13.8" x14ac:dyDescent="0.3">
      <c r="B431" s="20"/>
      <c r="C431" s="20"/>
      <c r="D431" s="20"/>
      <c r="E431" s="20"/>
      <c r="F431" s="20"/>
      <c r="G431" s="20"/>
    </row>
    <row r="432" spans="2:7" ht="13.8" x14ac:dyDescent="0.3">
      <c r="B432" s="20"/>
      <c r="C432" s="20"/>
      <c r="D432" s="20"/>
      <c r="E432" s="20"/>
      <c r="F432" s="20"/>
      <c r="G432" s="20"/>
    </row>
    <row r="433" spans="2:7" ht="13.8" x14ac:dyDescent="0.3">
      <c r="B433" s="20"/>
      <c r="C433" s="20"/>
      <c r="D433" s="20"/>
      <c r="E433" s="20"/>
      <c r="F433" s="20"/>
      <c r="G433" s="20"/>
    </row>
    <row r="434" spans="2:7" ht="13.8" x14ac:dyDescent="0.3">
      <c r="B434" s="20"/>
      <c r="C434" s="20"/>
      <c r="D434" s="20"/>
      <c r="E434" s="20"/>
      <c r="F434" s="20"/>
      <c r="G434" s="20"/>
    </row>
    <row r="435" spans="2:7" ht="13.8" x14ac:dyDescent="0.3">
      <c r="B435" s="20"/>
      <c r="C435" s="20"/>
      <c r="D435" s="20"/>
      <c r="E435" s="20"/>
      <c r="F435" s="20"/>
      <c r="G435" s="20"/>
    </row>
    <row r="436" spans="2:7" ht="13.8" x14ac:dyDescent="0.3">
      <c r="B436" s="20"/>
      <c r="C436" s="20"/>
      <c r="D436" s="20"/>
      <c r="E436" s="20"/>
      <c r="F436" s="20"/>
      <c r="G436" s="20"/>
    </row>
    <row r="437" spans="2:7" ht="13.8" x14ac:dyDescent="0.3">
      <c r="B437" s="20"/>
      <c r="C437" s="20"/>
      <c r="D437" s="20"/>
      <c r="E437" s="20"/>
      <c r="F437" s="20"/>
      <c r="G437" s="20"/>
    </row>
    <row r="438" spans="2:7" ht="13.8" x14ac:dyDescent="0.3">
      <c r="B438" s="20"/>
      <c r="C438" s="20"/>
      <c r="D438" s="20"/>
      <c r="E438" s="20"/>
      <c r="F438" s="20"/>
      <c r="G438" s="20"/>
    </row>
    <row r="439" spans="2:7" ht="13.8" x14ac:dyDescent="0.3">
      <c r="B439" s="20"/>
      <c r="C439" s="20"/>
      <c r="D439" s="20"/>
      <c r="E439" s="20"/>
      <c r="F439" s="20"/>
      <c r="G439" s="20"/>
    </row>
    <row r="440" spans="2:7" ht="13.8" x14ac:dyDescent="0.3">
      <c r="B440" s="20"/>
      <c r="C440" s="20"/>
      <c r="D440" s="20"/>
      <c r="E440" s="20"/>
      <c r="F440" s="20"/>
      <c r="G440" s="20"/>
    </row>
    <row r="441" spans="2:7" ht="13.8" x14ac:dyDescent="0.3">
      <c r="B441" s="20"/>
      <c r="C441" s="20"/>
      <c r="D441" s="20"/>
      <c r="E441" s="20"/>
      <c r="F441" s="20"/>
      <c r="G441" s="20"/>
    </row>
    <row r="442" spans="2:7" ht="13.8" x14ac:dyDescent="0.3">
      <c r="B442" s="20"/>
      <c r="C442" s="20"/>
      <c r="D442" s="20"/>
      <c r="E442" s="20"/>
      <c r="F442" s="20"/>
      <c r="G442" s="20"/>
    </row>
    <row r="443" spans="2:7" ht="13.8" x14ac:dyDescent="0.3">
      <c r="B443" s="20"/>
      <c r="C443" s="20"/>
      <c r="D443" s="20"/>
      <c r="E443" s="20"/>
      <c r="F443" s="20"/>
      <c r="G443" s="20"/>
    </row>
    <row r="444" spans="2:7" ht="13.8" x14ac:dyDescent="0.3">
      <c r="B444" s="20"/>
      <c r="C444" s="20"/>
      <c r="D444" s="20"/>
      <c r="E444" s="20"/>
      <c r="F444" s="20"/>
      <c r="G444" s="20"/>
    </row>
    <row r="445" spans="2:7" ht="13.8" x14ac:dyDescent="0.3">
      <c r="B445" s="20"/>
      <c r="C445" s="20"/>
      <c r="D445" s="20"/>
      <c r="E445" s="20"/>
      <c r="F445" s="20"/>
      <c r="G445" s="20"/>
    </row>
    <row r="446" spans="2:7" ht="13.8" x14ac:dyDescent="0.3">
      <c r="B446" s="20"/>
      <c r="C446" s="20"/>
      <c r="D446" s="20"/>
      <c r="E446" s="20"/>
      <c r="F446" s="20"/>
      <c r="G446" s="20"/>
    </row>
    <row r="447" spans="2:7" ht="13.8" x14ac:dyDescent="0.3">
      <c r="B447" s="20"/>
      <c r="C447" s="20"/>
      <c r="D447" s="20"/>
      <c r="E447" s="20"/>
      <c r="F447" s="20"/>
      <c r="G447" s="20"/>
    </row>
    <row r="448" spans="2:7" ht="13.8" x14ac:dyDescent="0.3">
      <c r="B448" s="20"/>
      <c r="C448" s="20"/>
      <c r="D448" s="20"/>
      <c r="E448" s="20"/>
      <c r="F448" s="20"/>
      <c r="G448" s="20"/>
    </row>
    <row r="449" spans="2:7" ht="13.8" x14ac:dyDescent="0.3">
      <c r="B449" s="20"/>
      <c r="C449" s="20"/>
      <c r="D449" s="20"/>
      <c r="E449" s="20"/>
      <c r="F449" s="20"/>
      <c r="G449" s="20"/>
    </row>
    <row r="450" spans="2:7" ht="13.8" x14ac:dyDescent="0.3">
      <c r="B450" s="20"/>
      <c r="C450" s="20"/>
      <c r="D450" s="20"/>
      <c r="E450" s="20"/>
      <c r="F450" s="20"/>
      <c r="G450" s="20"/>
    </row>
    <row r="451" spans="2:7" ht="13.8" x14ac:dyDescent="0.3">
      <c r="B451" s="20"/>
      <c r="C451" s="20"/>
      <c r="D451" s="20"/>
      <c r="E451" s="20"/>
      <c r="F451" s="20"/>
      <c r="G451" s="20"/>
    </row>
    <row r="452" spans="2:7" ht="13.8" x14ac:dyDescent="0.3">
      <c r="B452" s="20"/>
      <c r="C452" s="20"/>
      <c r="D452" s="20"/>
      <c r="E452" s="20"/>
      <c r="F452" s="20"/>
      <c r="G452" s="20"/>
    </row>
    <row r="453" spans="2:7" ht="13.8" x14ac:dyDescent="0.3">
      <c r="B453" s="20"/>
      <c r="C453" s="20"/>
      <c r="D453" s="20"/>
      <c r="E453" s="20"/>
      <c r="F453" s="20"/>
      <c r="G453" s="20"/>
    </row>
    <row r="454" spans="2:7" ht="13.8" x14ac:dyDescent="0.3">
      <c r="B454" s="20"/>
      <c r="C454" s="20"/>
      <c r="D454" s="20"/>
      <c r="E454" s="20"/>
      <c r="F454" s="20"/>
      <c r="G454" s="20"/>
    </row>
    <row r="455" spans="2:7" ht="13.8" x14ac:dyDescent="0.3">
      <c r="B455" s="20"/>
      <c r="C455" s="20"/>
      <c r="D455" s="20"/>
      <c r="E455" s="20"/>
      <c r="F455" s="20"/>
      <c r="G455" s="20"/>
    </row>
    <row r="456" spans="2:7" ht="13.8" x14ac:dyDescent="0.3">
      <c r="B456" s="20"/>
      <c r="C456" s="20"/>
      <c r="D456" s="20"/>
      <c r="E456" s="20"/>
      <c r="F456" s="20"/>
      <c r="G456" s="20"/>
    </row>
    <row r="457" spans="2:7" ht="13.8" x14ac:dyDescent="0.3">
      <c r="B457" s="20"/>
      <c r="C457" s="20"/>
      <c r="D457" s="20"/>
      <c r="E457" s="20"/>
      <c r="F457" s="20"/>
      <c r="G457" s="20"/>
    </row>
    <row r="458" spans="2:7" ht="13.8" x14ac:dyDescent="0.3">
      <c r="B458" s="20"/>
      <c r="C458" s="20"/>
      <c r="D458" s="20"/>
      <c r="E458" s="20"/>
      <c r="F458" s="20"/>
      <c r="G458" s="20"/>
    </row>
    <row r="459" spans="2:7" ht="13.8" x14ac:dyDescent="0.3">
      <c r="B459" s="20"/>
      <c r="C459" s="20"/>
      <c r="D459" s="20"/>
      <c r="E459" s="20"/>
      <c r="F459" s="20"/>
      <c r="G459" s="20"/>
    </row>
    <row r="460" spans="2:7" ht="13.8" x14ac:dyDescent="0.3">
      <c r="B460" s="20"/>
      <c r="C460" s="20"/>
      <c r="D460" s="20"/>
      <c r="E460" s="20"/>
      <c r="F460" s="20"/>
      <c r="G460" s="20"/>
    </row>
    <row r="461" spans="2:7" ht="13.8" x14ac:dyDescent="0.3">
      <c r="B461" s="20"/>
      <c r="C461" s="20"/>
      <c r="D461" s="20"/>
      <c r="E461" s="20"/>
      <c r="F461" s="20"/>
      <c r="G461" s="20"/>
    </row>
    <row r="462" spans="2:7" ht="13.8" x14ac:dyDescent="0.3">
      <c r="B462" s="20"/>
      <c r="C462" s="20"/>
      <c r="D462" s="20"/>
      <c r="E462" s="20"/>
      <c r="F462" s="20"/>
      <c r="G462" s="20"/>
    </row>
    <row r="463" spans="2:7" ht="13.8" x14ac:dyDescent="0.3">
      <c r="B463" s="20"/>
      <c r="C463" s="20"/>
      <c r="D463" s="20"/>
      <c r="E463" s="20"/>
      <c r="F463" s="20"/>
      <c r="G463" s="20"/>
    </row>
    <row r="464" spans="2:7" ht="13.8" x14ac:dyDescent="0.3">
      <c r="B464" s="20"/>
      <c r="C464" s="20"/>
      <c r="D464" s="20"/>
      <c r="E464" s="20"/>
      <c r="F464" s="20"/>
      <c r="G464" s="20"/>
    </row>
    <row r="465" spans="2:7" ht="13.8" x14ac:dyDescent="0.3">
      <c r="B465" s="20"/>
      <c r="C465" s="20"/>
      <c r="D465" s="20"/>
      <c r="E465" s="20"/>
      <c r="F465" s="20"/>
      <c r="G465" s="20"/>
    </row>
    <row r="466" spans="2:7" ht="13.8" x14ac:dyDescent="0.3">
      <c r="B466" s="20"/>
      <c r="C466" s="20"/>
      <c r="D466" s="20"/>
      <c r="E466" s="20"/>
      <c r="F466" s="20"/>
      <c r="G466" s="20"/>
    </row>
    <row r="467" spans="2:7" ht="13.8" x14ac:dyDescent="0.3">
      <c r="B467" s="20"/>
      <c r="C467" s="20"/>
      <c r="D467" s="20"/>
      <c r="E467" s="20"/>
      <c r="F467" s="20"/>
      <c r="G467" s="20"/>
    </row>
    <row r="468" spans="2:7" ht="13.8" x14ac:dyDescent="0.3">
      <c r="B468" s="20"/>
      <c r="C468" s="20"/>
      <c r="D468" s="20"/>
      <c r="E468" s="20"/>
      <c r="F468" s="20"/>
      <c r="G468" s="20"/>
    </row>
    <row r="469" spans="2:7" ht="13.8" x14ac:dyDescent="0.3">
      <c r="B469" s="20"/>
      <c r="C469" s="20"/>
      <c r="D469" s="20"/>
      <c r="E469" s="20"/>
      <c r="F469" s="20"/>
      <c r="G469" s="20"/>
    </row>
    <row r="470" spans="2:7" ht="13.8" x14ac:dyDescent="0.3">
      <c r="B470" s="20"/>
      <c r="C470" s="20"/>
      <c r="D470" s="20"/>
      <c r="E470" s="20"/>
      <c r="F470" s="20"/>
      <c r="G470" s="20"/>
    </row>
    <row r="471" spans="2:7" ht="13.8" x14ac:dyDescent="0.3">
      <c r="B471" s="20"/>
      <c r="C471" s="20"/>
      <c r="D471" s="20"/>
      <c r="E471" s="20"/>
      <c r="F471" s="20"/>
      <c r="G471" s="20"/>
    </row>
    <row r="472" spans="2:7" ht="13.8" x14ac:dyDescent="0.3">
      <c r="B472" s="20"/>
      <c r="C472" s="20"/>
      <c r="D472" s="20"/>
      <c r="E472" s="20"/>
      <c r="F472" s="20"/>
      <c r="G472" s="20"/>
    </row>
    <row r="473" spans="2:7" ht="13.8" x14ac:dyDescent="0.3">
      <c r="B473" s="20"/>
      <c r="C473" s="20"/>
      <c r="D473" s="20"/>
      <c r="E473" s="20"/>
      <c r="F473" s="20"/>
      <c r="G473" s="20"/>
    </row>
    <row r="474" spans="2:7" ht="13.8" x14ac:dyDescent="0.3">
      <c r="B474" s="20"/>
      <c r="C474" s="20"/>
      <c r="D474" s="20"/>
      <c r="E474" s="20"/>
      <c r="F474" s="20"/>
      <c r="G474" s="20"/>
    </row>
    <row r="475" spans="2:7" ht="13.8" x14ac:dyDescent="0.3">
      <c r="B475" s="20"/>
      <c r="C475" s="20"/>
      <c r="D475" s="20"/>
      <c r="E475" s="20"/>
      <c r="F475" s="20"/>
      <c r="G475" s="20"/>
    </row>
    <row r="476" spans="2:7" ht="13.8" x14ac:dyDescent="0.3">
      <c r="B476" s="20"/>
      <c r="C476" s="20"/>
      <c r="D476" s="20"/>
      <c r="E476" s="20"/>
      <c r="F476" s="20"/>
      <c r="G476" s="20"/>
    </row>
    <row r="477" spans="2:7" ht="13.8" x14ac:dyDescent="0.3">
      <c r="B477" s="20"/>
      <c r="C477" s="20"/>
      <c r="D477" s="20"/>
      <c r="E477" s="20"/>
      <c r="F477" s="20"/>
      <c r="G477" s="20"/>
    </row>
    <row r="478" spans="2:7" ht="13.8" x14ac:dyDescent="0.3">
      <c r="B478" s="20"/>
      <c r="C478" s="20"/>
      <c r="D478" s="20"/>
      <c r="E478" s="20"/>
      <c r="F478" s="20"/>
      <c r="G478" s="20"/>
    </row>
    <row r="479" spans="2:7" ht="13.8" x14ac:dyDescent="0.3">
      <c r="B479" s="20"/>
      <c r="C479" s="20"/>
      <c r="D479" s="20"/>
      <c r="E479" s="20"/>
      <c r="F479" s="20"/>
      <c r="G479" s="20"/>
    </row>
    <row r="480" spans="2:7" ht="13.8" x14ac:dyDescent="0.3">
      <c r="B480" s="20"/>
      <c r="C480" s="20"/>
      <c r="D480" s="20"/>
      <c r="E480" s="20"/>
      <c r="F480" s="20"/>
      <c r="G480" s="20"/>
    </row>
    <row r="481" spans="2:7" ht="13.8" x14ac:dyDescent="0.3">
      <c r="B481" s="20"/>
      <c r="C481" s="20"/>
      <c r="D481" s="20"/>
      <c r="E481" s="20"/>
      <c r="F481" s="20"/>
      <c r="G481" s="20"/>
    </row>
    <row r="482" spans="2:7" ht="13.8" x14ac:dyDescent="0.3">
      <c r="B482" s="20"/>
      <c r="C482" s="20"/>
      <c r="D482" s="20"/>
      <c r="E482" s="20"/>
      <c r="F482" s="20"/>
      <c r="G482" s="20"/>
    </row>
    <row r="483" spans="2:7" ht="13.8" x14ac:dyDescent="0.3">
      <c r="B483" s="20"/>
      <c r="C483" s="20"/>
      <c r="D483" s="20"/>
      <c r="E483" s="20"/>
      <c r="F483" s="20"/>
      <c r="G483" s="20"/>
    </row>
    <row r="484" spans="2:7" ht="13.8" x14ac:dyDescent="0.3">
      <c r="B484" s="20"/>
      <c r="C484" s="20"/>
      <c r="D484" s="20"/>
      <c r="E484" s="20"/>
      <c r="F484" s="20"/>
      <c r="G484" s="20"/>
    </row>
    <row r="485" spans="2:7" ht="13.8" x14ac:dyDescent="0.3">
      <c r="B485" s="20"/>
      <c r="C485" s="20"/>
      <c r="D485" s="20"/>
      <c r="E485" s="20"/>
      <c r="F485" s="20"/>
      <c r="G485" s="20"/>
    </row>
    <row r="486" spans="2:7" ht="13.8" x14ac:dyDescent="0.3">
      <c r="B486" s="20"/>
      <c r="C486" s="20"/>
      <c r="D486" s="20"/>
      <c r="E486" s="20"/>
      <c r="F486" s="20"/>
      <c r="G486" s="20"/>
    </row>
    <row r="487" spans="2:7" ht="13.8" x14ac:dyDescent="0.3">
      <c r="B487" s="20"/>
      <c r="C487" s="20"/>
      <c r="D487" s="20"/>
      <c r="E487" s="20"/>
      <c r="F487" s="20"/>
      <c r="G487" s="20"/>
    </row>
    <row r="488" spans="2:7" ht="13.8" x14ac:dyDescent="0.3">
      <c r="B488" s="20"/>
      <c r="C488" s="20"/>
      <c r="D488" s="20"/>
      <c r="E488" s="20"/>
      <c r="F488" s="20"/>
      <c r="G488" s="20"/>
    </row>
    <row r="489" spans="2:7" ht="13.8" x14ac:dyDescent="0.3">
      <c r="B489" s="20"/>
      <c r="C489" s="20"/>
      <c r="D489" s="20"/>
      <c r="E489" s="20"/>
      <c r="F489" s="20"/>
      <c r="G489" s="20"/>
    </row>
    <row r="490" spans="2:7" ht="13.8" x14ac:dyDescent="0.3">
      <c r="B490" s="20"/>
      <c r="C490" s="20"/>
      <c r="D490" s="20"/>
      <c r="E490" s="20"/>
      <c r="F490" s="20"/>
      <c r="G490" s="20"/>
    </row>
    <row r="491" spans="2:7" ht="13.8" x14ac:dyDescent="0.3">
      <c r="B491" s="20"/>
      <c r="C491" s="20"/>
      <c r="D491" s="20"/>
      <c r="E491" s="20"/>
      <c r="F491" s="20"/>
      <c r="G491" s="20"/>
    </row>
    <row r="492" spans="2:7" ht="13.8" x14ac:dyDescent="0.3">
      <c r="B492" s="20"/>
      <c r="C492" s="20"/>
      <c r="D492" s="20"/>
      <c r="E492" s="20"/>
      <c r="F492" s="20"/>
      <c r="G492" s="20"/>
    </row>
    <row r="493" spans="2:7" ht="13.8" x14ac:dyDescent="0.3">
      <c r="B493" s="20"/>
      <c r="C493" s="20"/>
      <c r="D493" s="20"/>
      <c r="E493" s="20"/>
      <c r="F493" s="20"/>
      <c r="G493" s="20"/>
    </row>
    <row r="494" spans="2:7" ht="13.8" x14ac:dyDescent="0.3">
      <c r="B494" s="20"/>
      <c r="C494" s="20"/>
      <c r="D494" s="20"/>
      <c r="E494" s="20"/>
      <c r="F494" s="20"/>
      <c r="G494" s="20"/>
    </row>
    <row r="495" spans="2:7" ht="13.8" x14ac:dyDescent="0.3">
      <c r="B495" s="20"/>
      <c r="C495" s="20"/>
      <c r="D495" s="20"/>
      <c r="E495" s="20"/>
      <c r="F495" s="20"/>
      <c r="G495" s="20"/>
    </row>
    <row r="496" spans="2:7" ht="13.8" x14ac:dyDescent="0.3">
      <c r="B496" s="20"/>
      <c r="C496" s="20"/>
      <c r="D496" s="20"/>
      <c r="E496" s="20"/>
      <c r="F496" s="20"/>
      <c r="G496" s="20"/>
    </row>
    <row r="497" spans="2:7" ht="13.8" x14ac:dyDescent="0.3">
      <c r="B497" s="20"/>
      <c r="C497" s="20"/>
      <c r="D497" s="20"/>
      <c r="E497" s="20"/>
      <c r="F497" s="20"/>
      <c r="G497" s="20"/>
    </row>
    <row r="498" spans="2:7" ht="13.8" x14ac:dyDescent="0.3">
      <c r="B498" s="20"/>
      <c r="C498" s="20"/>
      <c r="D498" s="20"/>
      <c r="E498" s="20"/>
      <c r="F498" s="20"/>
      <c r="G498" s="20"/>
    </row>
    <row r="499" spans="2:7" ht="13.8" x14ac:dyDescent="0.3">
      <c r="B499" s="20"/>
      <c r="C499" s="20"/>
      <c r="D499" s="20"/>
      <c r="E499" s="20"/>
      <c r="F499" s="20"/>
      <c r="G499" s="20"/>
    </row>
    <row r="500" spans="2:7" ht="13.8" x14ac:dyDescent="0.3">
      <c r="B500" s="20"/>
      <c r="C500" s="20"/>
      <c r="D500" s="20"/>
      <c r="E500" s="20"/>
      <c r="F500" s="20"/>
      <c r="G500" s="20"/>
    </row>
    <row r="501" spans="2:7" ht="13.8" x14ac:dyDescent="0.3">
      <c r="B501" s="20"/>
      <c r="C501" s="20"/>
      <c r="D501" s="20"/>
      <c r="E501" s="20"/>
      <c r="F501" s="20"/>
      <c r="G501" s="20"/>
    </row>
    <row r="502" spans="2:7" ht="13.8" x14ac:dyDescent="0.3">
      <c r="B502" s="20"/>
      <c r="C502" s="20"/>
      <c r="D502" s="20"/>
      <c r="E502" s="20"/>
      <c r="F502" s="20"/>
      <c r="G502" s="20"/>
    </row>
    <row r="503" spans="2:7" ht="13.8" x14ac:dyDescent="0.3">
      <c r="B503" s="20"/>
      <c r="C503" s="20"/>
      <c r="D503" s="20"/>
      <c r="E503" s="20"/>
      <c r="F503" s="20"/>
      <c r="G503" s="20"/>
    </row>
    <row r="504" spans="2:7" ht="13.8" x14ac:dyDescent="0.3">
      <c r="B504" s="20"/>
      <c r="C504" s="20"/>
      <c r="D504" s="20"/>
      <c r="E504" s="20"/>
      <c r="F504" s="20"/>
      <c r="G504" s="20"/>
    </row>
    <row r="505" spans="2:7" ht="13.8" x14ac:dyDescent="0.3">
      <c r="B505" s="20"/>
      <c r="C505" s="20"/>
      <c r="D505" s="20"/>
      <c r="E505" s="20"/>
      <c r="F505" s="20"/>
      <c r="G505" s="20"/>
    </row>
    <row r="506" spans="2:7" ht="13.8" x14ac:dyDescent="0.3">
      <c r="B506" s="20"/>
      <c r="C506" s="20"/>
      <c r="D506" s="20"/>
      <c r="E506" s="20"/>
      <c r="F506" s="20"/>
      <c r="G506" s="20"/>
    </row>
    <row r="507" spans="2:7" ht="13.8" x14ac:dyDescent="0.3">
      <c r="B507" s="20"/>
      <c r="C507" s="20"/>
      <c r="D507" s="20"/>
      <c r="E507" s="20"/>
      <c r="F507" s="20"/>
      <c r="G507" s="20"/>
    </row>
    <row r="508" spans="2:7" ht="13.8" x14ac:dyDescent="0.3">
      <c r="B508" s="20"/>
      <c r="C508" s="20"/>
      <c r="D508" s="20"/>
      <c r="E508" s="20"/>
      <c r="F508" s="20"/>
      <c r="G508" s="20"/>
    </row>
    <row r="509" spans="2:7" ht="13.8" x14ac:dyDescent="0.3">
      <c r="B509" s="20"/>
      <c r="C509" s="20"/>
      <c r="D509" s="20"/>
      <c r="E509" s="20"/>
      <c r="F509" s="20"/>
      <c r="G509" s="20"/>
    </row>
    <row r="510" spans="2:7" ht="13.8" x14ac:dyDescent="0.3">
      <c r="B510" s="20"/>
      <c r="C510" s="20"/>
      <c r="D510" s="20"/>
      <c r="E510" s="20"/>
      <c r="F510" s="20"/>
      <c r="G510" s="20"/>
    </row>
    <row r="511" spans="2:7" ht="13.8" x14ac:dyDescent="0.3">
      <c r="B511" s="20"/>
      <c r="C511" s="20"/>
      <c r="D511" s="20"/>
      <c r="E511" s="20"/>
      <c r="F511" s="20"/>
      <c r="G511" s="20"/>
    </row>
    <row r="512" spans="2:7" ht="13.8" x14ac:dyDescent="0.3">
      <c r="B512" s="20"/>
      <c r="C512" s="20"/>
      <c r="D512" s="20"/>
      <c r="E512" s="20"/>
      <c r="F512" s="20"/>
      <c r="G512" s="20"/>
    </row>
    <row r="513" spans="2:7" ht="13.8" x14ac:dyDescent="0.3">
      <c r="B513" s="20"/>
      <c r="C513" s="20"/>
      <c r="D513" s="20"/>
      <c r="E513" s="20"/>
      <c r="F513" s="20"/>
      <c r="G513" s="20"/>
    </row>
    <row r="514" spans="2:7" ht="13.8" x14ac:dyDescent="0.3">
      <c r="B514" s="20"/>
      <c r="C514" s="20"/>
      <c r="D514" s="20"/>
      <c r="E514" s="20"/>
      <c r="F514" s="20"/>
      <c r="G514" s="20"/>
    </row>
    <row r="515" spans="2:7" ht="13.8" x14ac:dyDescent="0.3">
      <c r="B515" s="20"/>
      <c r="C515" s="20"/>
      <c r="D515" s="20"/>
      <c r="E515" s="20"/>
      <c r="F515" s="20"/>
      <c r="G515" s="20"/>
    </row>
    <row r="516" spans="2:7" ht="13.8" x14ac:dyDescent="0.3">
      <c r="B516" s="20"/>
      <c r="C516" s="20"/>
      <c r="D516" s="20"/>
      <c r="E516" s="20"/>
      <c r="F516" s="20"/>
      <c r="G516" s="20"/>
    </row>
    <row r="517" spans="2:7" ht="13.8" x14ac:dyDescent="0.3">
      <c r="B517" s="20"/>
      <c r="C517" s="20"/>
      <c r="D517" s="20"/>
      <c r="E517" s="20"/>
      <c r="F517" s="20"/>
      <c r="G517" s="20"/>
    </row>
    <row r="518" spans="2:7" ht="13.8" x14ac:dyDescent="0.3">
      <c r="B518" s="20"/>
      <c r="C518" s="20"/>
      <c r="D518" s="20"/>
      <c r="E518" s="20"/>
      <c r="F518" s="20"/>
      <c r="G518" s="20"/>
    </row>
    <row r="519" spans="2:7" ht="13.8" x14ac:dyDescent="0.3">
      <c r="B519" s="20"/>
      <c r="C519" s="20"/>
      <c r="D519" s="20"/>
      <c r="E519" s="20"/>
      <c r="F519" s="20"/>
      <c r="G519" s="20"/>
    </row>
    <row r="520" spans="2:7" ht="13.8" x14ac:dyDescent="0.3">
      <c r="B520" s="20"/>
      <c r="C520" s="20"/>
      <c r="D520" s="20"/>
      <c r="E520" s="20"/>
      <c r="F520" s="20"/>
      <c r="G520" s="20"/>
    </row>
    <row r="521" spans="2:7" ht="13.8" x14ac:dyDescent="0.3">
      <c r="B521" s="20"/>
      <c r="C521" s="20"/>
      <c r="D521" s="20"/>
      <c r="E521" s="20"/>
      <c r="F521" s="20"/>
      <c r="G521" s="20"/>
    </row>
    <row r="522" spans="2:7" ht="13.8" x14ac:dyDescent="0.3">
      <c r="B522" s="20"/>
      <c r="C522" s="20"/>
      <c r="D522" s="20"/>
      <c r="E522" s="20"/>
      <c r="F522" s="20"/>
      <c r="G522" s="20"/>
    </row>
    <row r="523" spans="2:7" ht="13.8" x14ac:dyDescent="0.3">
      <c r="B523" s="20"/>
      <c r="C523" s="20"/>
      <c r="D523" s="20"/>
      <c r="E523" s="20"/>
      <c r="F523" s="20"/>
      <c r="G523" s="20"/>
    </row>
    <row r="524" spans="2:7" ht="13.8" x14ac:dyDescent="0.3">
      <c r="B524" s="20"/>
      <c r="C524" s="20"/>
      <c r="D524" s="20"/>
      <c r="E524" s="20"/>
      <c r="F524" s="20"/>
      <c r="G524" s="20"/>
    </row>
    <row r="525" spans="2:7" ht="13.8" x14ac:dyDescent="0.3">
      <c r="B525" s="20"/>
      <c r="C525" s="20"/>
      <c r="D525" s="20"/>
      <c r="E525" s="20"/>
      <c r="F525" s="20"/>
      <c r="G525" s="20"/>
    </row>
    <row r="526" spans="2:7" ht="13.8" x14ac:dyDescent="0.3">
      <c r="B526" s="20"/>
      <c r="C526" s="20"/>
      <c r="D526" s="20"/>
      <c r="E526" s="20"/>
      <c r="F526" s="20"/>
      <c r="G526" s="20"/>
    </row>
    <row r="527" spans="2:7" ht="13.8" x14ac:dyDescent="0.3">
      <c r="B527" s="20"/>
      <c r="C527" s="20"/>
      <c r="D527" s="20"/>
      <c r="E527" s="20"/>
      <c r="F527" s="20"/>
      <c r="G527" s="20"/>
    </row>
    <row r="528" spans="2:7" ht="13.8" x14ac:dyDescent="0.3">
      <c r="B528" s="20"/>
      <c r="C528" s="20"/>
      <c r="D528" s="20"/>
      <c r="E528" s="20"/>
      <c r="F528" s="20"/>
      <c r="G528" s="20"/>
    </row>
    <row r="529" spans="2:7" ht="13.8" x14ac:dyDescent="0.3">
      <c r="B529" s="20"/>
      <c r="C529" s="20"/>
      <c r="D529" s="20"/>
      <c r="E529" s="20"/>
      <c r="F529" s="20"/>
      <c r="G529" s="20"/>
    </row>
    <row r="530" spans="2:7" ht="13.8" x14ac:dyDescent="0.3">
      <c r="B530" s="20"/>
      <c r="C530" s="20"/>
      <c r="D530" s="20"/>
      <c r="E530" s="20"/>
      <c r="F530" s="20"/>
      <c r="G530" s="20"/>
    </row>
    <row r="531" spans="2:7" ht="13.8" x14ac:dyDescent="0.3">
      <c r="B531" s="20"/>
      <c r="C531" s="20"/>
      <c r="D531" s="20"/>
      <c r="E531" s="20"/>
      <c r="F531" s="20"/>
      <c r="G531" s="20"/>
    </row>
    <row r="532" spans="2:7" ht="13.8" x14ac:dyDescent="0.3">
      <c r="B532" s="20"/>
      <c r="C532" s="20"/>
      <c r="D532" s="20"/>
      <c r="E532" s="20"/>
      <c r="F532" s="20"/>
      <c r="G532" s="20"/>
    </row>
    <row r="533" spans="2:7" ht="13.8" x14ac:dyDescent="0.3">
      <c r="B533" s="20"/>
      <c r="C533" s="20"/>
      <c r="D533" s="20"/>
      <c r="E533" s="20"/>
      <c r="F533" s="20"/>
      <c r="G533" s="20"/>
    </row>
    <row r="534" spans="2:7" ht="13.8" x14ac:dyDescent="0.3">
      <c r="B534" s="20"/>
      <c r="C534" s="20"/>
      <c r="D534" s="20"/>
      <c r="E534" s="20"/>
      <c r="F534" s="20"/>
      <c r="G534" s="20"/>
    </row>
    <row r="535" spans="2:7" ht="13.8" x14ac:dyDescent="0.3">
      <c r="B535" s="20"/>
      <c r="C535" s="20"/>
      <c r="D535" s="20"/>
      <c r="E535" s="20"/>
      <c r="F535" s="20"/>
      <c r="G535" s="20"/>
    </row>
    <row r="536" spans="2:7" ht="13.8" x14ac:dyDescent="0.3">
      <c r="B536" s="20"/>
      <c r="C536" s="20"/>
      <c r="D536" s="20"/>
      <c r="E536" s="20"/>
      <c r="F536" s="20"/>
      <c r="G536" s="20"/>
    </row>
    <row r="537" spans="2:7" ht="13.8" x14ac:dyDescent="0.3">
      <c r="B537" s="20"/>
      <c r="C537" s="20"/>
      <c r="D537" s="20"/>
      <c r="E537" s="20"/>
      <c r="F537" s="20"/>
      <c r="G537" s="20"/>
    </row>
    <row r="538" spans="2:7" ht="13.8" x14ac:dyDescent="0.3">
      <c r="B538" s="20"/>
      <c r="C538" s="20"/>
      <c r="D538" s="20"/>
      <c r="E538" s="20"/>
      <c r="F538" s="20"/>
      <c r="G538" s="20"/>
    </row>
    <row r="539" spans="2:7" ht="13.8" x14ac:dyDescent="0.3">
      <c r="B539" s="20"/>
      <c r="C539" s="20"/>
      <c r="D539" s="20"/>
      <c r="E539" s="20"/>
      <c r="F539" s="20"/>
      <c r="G539" s="20"/>
    </row>
    <row r="540" spans="2:7" ht="13.8" x14ac:dyDescent="0.3">
      <c r="B540" s="20"/>
      <c r="C540" s="20"/>
      <c r="D540" s="20"/>
      <c r="E540" s="20"/>
      <c r="F540" s="20"/>
      <c r="G540" s="20"/>
    </row>
    <row r="541" spans="2:7" ht="13.8" x14ac:dyDescent="0.3">
      <c r="B541" s="20"/>
      <c r="C541" s="20"/>
      <c r="D541" s="20"/>
      <c r="E541" s="20"/>
      <c r="F541" s="20"/>
      <c r="G541" s="20"/>
    </row>
    <row r="542" spans="2:7" ht="13.8" x14ac:dyDescent="0.3">
      <c r="B542" s="20"/>
      <c r="C542" s="20"/>
      <c r="D542" s="20"/>
      <c r="E542" s="20"/>
      <c r="F542" s="20"/>
      <c r="G542" s="20"/>
    </row>
    <row r="543" spans="2:7" ht="13.8" x14ac:dyDescent="0.3">
      <c r="B543" s="20"/>
      <c r="C543" s="20"/>
      <c r="D543" s="20"/>
      <c r="E543" s="20"/>
      <c r="F543" s="20"/>
      <c r="G543" s="20"/>
    </row>
    <row r="544" spans="2:7" ht="13.8" x14ac:dyDescent="0.3">
      <c r="B544" s="20"/>
      <c r="C544" s="20"/>
      <c r="D544" s="20"/>
      <c r="E544" s="20"/>
      <c r="F544" s="20"/>
      <c r="G544" s="20"/>
    </row>
    <row r="545" spans="2:7" ht="13.8" x14ac:dyDescent="0.3">
      <c r="B545" s="20"/>
      <c r="C545" s="20"/>
      <c r="D545" s="20"/>
      <c r="E545" s="20"/>
      <c r="F545" s="20"/>
      <c r="G545" s="20"/>
    </row>
    <row r="546" spans="2:7" ht="13.8" x14ac:dyDescent="0.3">
      <c r="B546" s="20"/>
      <c r="C546" s="20"/>
      <c r="D546" s="20"/>
      <c r="E546" s="20"/>
      <c r="F546" s="20"/>
      <c r="G546" s="20"/>
    </row>
    <row r="547" spans="2:7" ht="13.8" x14ac:dyDescent="0.3">
      <c r="B547" s="20"/>
      <c r="C547" s="20"/>
      <c r="D547" s="20"/>
      <c r="E547" s="20"/>
      <c r="F547" s="20"/>
      <c r="G547" s="20"/>
    </row>
    <row r="548" spans="2:7" ht="13.8" x14ac:dyDescent="0.3">
      <c r="B548" s="20"/>
      <c r="C548" s="20"/>
      <c r="D548" s="20"/>
      <c r="E548" s="20"/>
      <c r="F548" s="20"/>
      <c r="G548" s="20"/>
    </row>
    <row r="549" spans="2:7" ht="13.8" x14ac:dyDescent="0.3">
      <c r="B549" s="20"/>
      <c r="C549" s="20"/>
      <c r="D549" s="20"/>
      <c r="E549" s="20"/>
      <c r="F549" s="20"/>
      <c r="G549" s="20"/>
    </row>
    <row r="550" spans="2:7" ht="13.8" x14ac:dyDescent="0.3">
      <c r="B550" s="20"/>
      <c r="C550" s="20"/>
      <c r="D550" s="20"/>
      <c r="E550" s="20"/>
      <c r="F550" s="20"/>
      <c r="G550" s="20"/>
    </row>
    <row r="551" spans="2:7" ht="13.8" x14ac:dyDescent="0.3">
      <c r="B551" s="20"/>
      <c r="C551" s="20"/>
      <c r="D551" s="20"/>
      <c r="E551" s="20"/>
      <c r="F551" s="20"/>
      <c r="G551" s="20"/>
    </row>
    <row r="552" spans="2:7" ht="13.8" x14ac:dyDescent="0.3">
      <c r="B552" s="20"/>
      <c r="C552" s="20"/>
      <c r="D552" s="20"/>
      <c r="E552" s="20"/>
      <c r="F552" s="20"/>
      <c r="G552" s="20"/>
    </row>
    <row r="553" spans="2:7" ht="13.8" x14ac:dyDescent="0.3">
      <c r="B553" s="20"/>
      <c r="C553" s="20"/>
      <c r="D553" s="20"/>
      <c r="E553" s="20"/>
      <c r="F553" s="20"/>
      <c r="G553" s="20"/>
    </row>
    <row r="554" spans="2:7" ht="13.8" x14ac:dyDescent="0.3">
      <c r="B554" s="20"/>
      <c r="C554" s="20"/>
      <c r="D554" s="20"/>
      <c r="E554" s="20"/>
      <c r="F554" s="20"/>
      <c r="G554" s="20"/>
    </row>
    <row r="555" spans="2:7" ht="13.8" x14ac:dyDescent="0.3">
      <c r="B555" s="20"/>
      <c r="C555" s="20"/>
      <c r="D555" s="20"/>
      <c r="E555" s="20"/>
      <c r="F555" s="20"/>
      <c r="G555" s="20"/>
    </row>
    <row r="556" spans="2:7" ht="13.8" x14ac:dyDescent="0.3">
      <c r="B556" s="20"/>
      <c r="C556" s="20"/>
      <c r="D556" s="20"/>
      <c r="E556" s="20"/>
      <c r="F556" s="20"/>
      <c r="G556" s="20"/>
    </row>
    <row r="557" spans="2:7" ht="13.8" x14ac:dyDescent="0.3">
      <c r="B557" s="20"/>
      <c r="C557" s="20"/>
      <c r="D557" s="20"/>
      <c r="E557" s="20"/>
      <c r="F557" s="20"/>
      <c r="G557" s="20"/>
    </row>
    <row r="558" spans="2:7" ht="13.8" x14ac:dyDescent="0.3">
      <c r="B558" s="20"/>
      <c r="C558" s="20"/>
      <c r="D558" s="20"/>
      <c r="E558" s="20"/>
      <c r="F558" s="20"/>
      <c r="G558" s="20"/>
    </row>
    <row r="559" spans="2:7" ht="13.8" x14ac:dyDescent="0.3">
      <c r="B559" s="20"/>
      <c r="C559" s="20"/>
      <c r="D559" s="20"/>
      <c r="E559" s="20"/>
      <c r="F559" s="20"/>
      <c r="G559" s="20"/>
    </row>
    <row r="560" spans="2:7" ht="13.8" x14ac:dyDescent="0.3">
      <c r="B560" s="20"/>
      <c r="C560" s="20"/>
      <c r="D560" s="20"/>
      <c r="E560" s="20"/>
      <c r="F560" s="20"/>
      <c r="G560" s="20"/>
    </row>
    <row r="561" spans="2:7" ht="13.8" x14ac:dyDescent="0.3">
      <c r="B561" s="20"/>
      <c r="C561" s="20"/>
      <c r="D561" s="20"/>
      <c r="E561" s="20"/>
      <c r="F561" s="20"/>
      <c r="G561" s="20"/>
    </row>
    <row r="562" spans="2:7" ht="13.8" x14ac:dyDescent="0.3">
      <c r="B562" s="20"/>
      <c r="C562" s="20"/>
      <c r="D562" s="20"/>
      <c r="E562" s="20"/>
      <c r="F562" s="20"/>
      <c r="G562" s="20"/>
    </row>
    <row r="563" spans="2:7" ht="13.8" x14ac:dyDescent="0.3">
      <c r="B563" s="20"/>
      <c r="C563" s="20"/>
      <c r="D563" s="20"/>
      <c r="E563" s="20"/>
      <c r="F563" s="20"/>
      <c r="G563" s="20"/>
    </row>
    <row r="564" spans="2:7" ht="13.8" x14ac:dyDescent="0.3">
      <c r="B564" s="20"/>
      <c r="C564" s="20"/>
      <c r="D564" s="20"/>
      <c r="E564" s="20"/>
      <c r="F564" s="20"/>
      <c r="G564" s="20"/>
    </row>
    <row r="565" spans="2:7" ht="13.8" x14ac:dyDescent="0.3">
      <c r="B565" s="20"/>
      <c r="C565" s="20"/>
      <c r="D565" s="20"/>
      <c r="E565" s="20"/>
      <c r="F565" s="20"/>
      <c r="G565" s="20"/>
    </row>
    <row r="566" spans="2:7" ht="13.8" x14ac:dyDescent="0.3">
      <c r="B566" s="20"/>
      <c r="C566" s="20"/>
      <c r="D566" s="20"/>
      <c r="E566" s="20"/>
      <c r="F566" s="20"/>
      <c r="G566" s="20"/>
    </row>
    <row r="567" spans="2:7" ht="13.8" x14ac:dyDescent="0.3">
      <c r="B567" s="20"/>
      <c r="C567" s="20"/>
      <c r="D567" s="20"/>
      <c r="E567" s="20"/>
      <c r="F567" s="20"/>
      <c r="G567" s="20"/>
    </row>
    <row r="568" spans="2:7" ht="13.8" x14ac:dyDescent="0.3">
      <c r="B568" s="20"/>
      <c r="C568" s="20"/>
      <c r="D568" s="20"/>
      <c r="E568" s="20"/>
      <c r="F568" s="20"/>
      <c r="G568" s="20"/>
    </row>
    <row r="569" spans="2:7" ht="13.8" x14ac:dyDescent="0.3">
      <c r="B569" s="20"/>
      <c r="C569" s="20"/>
      <c r="D569" s="20"/>
      <c r="E569" s="20"/>
      <c r="F569" s="20"/>
      <c r="G569" s="20"/>
    </row>
    <row r="570" spans="2:7" ht="13.8" x14ac:dyDescent="0.3">
      <c r="B570" s="20"/>
      <c r="C570" s="20"/>
      <c r="D570" s="20"/>
      <c r="E570" s="20"/>
      <c r="F570" s="20"/>
      <c r="G570" s="20"/>
    </row>
    <row r="571" spans="2:7" ht="13.8" x14ac:dyDescent="0.3">
      <c r="B571" s="20"/>
      <c r="C571" s="20"/>
      <c r="D571" s="20"/>
      <c r="E571" s="20"/>
      <c r="F571" s="20"/>
      <c r="G571" s="20"/>
    </row>
    <row r="572" spans="2:7" ht="13.8" x14ac:dyDescent="0.3">
      <c r="B572" s="20"/>
      <c r="C572" s="20"/>
      <c r="D572" s="20"/>
      <c r="E572" s="20"/>
      <c r="F572" s="20"/>
      <c r="G572" s="20"/>
    </row>
    <row r="573" spans="2:7" ht="13.8" x14ac:dyDescent="0.3">
      <c r="B573" s="20"/>
      <c r="C573" s="20"/>
      <c r="D573" s="20"/>
      <c r="E573" s="20"/>
      <c r="F573" s="20"/>
      <c r="G573" s="20"/>
    </row>
    <row r="574" spans="2:7" ht="13.8" x14ac:dyDescent="0.3">
      <c r="B574" s="20"/>
      <c r="C574" s="20"/>
      <c r="D574" s="20"/>
      <c r="E574" s="20"/>
      <c r="F574" s="20"/>
      <c r="G574" s="20"/>
    </row>
    <row r="575" spans="2:7" ht="13.8" x14ac:dyDescent="0.3">
      <c r="B575" s="20"/>
      <c r="C575" s="20"/>
      <c r="D575" s="20"/>
      <c r="E575" s="20"/>
      <c r="F575" s="20"/>
      <c r="G575" s="20"/>
    </row>
    <row r="576" spans="2:7" ht="13.8" x14ac:dyDescent="0.3">
      <c r="B576" s="20"/>
      <c r="C576" s="20"/>
      <c r="D576" s="20"/>
      <c r="E576" s="20"/>
      <c r="F576" s="20"/>
      <c r="G576" s="20"/>
    </row>
    <row r="577" spans="2:7" ht="13.8" x14ac:dyDescent="0.3">
      <c r="B577" s="20"/>
      <c r="C577" s="20"/>
      <c r="D577" s="20"/>
      <c r="E577" s="20"/>
      <c r="F577" s="20"/>
      <c r="G577" s="20"/>
    </row>
    <row r="578" spans="2:7" ht="13.8" x14ac:dyDescent="0.3">
      <c r="B578" s="20"/>
      <c r="C578" s="20"/>
      <c r="D578" s="20"/>
      <c r="E578" s="20"/>
      <c r="F578" s="20"/>
      <c r="G578" s="20"/>
    </row>
    <row r="579" spans="2:7" ht="13.8" x14ac:dyDescent="0.3">
      <c r="B579" s="20"/>
      <c r="C579" s="20"/>
      <c r="D579" s="20"/>
      <c r="E579" s="20"/>
      <c r="F579" s="20"/>
      <c r="G579" s="20"/>
    </row>
    <row r="580" spans="2:7" ht="13.8" x14ac:dyDescent="0.3">
      <c r="B580" s="20"/>
      <c r="C580" s="20"/>
      <c r="D580" s="20"/>
      <c r="E580" s="20"/>
      <c r="F580" s="20"/>
      <c r="G580" s="20"/>
    </row>
    <row r="581" spans="2:7" ht="13.8" x14ac:dyDescent="0.3">
      <c r="B581" s="20"/>
      <c r="C581" s="20"/>
      <c r="D581" s="20"/>
      <c r="E581" s="20"/>
      <c r="F581" s="20"/>
      <c r="G581" s="20"/>
    </row>
    <row r="582" spans="2:7" ht="13.8" x14ac:dyDescent="0.3">
      <c r="B582" s="20"/>
      <c r="C582" s="20"/>
      <c r="D582" s="20"/>
      <c r="E582" s="20"/>
      <c r="F582" s="20"/>
      <c r="G582" s="20"/>
    </row>
    <row r="583" spans="2:7" ht="13.8" x14ac:dyDescent="0.3">
      <c r="B583" s="20"/>
      <c r="C583" s="20"/>
      <c r="D583" s="20"/>
      <c r="E583" s="20"/>
      <c r="F583" s="20"/>
      <c r="G583" s="20"/>
    </row>
    <row r="584" spans="2:7" ht="13.8" x14ac:dyDescent="0.3">
      <c r="B584" s="20"/>
      <c r="C584" s="20"/>
      <c r="D584" s="20"/>
      <c r="E584" s="20"/>
      <c r="F584" s="20"/>
      <c r="G584" s="20"/>
    </row>
    <row r="585" spans="2:7" ht="13.8" x14ac:dyDescent="0.3">
      <c r="B585" s="20"/>
      <c r="C585" s="20"/>
      <c r="D585" s="20"/>
      <c r="E585" s="20"/>
      <c r="F585" s="20"/>
      <c r="G585" s="20"/>
    </row>
    <row r="586" spans="2:7" ht="13.8" x14ac:dyDescent="0.3">
      <c r="B586" s="20"/>
      <c r="C586" s="20"/>
      <c r="D586" s="20"/>
      <c r="E586" s="20"/>
      <c r="F586" s="20"/>
      <c r="G586" s="20"/>
    </row>
    <row r="587" spans="2:7" ht="13.8" x14ac:dyDescent="0.3">
      <c r="B587" s="20"/>
      <c r="C587" s="20"/>
      <c r="D587" s="20"/>
      <c r="E587" s="20"/>
      <c r="F587" s="20"/>
      <c r="G587" s="20"/>
    </row>
    <row r="588" spans="2:7" ht="13.8" x14ac:dyDescent="0.3">
      <c r="B588" s="20"/>
      <c r="C588" s="20"/>
      <c r="D588" s="20"/>
      <c r="E588" s="20"/>
      <c r="F588" s="20"/>
      <c r="G588" s="20"/>
    </row>
    <row r="589" spans="2:7" ht="13.8" x14ac:dyDescent="0.3">
      <c r="B589" s="20"/>
      <c r="C589" s="20"/>
      <c r="D589" s="20"/>
      <c r="E589" s="20"/>
      <c r="F589" s="20"/>
      <c r="G589" s="20"/>
    </row>
    <row r="590" spans="2:7" ht="13.8" x14ac:dyDescent="0.3">
      <c r="B590" s="20"/>
      <c r="C590" s="20"/>
      <c r="D590" s="20"/>
      <c r="E590" s="20"/>
      <c r="F590" s="20"/>
      <c r="G590" s="20"/>
    </row>
    <row r="591" spans="2:7" ht="13.8" x14ac:dyDescent="0.3">
      <c r="B591" s="20"/>
      <c r="C591" s="20"/>
      <c r="D591" s="20"/>
      <c r="E591" s="20"/>
      <c r="F591" s="20"/>
      <c r="G591" s="20"/>
    </row>
    <row r="592" spans="2:7" ht="13.8" x14ac:dyDescent="0.3">
      <c r="B592" s="20"/>
      <c r="C592" s="20"/>
      <c r="D592" s="20"/>
      <c r="E592" s="20"/>
      <c r="F592" s="20"/>
      <c r="G592" s="20"/>
    </row>
    <row r="593" spans="2:7" ht="13.8" x14ac:dyDescent="0.3">
      <c r="B593" s="20"/>
      <c r="C593" s="20"/>
      <c r="D593" s="20"/>
      <c r="E593" s="20"/>
      <c r="F593" s="20"/>
      <c r="G593" s="20"/>
    </row>
    <row r="594" spans="2:7" ht="13.8" x14ac:dyDescent="0.3">
      <c r="B594" s="20"/>
      <c r="C594" s="20"/>
      <c r="D594" s="20"/>
      <c r="E594" s="20"/>
      <c r="F594" s="20"/>
      <c r="G594" s="20"/>
    </row>
    <row r="595" spans="2:7" ht="13.8" x14ac:dyDescent="0.3">
      <c r="B595" s="20"/>
      <c r="C595" s="20"/>
      <c r="D595" s="20"/>
      <c r="E595" s="20"/>
      <c r="F595" s="20"/>
      <c r="G595" s="20"/>
    </row>
    <row r="596" spans="2:7" ht="13.8" x14ac:dyDescent="0.3">
      <c r="B596" s="20"/>
      <c r="C596" s="20"/>
      <c r="D596" s="20"/>
      <c r="E596" s="20"/>
      <c r="F596" s="20"/>
      <c r="G596" s="20"/>
    </row>
    <row r="597" spans="2:7" ht="13.8" x14ac:dyDescent="0.3">
      <c r="B597" s="20"/>
      <c r="C597" s="20"/>
      <c r="D597" s="20"/>
      <c r="E597" s="20"/>
      <c r="F597" s="20"/>
      <c r="G597" s="20"/>
    </row>
    <row r="598" spans="2:7" ht="13.8" x14ac:dyDescent="0.3">
      <c r="B598" s="20"/>
      <c r="C598" s="20"/>
      <c r="D598" s="20"/>
      <c r="E598" s="20"/>
      <c r="F598" s="20"/>
      <c r="G598" s="20"/>
    </row>
    <row r="599" spans="2:7" ht="13.8" x14ac:dyDescent="0.3">
      <c r="B599" s="20"/>
      <c r="C599" s="20"/>
      <c r="D599" s="20"/>
      <c r="E599" s="20"/>
      <c r="F599" s="20"/>
      <c r="G599" s="20"/>
    </row>
    <row r="600" spans="2:7" ht="13.8" x14ac:dyDescent="0.3">
      <c r="B600" s="20"/>
      <c r="C600" s="20"/>
      <c r="D600" s="20"/>
      <c r="E600" s="20"/>
      <c r="F600" s="20"/>
      <c r="G600" s="20"/>
    </row>
    <row r="601" spans="2:7" ht="13.8" x14ac:dyDescent="0.3">
      <c r="B601" s="20"/>
      <c r="C601" s="20"/>
      <c r="D601" s="20"/>
      <c r="E601" s="20"/>
      <c r="F601" s="20"/>
      <c r="G601" s="20"/>
    </row>
    <row r="602" spans="2:7" ht="13.8" x14ac:dyDescent="0.3">
      <c r="B602" s="20"/>
      <c r="C602" s="20"/>
      <c r="D602" s="20"/>
      <c r="E602" s="20"/>
      <c r="F602" s="20"/>
      <c r="G602" s="20"/>
    </row>
    <row r="603" spans="2:7" ht="13.8" x14ac:dyDescent="0.3">
      <c r="B603" s="20"/>
      <c r="C603" s="20"/>
      <c r="D603" s="20"/>
      <c r="E603" s="20"/>
      <c r="F603" s="20"/>
      <c r="G603" s="20"/>
    </row>
    <row r="604" spans="2:7" ht="13.8" x14ac:dyDescent="0.3">
      <c r="B604" s="20"/>
      <c r="C604" s="20"/>
      <c r="D604" s="20"/>
      <c r="E604" s="20"/>
      <c r="F604" s="20"/>
      <c r="G604" s="20"/>
    </row>
    <row r="605" spans="2:7" ht="13.8" x14ac:dyDescent="0.3">
      <c r="B605" s="20"/>
      <c r="C605" s="20"/>
      <c r="D605" s="20"/>
      <c r="E605" s="20"/>
      <c r="F605" s="20"/>
      <c r="G605" s="20"/>
    </row>
    <row r="606" spans="2:7" ht="13.8" x14ac:dyDescent="0.3">
      <c r="B606" s="20"/>
      <c r="C606" s="20"/>
      <c r="D606" s="20"/>
      <c r="E606" s="20"/>
      <c r="F606" s="20"/>
      <c r="G606" s="20"/>
    </row>
    <row r="607" spans="2:7" ht="13.8" x14ac:dyDescent="0.3">
      <c r="B607" s="20"/>
      <c r="C607" s="20"/>
      <c r="D607" s="20"/>
      <c r="E607" s="20"/>
      <c r="F607" s="20"/>
      <c r="G607" s="20"/>
    </row>
    <row r="608" spans="2:7" ht="13.8" x14ac:dyDescent="0.3">
      <c r="B608" s="20"/>
      <c r="C608" s="20"/>
      <c r="D608" s="20"/>
      <c r="E608" s="20"/>
      <c r="F608" s="20"/>
      <c r="G608" s="20"/>
    </row>
    <row r="609" spans="2:7" ht="13.8" x14ac:dyDescent="0.3">
      <c r="B609" s="20"/>
      <c r="C609" s="20"/>
      <c r="D609" s="20"/>
      <c r="E609" s="20"/>
      <c r="F609" s="20"/>
      <c r="G609" s="20"/>
    </row>
    <row r="610" spans="2:7" ht="13.8" x14ac:dyDescent="0.3">
      <c r="B610" s="20"/>
      <c r="C610" s="20"/>
      <c r="D610" s="20"/>
      <c r="E610" s="20"/>
      <c r="F610" s="20"/>
      <c r="G610" s="20"/>
    </row>
    <row r="611" spans="2:7" ht="13.8" x14ac:dyDescent="0.3">
      <c r="B611" s="20"/>
      <c r="C611" s="20"/>
      <c r="D611" s="20"/>
      <c r="E611" s="20"/>
      <c r="F611" s="20"/>
      <c r="G611" s="20"/>
    </row>
    <row r="612" spans="2:7" ht="13.8" x14ac:dyDescent="0.3">
      <c r="B612" s="20"/>
      <c r="C612" s="20"/>
      <c r="D612" s="20"/>
      <c r="E612" s="20"/>
      <c r="F612" s="20"/>
      <c r="G612" s="20"/>
    </row>
    <row r="613" spans="2:7" ht="13.8" x14ac:dyDescent="0.3">
      <c r="B613" s="20"/>
      <c r="C613" s="20"/>
      <c r="D613" s="20"/>
      <c r="E613" s="20"/>
      <c r="F613" s="20"/>
      <c r="G613" s="20"/>
    </row>
    <row r="614" spans="2:7" ht="13.8" x14ac:dyDescent="0.3">
      <c r="B614" s="20"/>
      <c r="C614" s="20"/>
      <c r="D614" s="20"/>
      <c r="E614" s="20"/>
      <c r="F614" s="20"/>
      <c r="G614" s="20"/>
    </row>
    <row r="615" spans="2:7" ht="13.8" x14ac:dyDescent="0.3">
      <c r="B615" s="20"/>
      <c r="C615" s="20"/>
      <c r="D615" s="20"/>
      <c r="E615" s="20"/>
      <c r="F615" s="20"/>
      <c r="G615" s="20"/>
    </row>
    <row r="616" spans="2:7" ht="13.8" x14ac:dyDescent="0.3">
      <c r="B616" s="20"/>
      <c r="C616" s="20"/>
      <c r="D616" s="20"/>
      <c r="E616" s="20"/>
      <c r="F616" s="20"/>
      <c r="G616" s="20"/>
    </row>
    <row r="617" spans="2:7" ht="13.8" x14ac:dyDescent="0.3">
      <c r="B617" s="20"/>
      <c r="C617" s="20"/>
      <c r="D617" s="20"/>
      <c r="E617" s="20"/>
      <c r="F617" s="20"/>
      <c r="G617" s="20"/>
    </row>
    <row r="618" spans="2:7" ht="13.8" x14ac:dyDescent="0.3">
      <c r="B618" s="20"/>
      <c r="C618" s="20"/>
      <c r="D618" s="20"/>
      <c r="E618" s="20"/>
      <c r="F618" s="20"/>
      <c r="G618" s="20"/>
    </row>
    <row r="619" spans="2:7" ht="13.8" x14ac:dyDescent="0.3">
      <c r="B619" s="20"/>
      <c r="C619" s="20"/>
      <c r="D619" s="20"/>
      <c r="E619" s="20"/>
      <c r="F619" s="20"/>
      <c r="G619" s="20"/>
    </row>
    <row r="620" spans="2:7" ht="13.8" x14ac:dyDescent="0.3">
      <c r="B620" s="20"/>
      <c r="C620" s="20"/>
      <c r="D620" s="20"/>
      <c r="E620" s="20"/>
      <c r="F620" s="20"/>
      <c r="G620" s="20"/>
    </row>
    <row r="621" spans="2:7" ht="13.8" x14ac:dyDescent="0.3">
      <c r="B621" s="20"/>
      <c r="C621" s="20"/>
      <c r="D621" s="20"/>
      <c r="E621" s="20"/>
      <c r="F621" s="20"/>
      <c r="G621" s="20"/>
    </row>
    <row r="622" spans="2:7" ht="13.8" x14ac:dyDescent="0.3">
      <c r="B622" s="20"/>
      <c r="C622" s="20"/>
      <c r="D622" s="20"/>
      <c r="E622" s="20"/>
      <c r="F622" s="20"/>
      <c r="G622" s="20"/>
    </row>
    <row r="623" spans="2:7" ht="13.8" x14ac:dyDescent="0.3">
      <c r="B623" s="20"/>
      <c r="C623" s="20"/>
      <c r="D623" s="20"/>
      <c r="E623" s="20"/>
      <c r="F623" s="20"/>
      <c r="G623" s="20"/>
    </row>
    <row r="624" spans="2:7" ht="13.8" x14ac:dyDescent="0.3">
      <c r="B624" s="20"/>
      <c r="C624" s="20"/>
      <c r="D624" s="20"/>
      <c r="E624" s="20"/>
      <c r="F624" s="20"/>
      <c r="G624" s="20"/>
    </row>
    <row r="625" spans="2:7" ht="13.8" x14ac:dyDescent="0.3">
      <c r="B625" s="20"/>
      <c r="C625" s="20"/>
      <c r="D625" s="20"/>
      <c r="E625" s="20"/>
      <c r="F625" s="20"/>
      <c r="G625" s="20"/>
    </row>
    <row r="626" spans="2:7" ht="13.8" x14ac:dyDescent="0.3">
      <c r="B626" s="20"/>
      <c r="C626" s="20"/>
      <c r="D626" s="20"/>
      <c r="E626" s="20"/>
      <c r="F626" s="20"/>
      <c r="G626" s="20"/>
    </row>
    <row r="627" spans="2:7" ht="13.8" x14ac:dyDescent="0.3">
      <c r="B627" s="20"/>
      <c r="C627" s="20"/>
      <c r="D627" s="20"/>
      <c r="E627" s="20"/>
      <c r="F627" s="20"/>
      <c r="G627" s="20"/>
    </row>
    <row r="628" spans="2:7" ht="13.8" x14ac:dyDescent="0.3">
      <c r="B628" s="20"/>
      <c r="C628" s="20"/>
      <c r="D628" s="20"/>
      <c r="E628" s="20"/>
      <c r="F628" s="20"/>
      <c r="G628" s="20"/>
    </row>
    <row r="629" spans="2:7" ht="13.8" x14ac:dyDescent="0.3">
      <c r="B629" s="20"/>
      <c r="C629" s="20"/>
      <c r="D629" s="20"/>
      <c r="E629" s="20"/>
      <c r="F629" s="20"/>
      <c r="G629" s="20"/>
    </row>
    <row r="630" spans="2:7" ht="13.8" x14ac:dyDescent="0.3">
      <c r="B630" s="20"/>
      <c r="C630" s="20"/>
      <c r="D630" s="20"/>
      <c r="E630" s="20"/>
      <c r="F630" s="20"/>
      <c r="G630" s="20"/>
    </row>
    <row r="631" spans="2:7" ht="13.8" x14ac:dyDescent="0.3">
      <c r="B631" s="20"/>
      <c r="C631" s="20"/>
      <c r="D631" s="20"/>
      <c r="E631" s="20"/>
      <c r="F631" s="20"/>
      <c r="G631" s="20"/>
    </row>
    <row r="632" spans="2:7" ht="13.8" x14ac:dyDescent="0.3">
      <c r="B632" s="20"/>
      <c r="C632" s="20"/>
      <c r="D632" s="20"/>
      <c r="E632" s="20"/>
      <c r="F632" s="20"/>
      <c r="G632" s="20"/>
    </row>
    <row r="633" spans="2:7" ht="13.8" x14ac:dyDescent="0.3">
      <c r="B633" s="20"/>
      <c r="C633" s="20"/>
      <c r="D633" s="20"/>
      <c r="E633" s="20"/>
      <c r="F633" s="20"/>
      <c r="G633" s="20"/>
    </row>
    <row r="634" spans="2:7" ht="13.8" x14ac:dyDescent="0.3">
      <c r="B634" s="20"/>
      <c r="C634" s="20"/>
      <c r="D634" s="20"/>
      <c r="E634" s="20"/>
      <c r="F634" s="20"/>
      <c r="G634" s="20"/>
    </row>
    <row r="635" spans="2:7" ht="13.8" x14ac:dyDescent="0.3">
      <c r="B635" s="20"/>
      <c r="C635" s="20"/>
      <c r="D635" s="20"/>
      <c r="E635" s="20"/>
      <c r="F635" s="20"/>
      <c r="G635" s="20"/>
    </row>
    <row r="636" spans="2:7" ht="13.8" x14ac:dyDescent="0.3">
      <c r="B636" s="20"/>
      <c r="C636" s="20"/>
      <c r="D636" s="20"/>
      <c r="E636" s="20"/>
      <c r="F636" s="20"/>
      <c r="G636" s="20"/>
    </row>
    <row r="637" spans="2:7" ht="13.8" x14ac:dyDescent="0.3">
      <c r="B637" s="20"/>
      <c r="C637" s="20"/>
      <c r="D637" s="20"/>
      <c r="E637" s="20"/>
      <c r="F637" s="20"/>
      <c r="G637" s="20"/>
    </row>
    <row r="638" spans="2:7" ht="13.8" x14ac:dyDescent="0.3">
      <c r="B638" s="20"/>
      <c r="C638" s="20"/>
      <c r="D638" s="20"/>
      <c r="E638" s="20"/>
      <c r="F638" s="20"/>
      <c r="G638" s="20"/>
    </row>
    <row r="639" spans="2:7" ht="13.8" x14ac:dyDescent="0.3">
      <c r="B639" s="20"/>
      <c r="C639" s="20"/>
      <c r="D639" s="20"/>
      <c r="E639" s="20"/>
      <c r="F639" s="20"/>
      <c r="G639" s="20"/>
    </row>
    <row r="640" spans="2:7" ht="13.8" x14ac:dyDescent="0.3">
      <c r="B640" s="20"/>
      <c r="C640" s="20"/>
      <c r="D640" s="20"/>
      <c r="E640" s="20"/>
      <c r="F640" s="20"/>
      <c r="G640" s="20"/>
    </row>
    <row r="641" spans="2:7" ht="13.8" x14ac:dyDescent="0.3">
      <c r="B641" s="20"/>
      <c r="C641" s="20"/>
      <c r="D641" s="20"/>
      <c r="E641" s="20"/>
      <c r="F641" s="20"/>
      <c r="G641" s="20"/>
    </row>
    <row r="642" spans="2:7" ht="13.8" x14ac:dyDescent="0.3">
      <c r="B642" s="20"/>
      <c r="C642" s="20"/>
      <c r="D642" s="20"/>
      <c r="E642" s="20"/>
      <c r="F642" s="20"/>
      <c r="G642" s="20"/>
    </row>
    <row r="643" spans="2:7" ht="13.8" x14ac:dyDescent="0.3">
      <c r="B643" s="20"/>
      <c r="C643" s="20"/>
      <c r="D643" s="20"/>
      <c r="E643" s="20"/>
      <c r="F643" s="20"/>
      <c r="G643" s="20"/>
    </row>
    <row r="644" spans="2:7" ht="13.8" x14ac:dyDescent="0.3">
      <c r="B644" s="20"/>
      <c r="C644" s="20"/>
      <c r="D644" s="20"/>
      <c r="E644" s="20"/>
      <c r="F644" s="20"/>
      <c r="G644" s="20"/>
    </row>
    <row r="645" spans="2:7" ht="13.8" x14ac:dyDescent="0.3">
      <c r="B645" s="20"/>
      <c r="C645" s="20"/>
      <c r="D645" s="20"/>
      <c r="E645" s="20"/>
      <c r="F645" s="20"/>
      <c r="G645" s="20"/>
    </row>
    <row r="646" spans="2:7" ht="13.8" x14ac:dyDescent="0.3">
      <c r="B646" s="20"/>
      <c r="C646" s="20"/>
      <c r="D646" s="20"/>
      <c r="E646" s="20"/>
      <c r="F646" s="20"/>
      <c r="G646" s="20"/>
    </row>
    <row r="647" spans="2:7" ht="13.8" x14ac:dyDescent="0.3">
      <c r="B647" s="20"/>
      <c r="C647" s="20"/>
      <c r="D647" s="20"/>
      <c r="E647" s="20"/>
      <c r="F647" s="20"/>
      <c r="G647" s="20"/>
    </row>
    <row r="648" spans="2:7" ht="13.8" x14ac:dyDescent="0.3">
      <c r="B648" s="20"/>
      <c r="C648" s="20"/>
      <c r="D648" s="20"/>
      <c r="E648" s="20"/>
      <c r="F648" s="20"/>
      <c r="G648" s="20"/>
    </row>
    <row r="649" spans="2:7" ht="13.8" x14ac:dyDescent="0.3">
      <c r="B649" s="20"/>
      <c r="C649" s="20"/>
      <c r="D649" s="20"/>
      <c r="E649" s="20"/>
      <c r="F649" s="20"/>
      <c r="G649" s="20"/>
    </row>
    <row r="650" spans="2:7" ht="13.8" x14ac:dyDescent="0.3">
      <c r="B650" s="20"/>
      <c r="C650" s="20"/>
      <c r="D650" s="20"/>
      <c r="E650" s="20"/>
      <c r="F650" s="20"/>
      <c r="G650" s="20"/>
    </row>
    <row r="651" spans="2:7" ht="13.8" x14ac:dyDescent="0.3">
      <c r="B651" s="20"/>
      <c r="C651" s="20"/>
      <c r="D651" s="20"/>
      <c r="E651" s="20"/>
      <c r="F651" s="20"/>
      <c r="G651" s="20"/>
    </row>
    <row r="652" spans="2:7" ht="13.8" x14ac:dyDescent="0.3">
      <c r="B652" s="20"/>
      <c r="C652" s="20"/>
      <c r="D652" s="20"/>
      <c r="E652" s="20"/>
      <c r="F652" s="20"/>
      <c r="G652" s="20"/>
    </row>
    <row r="653" spans="2:7" ht="13.8" x14ac:dyDescent="0.3">
      <c r="B653" s="20"/>
      <c r="C653" s="20"/>
      <c r="D653" s="20"/>
      <c r="E653" s="20"/>
      <c r="F653" s="20"/>
      <c r="G653" s="20"/>
    </row>
    <row r="654" spans="2:7" ht="13.8" x14ac:dyDescent="0.3">
      <c r="B654" s="20"/>
      <c r="C654" s="20"/>
      <c r="D654" s="20"/>
      <c r="E654" s="20"/>
      <c r="F654" s="20"/>
      <c r="G654" s="20"/>
    </row>
    <row r="655" spans="2:7" ht="13.8" x14ac:dyDescent="0.3">
      <c r="B655" s="20"/>
      <c r="C655" s="20"/>
      <c r="D655" s="20"/>
      <c r="E655" s="20"/>
      <c r="F655" s="20"/>
      <c r="G655" s="20"/>
    </row>
    <row r="656" spans="2:7" ht="13.8" x14ac:dyDescent="0.3">
      <c r="B656" s="20"/>
      <c r="C656" s="20"/>
      <c r="D656" s="20"/>
      <c r="E656" s="20"/>
      <c r="F656" s="20"/>
      <c r="G656" s="20"/>
    </row>
    <row r="657" spans="2:7" ht="13.8" x14ac:dyDescent="0.3">
      <c r="B657" s="20"/>
      <c r="C657" s="20"/>
      <c r="D657" s="20"/>
      <c r="E657" s="20"/>
      <c r="F657" s="20"/>
      <c r="G657" s="20"/>
    </row>
    <row r="658" spans="2:7" ht="13.8" x14ac:dyDescent="0.3">
      <c r="B658" s="20"/>
      <c r="C658" s="20"/>
      <c r="D658" s="20"/>
      <c r="E658" s="20"/>
      <c r="F658" s="20"/>
      <c r="G658" s="20"/>
    </row>
    <row r="659" spans="2:7" ht="13.8" x14ac:dyDescent="0.3">
      <c r="B659" s="20"/>
      <c r="C659" s="20"/>
      <c r="D659" s="20"/>
      <c r="E659" s="20"/>
      <c r="F659" s="20"/>
      <c r="G659" s="20"/>
    </row>
    <row r="660" spans="2:7" ht="13.8" x14ac:dyDescent="0.3">
      <c r="B660" s="20"/>
      <c r="C660" s="20"/>
      <c r="D660" s="20"/>
      <c r="E660" s="20"/>
      <c r="F660" s="20"/>
      <c r="G660" s="20"/>
    </row>
    <row r="661" spans="2:7" ht="13.8" x14ac:dyDescent="0.3">
      <c r="B661" s="20"/>
      <c r="C661" s="20"/>
      <c r="D661" s="20"/>
      <c r="E661" s="20"/>
      <c r="F661" s="20"/>
      <c r="G661" s="20"/>
    </row>
    <row r="662" spans="2:7" ht="13.8" x14ac:dyDescent="0.3">
      <c r="B662" s="20"/>
      <c r="C662" s="20"/>
      <c r="D662" s="20"/>
      <c r="E662" s="20"/>
      <c r="F662" s="20"/>
      <c r="G662" s="20"/>
    </row>
    <row r="663" spans="2:7" ht="13.8" x14ac:dyDescent="0.3">
      <c r="B663" s="20"/>
      <c r="C663" s="20"/>
      <c r="D663" s="20"/>
      <c r="E663" s="20"/>
      <c r="F663" s="20"/>
      <c r="G663" s="20"/>
    </row>
    <row r="664" spans="2:7" ht="13.8" x14ac:dyDescent="0.3">
      <c r="B664" s="20"/>
      <c r="C664" s="20"/>
      <c r="D664" s="20"/>
      <c r="E664" s="20"/>
      <c r="F664" s="20"/>
      <c r="G664" s="20"/>
    </row>
    <row r="665" spans="2:7" ht="13.8" x14ac:dyDescent="0.3">
      <c r="B665" s="20"/>
      <c r="C665" s="20"/>
      <c r="D665" s="20"/>
      <c r="E665" s="20"/>
      <c r="F665" s="20"/>
      <c r="G665" s="20"/>
    </row>
    <row r="666" spans="2:7" ht="13.8" x14ac:dyDescent="0.3">
      <c r="B666" s="20"/>
      <c r="C666" s="20"/>
      <c r="D666" s="20"/>
      <c r="E666" s="20"/>
      <c r="F666" s="20"/>
      <c r="G666" s="20"/>
    </row>
    <row r="667" spans="2:7" ht="13.8" x14ac:dyDescent="0.3">
      <c r="B667" s="20"/>
      <c r="C667" s="20"/>
      <c r="D667" s="20"/>
      <c r="E667" s="20"/>
      <c r="F667" s="20"/>
      <c r="G667" s="20"/>
    </row>
    <row r="668" spans="2:7" ht="13.8" x14ac:dyDescent="0.3">
      <c r="B668" s="20"/>
      <c r="C668" s="20"/>
      <c r="D668" s="20"/>
      <c r="E668" s="20"/>
      <c r="F668" s="20"/>
      <c r="G668" s="20"/>
    </row>
    <row r="669" spans="2:7" ht="13.8" x14ac:dyDescent="0.3">
      <c r="B669" s="20"/>
      <c r="C669" s="20"/>
      <c r="D669" s="20"/>
      <c r="E669" s="20"/>
      <c r="F669" s="20"/>
      <c r="G669" s="20"/>
    </row>
    <row r="670" spans="2:7" ht="13.8" x14ac:dyDescent="0.3">
      <c r="B670" s="20"/>
      <c r="C670" s="20"/>
      <c r="D670" s="20"/>
      <c r="E670" s="20"/>
      <c r="F670" s="20"/>
      <c r="G670" s="20"/>
    </row>
    <row r="671" spans="2:7" ht="13.8" x14ac:dyDescent="0.3">
      <c r="B671" s="20"/>
      <c r="C671" s="20"/>
      <c r="D671" s="20"/>
      <c r="E671" s="20"/>
      <c r="F671" s="20"/>
      <c r="G671" s="20"/>
    </row>
    <row r="672" spans="2:7" ht="13.8" x14ac:dyDescent="0.3">
      <c r="B672" s="20"/>
      <c r="C672" s="20"/>
      <c r="D672" s="20"/>
      <c r="E672" s="20"/>
      <c r="F672" s="20"/>
      <c r="G672" s="20"/>
    </row>
    <row r="673" spans="2:7" ht="13.8" x14ac:dyDescent="0.3">
      <c r="B673" s="20"/>
      <c r="C673" s="20"/>
      <c r="D673" s="20"/>
      <c r="E673" s="20"/>
      <c r="F673" s="20"/>
      <c r="G673" s="20"/>
    </row>
    <row r="674" spans="2:7" ht="13.8" x14ac:dyDescent="0.3">
      <c r="B674" s="20"/>
      <c r="C674" s="20"/>
      <c r="D674" s="20"/>
      <c r="E674" s="20"/>
      <c r="F674" s="20"/>
      <c r="G674" s="20"/>
    </row>
    <row r="675" spans="2:7" ht="13.8" x14ac:dyDescent="0.3">
      <c r="B675" s="20"/>
      <c r="C675" s="20"/>
      <c r="D675" s="20"/>
      <c r="E675" s="20"/>
      <c r="F675" s="20"/>
      <c r="G675" s="20"/>
    </row>
    <row r="676" spans="2:7" ht="13.8" x14ac:dyDescent="0.3">
      <c r="B676" s="20"/>
      <c r="C676" s="20"/>
      <c r="D676" s="20"/>
      <c r="E676" s="20"/>
      <c r="F676" s="20"/>
      <c r="G676" s="20"/>
    </row>
    <row r="677" spans="2:7" ht="13.8" x14ac:dyDescent="0.3">
      <c r="B677" s="20"/>
      <c r="C677" s="20"/>
      <c r="D677" s="20"/>
      <c r="E677" s="20"/>
      <c r="F677" s="20"/>
      <c r="G677" s="20"/>
    </row>
    <row r="678" spans="2:7" ht="13.8" x14ac:dyDescent="0.3">
      <c r="B678" s="20"/>
      <c r="C678" s="20"/>
      <c r="D678" s="20"/>
      <c r="E678" s="20"/>
      <c r="F678" s="20"/>
      <c r="G678" s="20"/>
    </row>
    <row r="679" spans="2:7" ht="13.8" x14ac:dyDescent="0.3">
      <c r="B679" s="20"/>
      <c r="C679" s="20"/>
      <c r="D679" s="20"/>
      <c r="E679" s="20"/>
      <c r="F679" s="20"/>
      <c r="G679" s="20"/>
    </row>
    <row r="680" spans="2:7" ht="13.8" x14ac:dyDescent="0.3">
      <c r="B680" s="20"/>
      <c r="C680" s="20"/>
      <c r="D680" s="20"/>
      <c r="E680" s="20"/>
      <c r="F680" s="20"/>
      <c r="G680" s="20"/>
    </row>
    <row r="681" spans="2:7" ht="13.8" x14ac:dyDescent="0.3">
      <c r="B681" s="20"/>
      <c r="C681" s="20"/>
      <c r="D681" s="20"/>
      <c r="E681" s="20"/>
      <c r="F681" s="20"/>
      <c r="G681" s="20"/>
    </row>
    <row r="682" spans="2:7" ht="13.8" x14ac:dyDescent="0.3">
      <c r="B682" s="20"/>
      <c r="C682" s="20"/>
      <c r="D682" s="20"/>
      <c r="E682" s="20"/>
      <c r="F682" s="20"/>
      <c r="G682" s="20"/>
    </row>
    <row r="683" spans="2:7" ht="13.8" x14ac:dyDescent="0.3">
      <c r="B683" s="20"/>
      <c r="C683" s="20"/>
      <c r="D683" s="20"/>
      <c r="E683" s="20"/>
      <c r="F683" s="20"/>
      <c r="G683" s="20"/>
    </row>
    <row r="684" spans="2:7" ht="13.8" x14ac:dyDescent="0.3">
      <c r="B684" s="20"/>
      <c r="C684" s="20"/>
      <c r="D684" s="20"/>
      <c r="E684" s="20"/>
      <c r="F684" s="20"/>
      <c r="G684" s="20"/>
    </row>
    <row r="685" spans="2:7" ht="13.8" x14ac:dyDescent="0.3">
      <c r="B685" s="20"/>
      <c r="C685" s="20"/>
      <c r="D685" s="20"/>
      <c r="E685" s="20"/>
      <c r="F685" s="20"/>
      <c r="G685" s="20"/>
    </row>
    <row r="686" spans="2:7" ht="13.8" x14ac:dyDescent="0.3">
      <c r="B686" s="20"/>
      <c r="C686" s="20"/>
      <c r="D686" s="20"/>
      <c r="E686" s="20"/>
      <c r="F686" s="20"/>
      <c r="G686" s="20"/>
    </row>
    <row r="687" spans="2:7" ht="13.8" x14ac:dyDescent="0.3">
      <c r="B687" s="20"/>
      <c r="C687" s="20"/>
      <c r="D687" s="20"/>
      <c r="E687" s="20"/>
      <c r="F687" s="20"/>
      <c r="G687" s="20"/>
    </row>
    <row r="688" spans="2:7" ht="13.8" x14ac:dyDescent="0.3">
      <c r="B688" s="20"/>
      <c r="C688" s="20"/>
      <c r="D688" s="20"/>
      <c r="E688" s="20"/>
      <c r="F688" s="20"/>
      <c r="G688" s="20"/>
    </row>
    <row r="689" spans="2:7" ht="13.8" x14ac:dyDescent="0.3">
      <c r="B689" s="20"/>
      <c r="C689" s="20"/>
      <c r="D689" s="20"/>
      <c r="E689" s="20"/>
      <c r="F689" s="20"/>
      <c r="G689" s="20"/>
    </row>
    <row r="690" spans="2:7" ht="13.8" x14ac:dyDescent="0.3">
      <c r="B690" s="20"/>
      <c r="C690" s="20"/>
      <c r="D690" s="20"/>
      <c r="E690" s="20"/>
      <c r="F690" s="20"/>
      <c r="G690" s="20"/>
    </row>
    <row r="691" spans="2:7" ht="13.8" x14ac:dyDescent="0.3">
      <c r="B691" s="20"/>
      <c r="C691" s="20"/>
      <c r="D691" s="20"/>
      <c r="E691" s="20"/>
      <c r="F691" s="20"/>
      <c r="G691" s="20"/>
    </row>
    <row r="692" spans="2:7" ht="13.8" x14ac:dyDescent="0.3">
      <c r="B692" s="20"/>
      <c r="C692" s="20"/>
      <c r="D692" s="20"/>
      <c r="E692" s="20"/>
      <c r="F692" s="20"/>
      <c r="G692" s="20"/>
    </row>
    <row r="693" spans="2:7" ht="13.8" x14ac:dyDescent="0.3">
      <c r="B693" s="20"/>
      <c r="C693" s="20"/>
      <c r="D693" s="20"/>
      <c r="E693" s="20"/>
      <c r="F693" s="20"/>
      <c r="G693" s="20"/>
    </row>
    <row r="694" spans="2:7" ht="13.8" x14ac:dyDescent="0.3">
      <c r="B694" s="20"/>
      <c r="C694" s="20"/>
      <c r="D694" s="20"/>
      <c r="E694" s="20"/>
      <c r="F694" s="20"/>
      <c r="G694" s="20"/>
    </row>
    <row r="695" spans="2:7" ht="13.8" x14ac:dyDescent="0.3">
      <c r="B695" s="20"/>
      <c r="C695" s="20"/>
      <c r="D695" s="20"/>
      <c r="E695" s="20"/>
      <c r="F695" s="20"/>
      <c r="G695" s="20"/>
    </row>
    <row r="696" spans="2:7" ht="13.8" x14ac:dyDescent="0.3">
      <c r="B696" s="20"/>
      <c r="C696" s="20"/>
      <c r="D696" s="20"/>
      <c r="E696" s="20"/>
      <c r="F696" s="20"/>
      <c r="G696" s="20"/>
    </row>
    <row r="697" spans="2:7" ht="13.8" x14ac:dyDescent="0.3">
      <c r="B697" s="20"/>
      <c r="C697" s="20"/>
      <c r="D697" s="20"/>
      <c r="E697" s="20"/>
      <c r="F697" s="20"/>
      <c r="G697" s="20"/>
    </row>
    <row r="698" spans="2:7" ht="13.8" x14ac:dyDescent="0.3">
      <c r="B698" s="20"/>
      <c r="C698" s="20"/>
      <c r="D698" s="20"/>
      <c r="E698" s="20"/>
      <c r="F698" s="20"/>
      <c r="G698" s="20"/>
    </row>
    <row r="699" spans="2:7" ht="13.8" x14ac:dyDescent="0.3">
      <c r="B699" s="20"/>
      <c r="C699" s="20"/>
      <c r="D699" s="20"/>
      <c r="E699" s="20"/>
      <c r="F699" s="20"/>
      <c r="G699" s="20"/>
    </row>
    <row r="700" spans="2:7" ht="13.8" x14ac:dyDescent="0.3">
      <c r="B700" s="20"/>
      <c r="C700" s="20"/>
      <c r="D700" s="20"/>
      <c r="E700" s="20"/>
      <c r="F700" s="20"/>
      <c r="G700" s="20"/>
    </row>
    <row r="701" spans="2:7" ht="13.8" x14ac:dyDescent="0.3">
      <c r="B701" s="20"/>
      <c r="C701" s="20"/>
      <c r="D701" s="20"/>
      <c r="E701" s="20"/>
      <c r="F701" s="20"/>
      <c r="G701" s="20"/>
    </row>
    <row r="702" spans="2:7" ht="13.8" x14ac:dyDescent="0.3">
      <c r="B702" s="20"/>
      <c r="C702" s="20"/>
      <c r="D702" s="20"/>
      <c r="E702" s="20"/>
      <c r="F702" s="20"/>
      <c r="G702" s="20"/>
    </row>
    <row r="703" spans="2:7" ht="13.8" x14ac:dyDescent="0.3">
      <c r="B703" s="20"/>
      <c r="C703" s="20"/>
      <c r="D703" s="20"/>
      <c r="E703" s="20"/>
      <c r="F703" s="20"/>
      <c r="G703" s="20"/>
    </row>
    <row r="704" spans="2:7" ht="13.8" x14ac:dyDescent="0.3">
      <c r="B704" s="20"/>
      <c r="C704" s="20"/>
      <c r="D704" s="20"/>
      <c r="E704" s="20"/>
      <c r="F704" s="20"/>
      <c r="G704" s="20"/>
    </row>
    <row r="705" spans="2:7" ht="13.8" x14ac:dyDescent="0.3">
      <c r="B705" s="20"/>
      <c r="C705" s="20"/>
      <c r="D705" s="20"/>
      <c r="E705" s="20"/>
      <c r="F705" s="20"/>
      <c r="G705" s="20"/>
    </row>
    <row r="706" spans="2:7" ht="13.8" x14ac:dyDescent="0.3">
      <c r="B706" s="20"/>
      <c r="C706" s="20"/>
      <c r="D706" s="20"/>
      <c r="E706" s="20"/>
      <c r="F706" s="20"/>
      <c r="G706" s="20"/>
    </row>
    <row r="707" spans="2:7" ht="13.8" x14ac:dyDescent="0.3">
      <c r="B707" s="20"/>
      <c r="C707" s="20"/>
      <c r="D707" s="20"/>
      <c r="E707" s="20"/>
      <c r="F707" s="20"/>
      <c r="G707" s="20"/>
    </row>
    <row r="708" spans="2:7" ht="13.8" x14ac:dyDescent="0.3">
      <c r="B708" s="20"/>
      <c r="C708" s="20"/>
      <c r="D708" s="20"/>
      <c r="E708" s="20"/>
      <c r="F708" s="20"/>
      <c r="G708" s="20"/>
    </row>
    <row r="709" spans="2:7" ht="13.8" x14ac:dyDescent="0.3">
      <c r="B709" s="20"/>
      <c r="C709" s="20"/>
      <c r="D709" s="20"/>
      <c r="E709" s="20"/>
      <c r="F709" s="20"/>
      <c r="G709" s="20"/>
    </row>
    <row r="710" spans="2:7" ht="13.8" x14ac:dyDescent="0.3">
      <c r="B710" s="20"/>
      <c r="C710" s="20"/>
      <c r="D710" s="20"/>
      <c r="E710" s="20"/>
      <c r="F710" s="20"/>
      <c r="G710" s="20"/>
    </row>
    <row r="711" spans="2:7" ht="13.8" x14ac:dyDescent="0.3">
      <c r="B711" s="20"/>
      <c r="C711" s="20"/>
      <c r="D711" s="20"/>
      <c r="E711" s="20"/>
      <c r="F711" s="20"/>
      <c r="G711" s="20"/>
    </row>
    <row r="712" spans="2:7" ht="13.8" x14ac:dyDescent="0.3">
      <c r="B712" s="20"/>
      <c r="C712" s="20"/>
      <c r="D712" s="20"/>
      <c r="E712" s="20"/>
      <c r="F712" s="20"/>
      <c r="G712" s="20"/>
    </row>
    <row r="713" spans="2:7" ht="13.8" x14ac:dyDescent="0.3">
      <c r="B713" s="20"/>
      <c r="C713" s="20"/>
      <c r="D713" s="20"/>
      <c r="E713" s="20"/>
      <c r="F713" s="20"/>
      <c r="G713" s="20"/>
    </row>
    <row r="714" spans="2:7" ht="13.8" x14ac:dyDescent="0.3">
      <c r="B714" s="20"/>
      <c r="C714" s="20"/>
      <c r="D714" s="20"/>
      <c r="E714" s="20"/>
      <c r="F714" s="20"/>
      <c r="G714" s="20"/>
    </row>
    <row r="715" spans="2:7" ht="13.8" x14ac:dyDescent="0.3">
      <c r="B715" s="20"/>
      <c r="C715" s="20"/>
      <c r="D715" s="20"/>
      <c r="E715" s="20"/>
      <c r="F715" s="20"/>
      <c r="G715" s="20"/>
    </row>
    <row r="716" spans="2:7" ht="13.8" x14ac:dyDescent="0.3">
      <c r="B716" s="20"/>
      <c r="C716" s="20"/>
      <c r="D716" s="20"/>
      <c r="E716" s="20"/>
      <c r="F716" s="20"/>
      <c r="G716" s="20"/>
    </row>
    <row r="717" spans="2:7" ht="13.8" x14ac:dyDescent="0.3">
      <c r="B717" s="20"/>
      <c r="C717" s="20"/>
      <c r="D717" s="20"/>
      <c r="E717" s="20"/>
      <c r="F717" s="20"/>
      <c r="G717" s="20"/>
    </row>
    <row r="718" spans="2:7" ht="13.8" x14ac:dyDescent="0.3">
      <c r="B718" s="20"/>
      <c r="C718" s="20"/>
      <c r="D718" s="20"/>
      <c r="E718" s="20"/>
      <c r="F718" s="20"/>
      <c r="G718" s="20"/>
    </row>
    <row r="719" spans="2:7" ht="13.8" x14ac:dyDescent="0.3">
      <c r="B719" s="20"/>
      <c r="C719" s="20"/>
      <c r="D719" s="20"/>
      <c r="E719" s="20"/>
      <c r="F719" s="20"/>
      <c r="G719" s="20"/>
    </row>
    <row r="720" spans="2:7" ht="13.8" x14ac:dyDescent="0.3">
      <c r="B720" s="20"/>
      <c r="C720" s="20"/>
      <c r="D720" s="20"/>
      <c r="E720" s="20"/>
      <c r="F720" s="20"/>
      <c r="G720" s="20"/>
    </row>
    <row r="721" spans="2:7" ht="13.8" x14ac:dyDescent="0.3">
      <c r="B721" s="20"/>
      <c r="C721" s="20"/>
      <c r="D721" s="20"/>
      <c r="E721" s="20"/>
      <c r="F721" s="20"/>
      <c r="G721" s="20"/>
    </row>
    <row r="722" spans="2:7" ht="13.8" x14ac:dyDescent="0.3">
      <c r="B722" s="20"/>
      <c r="C722" s="20"/>
      <c r="D722" s="20"/>
      <c r="E722" s="20"/>
      <c r="F722" s="20"/>
      <c r="G722" s="20"/>
    </row>
    <row r="723" spans="2:7" ht="13.8" x14ac:dyDescent="0.3">
      <c r="B723" s="20"/>
      <c r="C723" s="20"/>
      <c r="D723" s="20"/>
      <c r="E723" s="20"/>
      <c r="F723" s="20"/>
      <c r="G723" s="20"/>
    </row>
    <row r="724" spans="2:7" ht="13.8" x14ac:dyDescent="0.3">
      <c r="B724" s="20"/>
      <c r="C724" s="20"/>
      <c r="D724" s="20"/>
      <c r="E724" s="20"/>
      <c r="F724" s="20"/>
      <c r="G724" s="20"/>
    </row>
    <row r="725" spans="2:7" ht="13.8" x14ac:dyDescent="0.3">
      <c r="B725" s="20"/>
      <c r="C725" s="20"/>
      <c r="D725" s="20"/>
      <c r="E725" s="20"/>
      <c r="F725" s="20"/>
      <c r="G725" s="20"/>
    </row>
    <row r="726" spans="2:7" ht="13.8" x14ac:dyDescent="0.3">
      <c r="B726" s="20"/>
      <c r="C726" s="20"/>
      <c r="D726" s="20"/>
      <c r="E726" s="20"/>
      <c r="F726" s="20"/>
      <c r="G726" s="20"/>
    </row>
    <row r="727" spans="2:7" ht="13.8" x14ac:dyDescent="0.3">
      <c r="B727" s="20"/>
      <c r="C727" s="20"/>
      <c r="D727" s="20"/>
      <c r="E727" s="20"/>
      <c r="F727" s="20"/>
      <c r="G727" s="20"/>
    </row>
    <row r="728" spans="2:7" ht="13.8" x14ac:dyDescent="0.3">
      <c r="B728" s="20"/>
      <c r="C728" s="20"/>
      <c r="D728" s="20"/>
      <c r="E728" s="20"/>
      <c r="F728" s="20"/>
      <c r="G728" s="20"/>
    </row>
    <row r="729" spans="2:7" ht="13.8" x14ac:dyDescent="0.3">
      <c r="B729" s="20"/>
      <c r="C729" s="20"/>
      <c r="D729" s="20"/>
      <c r="E729" s="20"/>
      <c r="F729" s="20"/>
      <c r="G729" s="20"/>
    </row>
    <row r="730" spans="2:7" ht="13.8" x14ac:dyDescent="0.3">
      <c r="B730" s="20"/>
      <c r="C730" s="20"/>
      <c r="D730" s="20"/>
      <c r="E730" s="20"/>
      <c r="F730" s="20"/>
      <c r="G730" s="20"/>
    </row>
    <row r="731" spans="2:7" ht="13.8" x14ac:dyDescent="0.3">
      <c r="B731" s="20"/>
      <c r="C731" s="20"/>
      <c r="D731" s="20"/>
      <c r="E731" s="20"/>
      <c r="F731" s="20"/>
      <c r="G731" s="20"/>
    </row>
    <row r="732" spans="2:7" ht="13.8" x14ac:dyDescent="0.3">
      <c r="B732" s="20"/>
      <c r="C732" s="20"/>
      <c r="D732" s="20"/>
      <c r="E732" s="20"/>
      <c r="F732" s="20"/>
      <c r="G732" s="20"/>
    </row>
    <row r="733" spans="2:7" ht="13.8" x14ac:dyDescent="0.3">
      <c r="B733" s="20"/>
      <c r="C733" s="20"/>
      <c r="D733" s="20"/>
      <c r="E733" s="20"/>
      <c r="F733" s="20"/>
      <c r="G733" s="20"/>
    </row>
    <row r="734" spans="2:7" ht="13.8" x14ac:dyDescent="0.3">
      <c r="B734" s="20"/>
      <c r="C734" s="20"/>
      <c r="D734" s="20"/>
      <c r="E734" s="20"/>
      <c r="F734" s="20"/>
      <c r="G734" s="20"/>
    </row>
    <row r="735" spans="2:7" ht="13.8" x14ac:dyDescent="0.3">
      <c r="B735" s="20"/>
      <c r="C735" s="20"/>
      <c r="D735" s="20"/>
      <c r="E735" s="20"/>
      <c r="F735" s="20"/>
      <c r="G735" s="20"/>
    </row>
    <row r="736" spans="2:7" ht="13.8" x14ac:dyDescent="0.3">
      <c r="B736" s="20"/>
      <c r="C736" s="20"/>
      <c r="D736" s="20"/>
      <c r="E736" s="20"/>
      <c r="F736" s="20"/>
      <c r="G736" s="20"/>
    </row>
    <row r="737" spans="2:7" ht="13.8" x14ac:dyDescent="0.3">
      <c r="B737" s="20"/>
      <c r="C737" s="20"/>
      <c r="D737" s="20"/>
      <c r="E737" s="20"/>
      <c r="F737" s="20"/>
      <c r="G737" s="20"/>
    </row>
    <row r="738" spans="2:7" ht="13.8" x14ac:dyDescent="0.3">
      <c r="B738" s="20"/>
      <c r="C738" s="20"/>
      <c r="D738" s="20"/>
      <c r="E738" s="20"/>
      <c r="F738" s="20"/>
      <c r="G738" s="20"/>
    </row>
    <row r="739" spans="2:7" ht="13.8" x14ac:dyDescent="0.3">
      <c r="B739" s="20"/>
      <c r="C739" s="20"/>
      <c r="D739" s="20"/>
      <c r="E739" s="20"/>
      <c r="F739" s="20"/>
      <c r="G739" s="20"/>
    </row>
    <row r="740" spans="2:7" ht="13.8" x14ac:dyDescent="0.3">
      <c r="B740" s="20"/>
      <c r="C740" s="20"/>
      <c r="D740" s="20"/>
      <c r="E740" s="20"/>
      <c r="F740" s="20"/>
      <c r="G740" s="20"/>
    </row>
    <row r="741" spans="2:7" ht="13.8" x14ac:dyDescent="0.3">
      <c r="B741" s="20"/>
      <c r="C741" s="20"/>
      <c r="D741" s="20"/>
      <c r="E741" s="20"/>
      <c r="F741" s="20"/>
      <c r="G741" s="20"/>
    </row>
    <row r="742" spans="2:7" ht="13.8" x14ac:dyDescent="0.3">
      <c r="B742" s="20"/>
      <c r="C742" s="20"/>
      <c r="D742" s="20"/>
      <c r="E742" s="20"/>
      <c r="F742" s="20"/>
      <c r="G742" s="20"/>
    </row>
    <row r="743" spans="2:7" ht="13.8" x14ac:dyDescent="0.3">
      <c r="B743" s="20"/>
      <c r="C743" s="20"/>
      <c r="D743" s="20"/>
      <c r="E743" s="20"/>
      <c r="F743" s="20"/>
      <c r="G743" s="20"/>
    </row>
    <row r="744" spans="2:7" ht="13.8" x14ac:dyDescent="0.3">
      <c r="B744" s="20"/>
      <c r="C744" s="20"/>
      <c r="D744" s="20"/>
      <c r="E744" s="20"/>
      <c r="F744" s="20"/>
      <c r="G744" s="20"/>
    </row>
    <row r="745" spans="2:7" ht="13.8" x14ac:dyDescent="0.3">
      <c r="B745" s="20"/>
      <c r="C745" s="20"/>
      <c r="D745" s="20"/>
      <c r="E745" s="20"/>
      <c r="F745" s="20"/>
      <c r="G745" s="20"/>
    </row>
    <row r="746" spans="2:7" ht="13.8" x14ac:dyDescent="0.3">
      <c r="B746" s="20"/>
      <c r="C746" s="20"/>
      <c r="D746" s="20"/>
      <c r="E746" s="20"/>
      <c r="F746" s="20"/>
      <c r="G746" s="20"/>
    </row>
    <row r="747" spans="2:7" ht="13.8" x14ac:dyDescent="0.3">
      <c r="B747" s="20"/>
      <c r="C747" s="20"/>
      <c r="D747" s="20"/>
      <c r="E747" s="20"/>
      <c r="F747" s="20"/>
      <c r="G747" s="20"/>
    </row>
    <row r="748" spans="2:7" ht="13.8" x14ac:dyDescent="0.3">
      <c r="B748" s="20"/>
      <c r="C748" s="20"/>
      <c r="D748" s="20"/>
      <c r="E748" s="20"/>
      <c r="F748" s="20"/>
      <c r="G748" s="20"/>
    </row>
    <row r="749" spans="2:7" ht="13.8" x14ac:dyDescent="0.3">
      <c r="B749" s="20"/>
      <c r="C749" s="20"/>
      <c r="D749" s="20"/>
      <c r="E749" s="20"/>
      <c r="F749" s="20"/>
      <c r="G749" s="20"/>
    </row>
    <row r="750" spans="2:7" ht="13.8" x14ac:dyDescent="0.3">
      <c r="B750" s="20"/>
      <c r="C750" s="20"/>
      <c r="D750" s="20"/>
      <c r="E750" s="20"/>
      <c r="F750" s="20"/>
      <c r="G750" s="20"/>
    </row>
    <row r="751" spans="2:7" ht="13.8" x14ac:dyDescent="0.3">
      <c r="B751" s="20"/>
      <c r="C751" s="20"/>
      <c r="D751" s="20"/>
      <c r="E751" s="20"/>
      <c r="F751" s="20"/>
      <c r="G751" s="20"/>
    </row>
    <row r="752" spans="2:7" ht="13.8" x14ac:dyDescent="0.3">
      <c r="B752" s="20"/>
      <c r="C752" s="20"/>
      <c r="D752" s="20"/>
      <c r="E752" s="20"/>
      <c r="F752" s="20"/>
      <c r="G752" s="20"/>
    </row>
    <row r="753" spans="2:7" ht="13.8" x14ac:dyDescent="0.3">
      <c r="B753" s="20"/>
      <c r="C753" s="20"/>
      <c r="D753" s="20"/>
      <c r="E753" s="20"/>
      <c r="F753" s="20"/>
      <c r="G753" s="20"/>
    </row>
    <row r="754" spans="2:7" ht="13.8" x14ac:dyDescent="0.3">
      <c r="B754" s="20"/>
      <c r="C754" s="20"/>
      <c r="D754" s="20"/>
      <c r="E754" s="20"/>
      <c r="F754" s="20"/>
      <c r="G754" s="20"/>
    </row>
    <row r="755" spans="2:7" ht="13.8" x14ac:dyDescent="0.3">
      <c r="B755" s="20"/>
      <c r="C755" s="20"/>
      <c r="D755" s="20"/>
      <c r="E755" s="20"/>
      <c r="F755" s="20"/>
      <c r="G755" s="20"/>
    </row>
    <row r="756" spans="2:7" ht="13.8" x14ac:dyDescent="0.3">
      <c r="B756" s="20"/>
      <c r="C756" s="20"/>
      <c r="D756" s="20"/>
      <c r="E756" s="20"/>
      <c r="F756" s="20"/>
      <c r="G756" s="20"/>
    </row>
    <row r="757" spans="2:7" ht="13.8" x14ac:dyDescent="0.3">
      <c r="B757" s="20"/>
      <c r="C757" s="20"/>
      <c r="D757" s="20"/>
      <c r="E757" s="20"/>
      <c r="F757" s="20"/>
      <c r="G757" s="20"/>
    </row>
    <row r="758" spans="2:7" ht="13.8" x14ac:dyDescent="0.3">
      <c r="B758" s="20"/>
      <c r="C758" s="20"/>
      <c r="D758" s="20"/>
      <c r="E758" s="20"/>
      <c r="F758" s="20"/>
      <c r="G758" s="20"/>
    </row>
    <row r="759" spans="2:7" ht="13.8" x14ac:dyDescent="0.3">
      <c r="B759" s="20"/>
      <c r="C759" s="20"/>
      <c r="D759" s="20"/>
      <c r="E759" s="20"/>
      <c r="F759" s="20"/>
      <c r="G759" s="20"/>
    </row>
    <row r="760" spans="2:7" ht="13.8" x14ac:dyDescent="0.3">
      <c r="B760" s="20"/>
      <c r="C760" s="20"/>
      <c r="D760" s="20"/>
      <c r="E760" s="20"/>
      <c r="F760" s="20"/>
      <c r="G760" s="20"/>
    </row>
    <row r="761" spans="2:7" ht="13.8" x14ac:dyDescent="0.3">
      <c r="B761" s="20"/>
      <c r="C761" s="20"/>
      <c r="D761" s="20"/>
      <c r="E761" s="20"/>
      <c r="F761" s="20"/>
      <c r="G761" s="20"/>
    </row>
    <row r="762" spans="2:7" ht="13.8" x14ac:dyDescent="0.3">
      <c r="B762" s="20"/>
      <c r="C762" s="20"/>
      <c r="D762" s="20"/>
      <c r="E762" s="20"/>
      <c r="F762" s="20"/>
      <c r="G762" s="20"/>
    </row>
    <row r="763" spans="2:7" ht="13.8" x14ac:dyDescent="0.3">
      <c r="B763" s="20"/>
      <c r="C763" s="20"/>
      <c r="D763" s="20"/>
      <c r="E763" s="20"/>
      <c r="F763" s="20"/>
      <c r="G763" s="20"/>
    </row>
    <row r="764" spans="2:7" ht="13.8" x14ac:dyDescent="0.3">
      <c r="B764" s="20"/>
      <c r="C764" s="20"/>
      <c r="D764" s="20"/>
      <c r="E764" s="20"/>
      <c r="F764" s="20"/>
      <c r="G764" s="20"/>
    </row>
    <row r="765" spans="2:7" ht="13.8" x14ac:dyDescent="0.3">
      <c r="B765" s="20"/>
      <c r="C765" s="20"/>
      <c r="D765" s="20"/>
      <c r="E765" s="20"/>
      <c r="F765" s="20"/>
      <c r="G765" s="20"/>
    </row>
    <row r="766" spans="2:7" ht="13.8" x14ac:dyDescent="0.3">
      <c r="B766" s="20"/>
      <c r="C766" s="20"/>
      <c r="D766" s="20"/>
      <c r="E766" s="20"/>
      <c r="F766" s="20"/>
      <c r="G766" s="20"/>
    </row>
    <row r="767" spans="2:7" ht="13.8" x14ac:dyDescent="0.3">
      <c r="B767" s="20"/>
      <c r="C767" s="20"/>
      <c r="D767" s="20"/>
      <c r="E767" s="20"/>
      <c r="F767" s="20"/>
      <c r="G767" s="20"/>
    </row>
    <row r="768" spans="2:7" ht="13.8" x14ac:dyDescent="0.3">
      <c r="B768" s="20"/>
      <c r="C768" s="20"/>
      <c r="D768" s="20"/>
      <c r="E768" s="20"/>
      <c r="F768" s="20"/>
      <c r="G768" s="20"/>
    </row>
    <row r="769" spans="2:7" ht="13.8" x14ac:dyDescent="0.3">
      <c r="B769" s="20"/>
      <c r="C769" s="20"/>
      <c r="D769" s="20"/>
      <c r="E769" s="20"/>
      <c r="F769" s="20"/>
      <c r="G769" s="20"/>
    </row>
    <row r="770" spans="2:7" ht="13.8" x14ac:dyDescent="0.3">
      <c r="B770" s="20"/>
      <c r="C770" s="20"/>
      <c r="D770" s="20"/>
      <c r="E770" s="20"/>
      <c r="F770" s="20"/>
      <c r="G770" s="20"/>
    </row>
    <row r="771" spans="2:7" ht="13.8" x14ac:dyDescent="0.3">
      <c r="B771" s="20"/>
      <c r="C771" s="20"/>
      <c r="D771" s="20"/>
      <c r="E771" s="20"/>
      <c r="F771" s="20"/>
      <c r="G771" s="20"/>
    </row>
    <row r="772" spans="2:7" ht="13.8" x14ac:dyDescent="0.3">
      <c r="B772" s="20"/>
      <c r="C772" s="20"/>
      <c r="D772" s="20"/>
      <c r="E772" s="20"/>
      <c r="F772" s="20"/>
      <c r="G772" s="20"/>
    </row>
    <row r="773" spans="2:7" ht="13.8" x14ac:dyDescent="0.3">
      <c r="B773" s="20"/>
      <c r="C773" s="20"/>
      <c r="D773" s="20"/>
      <c r="E773" s="20"/>
      <c r="F773" s="20"/>
      <c r="G773" s="20"/>
    </row>
    <row r="774" spans="2:7" ht="13.8" x14ac:dyDescent="0.3">
      <c r="B774" s="20"/>
      <c r="C774" s="20"/>
      <c r="D774" s="20"/>
      <c r="E774" s="20"/>
      <c r="F774" s="20"/>
      <c r="G774" s="20"/>
    </row>
    <row r="775" spans="2:7" ht="13.8" x14ac:dyDescent="0.3">
      <c r="B775" s="20"/>
      <c r="C775" s="20"/>
      <c r="D775" s="20"/>
      <c r="E775" s="20"/>
      <c r="F775" s="20"/>
      <c r="G775" s="20"/>
    </row>
    <row r="776" spans="2:7" ht="13.8" x14ac:dyDescent="0.3">
      <c r="B776" s="20"/>
      <c r="C776" s="20"/>
      <c r="D776" s="20"/>
      <c r="E776" s="20"/>
      <c r="F776" s="20"/>
      <c r="G776" s="20"/>
    </row>
    <row r="777" spans="2:7" ht="13.8" x14ac:dyDescent="0.3">
      <c r="B777" s="20"/>
      <c r="C777" s="20"/>
      <c r="D777" s="20"/>
      <c r="E777" s="20"/>
      <c r="F777" s="20"/>
      <c r="G777" s="20"/>
    </row>
    <row r="778" spans="2:7" ht="13.8" x14ac:dyDescent="0.3">
      <c r="B778" s="20"/>
      <c r="C778" s="20"/>
      <c r="D778" s="20"/>
      <c r="E778" s="20"/>
      <c r="F778" s="20"/>
      <c r="G778" s="20"/>
    </row>
    <row r="779" spans="2:7" ht="13.8" x14ac:dyDescent="0.3">
      <c r="B779" s="20"/>
      <c r="C779" s="20"/>
      <c r="D779" s="20"/>
      <c r="E779" s="20"/>
      <c r="F779" s="20"/>
      <c r="G779" s="20"/>
    </row>
    <row r="780" spans="2:7" ht="13.8" x14ac:dyDescent="0.3">
      <c r="B780" s="20"/>
      <c r="C780" s="20"/>
      <c r="D780" s="20"/>
      <c r="E780" s="20"/>
      <c r="F780" s="20"/>
      <c r="G780" s="20"/>
    </row>
    <row r="781" spans="2:7" ht="13.8" x14ac:dyDescent="0.3">
      <c r="B781" s="20"/>
      <c r="C781" s="20"/>
      <c r="D781" s="20"/>
      <c r="E781" s="20"/>
      <c r="F781" s="20"/>
      <c r="G781" s="20"/>
    </row>
    <row r="782" spans="2:7" ht="13.8" x14ac:dyDescent="0.3">
      <c r="B782" s="20"/>
      <c r="C782" s="20"/>
      <c r="D782" s="20"/>
      <c r="E782" s="20"/>
      <c r="F782" s="20"/>
      <c r="G782" s="20"/>
    </row>
    <row r="783" spans="2:7" ht="13.8" x14ac:dyDescent="0.3">
      <c r="B783" s="20"/>
      <c r="C783" s="20"/>
      <c r="D783" s="20"/>
      <c r="E783" s="20"/>
      <c r="F783" s="20"/>
      <c r="G783" s="20"/>
    </row>
    <row r="784" spans="2:7" ht="13.8" x14ac:dyDescent="0.3">
      <c r="B784" s="20"/>
      <c r="C784" s="20"/>
      <c r="D784" s="20"/>
      <c r="E784" s="20"/>
      <c r="F784" s="20"/>
      <c r="G784" s="20"/>
    </row>
    <row r="785" spans="2:7" ht="13.8" x14ac:dyDescent="0.3">
      <c r="B785" s="20"/>
      <c r="C785" s="20"/>
      <c r="D785" s="20"/>
      <c r="E785" s="20"/>
      <c r="F785" s="20"/>
      <c r="G785" s="20"/>
    </row>
    <row r="786" spans="2:7" ht="13.8" x14ac:dyDescent="0.3">
      <c r="B786" s="20"/>
      <c r="C786" s="20"/>
      <c r="D786" s="20"/>
      <c r="E786" s="20"/>
      <c r="F786" s="20"/>
      <c r="G786" s="20"/>
    </row>
    <row r="787" spans="2:7" ht="13.8" x14ac:dyDescent="0.3">
      <c r="B787" s="20"/>
      <c r="C787" s="20"/>
      <c r="D787" s="20"/>
      <c r="E787" s="20"/>
      <c r="F787" s="20"/>
      <c r="G787" s="20"/>
    </row>
    <row r="788" spans="2:7" ht="13.8" x14ac:dyDescent="0.3">
      <c r="B788" s="20"/>
      <c r="C788" s="20"/>
      <c r="D788" s="20"/>
      <c r="E788" s="20"/>
      <c r="F788" s="20"/>
      <c r="G788" s="20"/>
    </row>
    <row r="789" spans="2:7" ht="13.8" x14ac:dyDescent="0.3">
      <c r="B789" s="20"/>
      <c r="C789" s="20"/>
      <c r="D789" s="20"/>
      <c r="E789" s="20"/>
      <c r="F789" s="20"/>
      <c r="G789" s="20"/>
    </row>
    <row r="790" spans="2:7" ht="13.8" x14ac:dyDescent="0.3">
      <c r="B790" s="20"/>
      <c r="C790" s="20"/>
      <c r="D790" s="20"/>
      <c r="E790" s="20"/>
      <c r="F790" s="20"/>
      <c r="G790" s="20"/>
    </row>
    <row r="791" spans="2:7" ht="13.8" x14ac:dyDescent="0.3">
      <c r="B791" s="20"/>
      <c r="C791" s="20"/>
      <c r="D791" s="20"/>
      <c r="E791" s="20"/>
      <c r="F791" s="20"/>
      <c r="G791" s="20"/>
    </row>
    <row r="792" spans="2:7" ht="13.8" x14ac:dyDescent="0.3">
      <c r="B792" s="20"/>
      <c r="C792" s="20"/>
      <c r="D792" s="20"/>
      <c r="E792" s="20"/>
      <c r="F792" s="20"/>
      <c r="G792" s="20"/>
    </row>
    <row r="793" spans="2:7" ht="13.8" x14ac:dyDescent="0.3">
      <c r="B793" s="20"/>
      <c r="C793" s="20"/>
      <c r="D793" s="20"/>
      <c r="E793" s="20"/>
      <c r="F793" s="20"/>
      <c r="G793" s="20"/>
    </row>
    <row r="794" spans="2:7" ht="13.8" x14ac:dyDescent="0.3">
      <c r="B794" s="20"/>
      <c r="C794" s="20"/>
      <c r="D794" s="20"/>
      <c r="E794" s="20"/>
      <c r="F794" s="20"/>
      <c r="G794" s="20"/>
    </row>
    <row r="795" spans="2:7" ht="13.8" x14ac:dyDescent="0.3">
      <c r="B795" s="20"/>
      <c r="C795" s="20"/>
      <c r="D795" s="20"/>
      <c r="E795" s="20"/>
      <c r="F795" s="20"/>
      <c r="G795" s="20"/>
    </row>
    <row r="796" spans="2:7" ht="13.8" x14ac:dyDescent="0.3">
      <c r="B796" s="20"/>
      <c r="C796" s="20"/>
      <c r="D796" s="20"/>
      <c r="E796" s="20"/>
      <c r="F796" s="20"/>
      <c r="G796" s="20"/>
    </row>
    <row r="797" spans="2:7" ht="13.8" x14ac:dyDescent="0.3">
      <c r="B797" s="20"/>
      <c r="C797" s="20"/>
      <c r="D797" s="20"/>
      <c r="E797" s="20"/>
      <c r="F797" s="20"/>
      <c r="G797" s="20"/>
    </row>
    <row r="798" spans="2:7" ht="13.8" x14ac:dyDescent="0.3">
      <c r="B798" s="20"/>
      <c r="C798" s="20"/>
      <c r="D798" s="20"/>
      <c r="E798" s="20"/>
      <c r="F798" s="20"/>
      <c r="G798" s="20"/>
    </row>
    <row r="799" spans="2:7" ht="13.8" x14ac:dyDescent="0.3">
      <c r="B799" s="20"/>
      <c r="C799" s="20"/>
      <c r="D799" s="20"/>
      <c r="E799" s="20"/>
      <c r="F799" s="20"/>
      <c r="G799" s="20"/>
    </row>
    <row r="800" spans="2:7" ht="13.8" x14ac:dyDescent="0.3">
      <c r="B800" s="20"/>
      <c r="C800" s="20"/>
      <c r="D800" s="20"/>
      <c r="E800" s="20"/>
      <c r="F800" s="20"/>
      <c r="G800" s="20"/>
    </row>
    <row r="801" spans="2:7" ht="13.8" x14ac:dyDescent="0.3">
      <c r="B801" s="20"/>
      <c r="C801" s="20"/>
      <c r="D801" s="20"/>
      <c r="E801" s="20"/>
      <c r="F801" s="20"/>
      <c r="G801" s="20"/>
    </row>
    <row r="802" spans="2:7" ht="13.8" x14ac:dyDescent="0.3">
      <c r="B802" s="20"/>
      <c r="C802" s="20"/>
      <c r="D802" s="20"/>
      <c r="E802" s="20"/>
      <c r="F802" s="20"/>
      <c r="G802" s="20"/>
    </row>
    <row r="803" spans="2:7" ht="13.8" x14ac:dyDescent="0.3">
      <c r="B803" s="20"/>
      <c r="C803" s="20"/>
      <c r="D803" s="20"/>
      <c r="E803" s="20"/>
      <c r="F803" s="20"/>
      <c r="G803" s="20"/>
    </row>
    <row r="804" spans="2:7" ht="13.8" x14ac:dyDescent="0.3">
      <c r="B804" s="20"/>
      <c r="C804" s="20"/>
      <c r="D804" s="20"/>
      <c r="E804" s="20"/>
      <c r="F804" s="20"/>
      <c r="G804" s="20"/>
    </row>
    <row r="805" spans="2:7" ht="13.8" x14ac:dyDescent="0.3">
      <c r="B805" s="20"/>
      <c r="C805" s="20"/>
      <c r="D805" s="20"/>
      <c r="E805" s="20"/>
      <c r="F805" s="20"/>
      <c r="G805" s="20"/>
    </row>
    <row r="806" spans="2:7" ht="13.8" x14ac:dyDescent="0.3">
      <c r="B806" s="20"/>
      <c r="C806" s="20"/>
      <c r="D806" s="20"/>
      <c r="E806" s="20"/>
      <c r="F806" s="20"/>
      <c r="G806" s="20"/>
    </row>
    <row r="807" spans="2:7" ht="13.8" x14ac:dyDescent="0.3">
      <c r="B807" s="20"/>
      <c r="C807" s="20"/>
      <c r="D807" s="20"/>
      <c r="E807" s="20"/>
      <c r="F807" s="20"/>
      <c r="G807" s="20"/>
    </row>
    <row r="808" spans="2:7" ht="13.8" x14ac:dyDescent="0.3">
      <c r="B808" s="20"/>
      <c r="C808" s="20"/>
      <c r="D808" s="20"/>
      <c r="E808" s="20"/>
      <c r="F808" s="20"/>
      <c r="G808" s="20"/>
    </row>
    <row r="809" spans="2:7" ht="13.8" x14ac:dyDescent="0.3">
      <c r="B809" s="20"/>
      <c r="C809" s="20"/>
      <c r="D809" s="20"/>
      <c r="E809" s="20"/>
      <c r="F809" s="20"/>
      <c r="G809" s="20"/>
    </row>
    <row r="810" spans="2:7" ht="13.8" x14ac:dyDescent="0.3">
      <c r="B810" s="20"/>
      <c r="C810" s="20"/>
      <c r="D810" s="20"/>
      <c r="E810" s="20"/>
      <c r="F810" s="20"/>
      <c r="G810" s="20"/>
    </row>
    <row r="811" spans="2:7" ht="13.8" x14ac:dyDescent="0.3">
      <c r="B811" s="20"/>
      <c r="C811" s="20"/>
      <c r="D811" s="20"/>
      <c r="E811" s="20"/>
      <c r="F811" s="20"/>
      <c r="G811" s="20"/>
    </row>
    <row r="812" spans="2:7" ht="13.8" x14ac:dyDescent="0.3">
      <c r="B812" s="20"/>
      <c r="C812" s="20"/>
      <c r="D812" s="20"/>
      <c r="E812" s="20"/>
      <c r="F812" s="20"/>
      <c r="G812" s="20"/>
    </row>
    <row r="813" spans="2:7" ht="13.8" x14ac:dyDescent="0.3">
      <c r="B813" s="20"/>
      <c r="C813" s="20"/>
      <c r="D813" s="20"/>
      <c r="E813" s="20"/>
      <c r="F813" s="20"/>
      <c r="G813" s="20"/>
    </row>
    <row r="814" spans="2:7" ht="13.8" x14ac:dyDescent="0.3">
      <c r="B814" s="20"/>
      <c r="C814" s="20"/>
      <c r="D814" s="20"/>
      <c r="E814" s="20"/>
      <c r="F814" s="20"/>
      <c r="G814" s="20"/>
    </row>
    <row r="815" spans="2:7" ht="13.8" x14ac:dyDescent="0.3">
      <c r="B815" s="20"/>
      <c r="C815" s="20"/>
      <c r="D815" s="20"/>
      <c r="E815" s="20"/>
      <c r="F815" s="20"/>
      <c r="G815" s="20"/>
    </row>
    <row r="816" spans="2:7" ht="13.8" x14ac:dyDescent="0.3">
      <c r="B816" s="20"/>
      <c r="C816" s="20"/>
      <c r="D816" s="20"/>
      <c r="E816" s="20"/>
      <c r="F816" s="20"/>
      <c r="G816" s="20"/>
    </row>
    <row r="817" spans="2:7" ht="13.8" x14ac:dyDescent="0.3">
      <c r="B817" s="20"/>
      <c r="C817" s="20"/>
      <c r="D817" s="20"/>
      <c r="E817" s="20"/>
      <c r="F817" s="20"/>
      <c r="G817" s="20"/>
    </row>
    <row r="818" spans="2:7" ht="13.8" x14ac:dyDescent="0.3">
      <c r="B818" s="20"/>
      <c r="C818" s="20"/>
      <c r="D818" s="20"/>
      <c r="E818" s="20"/>
      <c r="F818" s="20"/>
      <c r="G818" s="20"/>
    </row>
    <row r="819" spans="2:7" ht="13.8" x14ac:dyDescent="0.3">
      <c r="B819" s="20"/>
      <c r="C819" s="20"/>
      <c r="D819" s="20"/>
      <c r="E819" s="20"/>
      <c r="F819" s="20"/>
      <c r="G819" s="20"/>
    </row>
    <row r="820" spans="2:7" ht="13.8" x14ac:dyDescent="0.3">
      <c r="B820" s="20"/>
      <c r="C820" s="20"/>
      <c r="D820" s="20"/>
      <c r="E820" s="20"/>
      <c r="F820" s="20"/>
      <c r="G820" s="20"/>
    </row>
    <row r="821" spans="2:7" ht="13.8" x14ac:dyDescent="0.3">
      <c r="B821" s="20"/>
      <c r="C821" s="20"/>
      <c r="D821" s="20"/>
      <c r="E821" s="20"/>
      <c r="F821" s="20"/>
      <c r="G821" s="20"/>
    </row>
    <row r="822" spans="2:7" ht="13.8" x14ac:dyDescent="0.3">
      <c r="B822" s="20"/>
      <c r="C822" s="20"/>
      <c r="D822" s="20"/>
      <c r="E822" s="20"/>
      <c r="F822" s="20"/>
      <c r="G822" s="20"/>
    </row>
    <row r="823" spans="2:7" ht="13.8" x14ac:dyDescent="0.3">
      <c r="B823" s="20"/>
      <c r="C823" s="20"/>
      <c r="D823" s="20"/>
      <c r="E823" s="20"/>
      <c r="F823" s="20"/>
      <c r="G823" s="20"/>
    </row>
    <row r="824" spans="2:7" ht="13.8" x14ac:dyDescent="0.3">
      <c r="B824" s="20"/>
      <c r="C824" s="20"/>
      <c r="D824" s="20"/>
      <c r="E824" s="20"/>
      <c r="F824" s="20"/>
      <c r="G824" s="20"/>
    </row>
    <row r="825" spans="2:7" ht="13.8" x14ac:dyDescent="0.3">
      <c r="B825" s="20"/>
      <c r="C825" s="20"/>
      <c r="D825" s="20"/>
      <c r="E825" s="20"/>
      <c r="F825" s="20"/>
      <c r="G825" s="20"/>
    </row>
    <row r="826" spans="2:7" ht="13.8" x14ac:dyDescent="0.3">
      <c r="B826" s="20"/>
      <c r="C826" s="20"/>
      <c r="D826" s="20"/>
      <c r="E826" s="20"/>
      <c r="F826" s="20"/>
      <c r="G826" s="20"/>
    </row>
    <row r="827" spans="2:7" ht="13.8" x14ac:dyDescent="0.3">
      <c r="B827" s="20"/>
      <c r="C827" s="20"/>
      <c r="D827" s="20"/>
      <c r="E827" s="20"/>
      <c r="F827" s="20"/>
      <c r="G827" s="20"/>
    </row>
    <row r="828" spans="2:7" ht="13.8" x14ac:dyDescent="0.3">
      <c r="B828" s="20"/>
      <c r="C828" s="20"/>
      <c r="D828" s="20"/>
      <c r="E828" s="20"/>
      <c r="F828" s="20"/>
      <c r="G828" s="20"/>
    </row>
    <row r="829" spans="2:7" ht="13.8" x14ac:dyDescent="0.3">
      <c r="B829" s="20"/>
      <c r="C829" s="20"/>
      <c r="D829" s="20"/>
      <c r="E829" s="20"/>
      <c r="F829" s="20"/>
      <c r="G829" s="20"/>
    </row>
    <row r="830" spans="2:7" ht="13.8" x14ac:dyDescent="0.3">
      <c r="B830" s="20"/>
      <c r="C830" s="20"/>
      <c r="D830" s="20"/>
      <c r="E830" s="20"/>
      <c r="F830" s="20"/>
      <c r="G830" s="20"/>
    </row>
    <row r="831" spans="2:7" ht="13.8" x14ac:dyDescent="0.3">
      <c r="B831" s="20"/>
      <c r="C831" s="20"/>
      <c r="D831" s="20"/>
      <c r="E831" s="20"/>
      <c r="F831" s="20"/>
      <c r="G831" s="20"/>
    </row>
    <row r="832" spans="2:7" ht="13.8" x14ac:dyDescent="0.3">
      <c r="B832" s="20"/>
      <c r="C832" s="20"/>
      <c r="D832" s="20"/>
      <c r="E832" s="20"/>
      <c r="F832" s="20"/>
      <c r="G832" s="20"/>
    </row>
    <row r="833" spans="2:7" ht="13.8" x14ac:dyDescent="0.3">
      <c r="B833" s="20"/>
      <c r="C833" s="20"/>
      <c r="D833" s="20"/>
      <c r="E833" s="20"/>
      <c r="F833" s="20"/>
      <c r="G833" s="20"/>
    </row>
    <row r="834" spans="2:7" ht="13.8" x14ac:dyDescent="0.3">
      <c r="B834" s="20"/>
      <c r="C834" s="20"/>
      <c r="D834" s="20"/>
      <c r="E834" s="20"/>
      <c r="F834" s="20"/>
      <c r="G834" s="20"/>
    </row>
    <row r="835" spans="2:7" ht="13.8" x14ac:dyDescent="0.3">
      <c r="B835" s="20"/>
      <c r="C835" s="20"/>
      <c r="D835" s="20"/>
      <c r="E835" s="20"/>
      <c r="F835" s="20"/>
      <c r="G835" s="20"/>
    </row>
    <row r="836" spans="2:7" ht="13.8" x14ac:dyDescent="0.3">
      <c r="B836" s="20"/>
      <c r="C836" s="20"/>
      <c r="D836" s="20"/>
      <c r="E836" s="20"/>
      <c r="F836" s="20"/>
      <c r="G836" s="20"/>
    </row>
    <row r="837" spans="2:7" ht="13.8" x14ac:dyDescent="0.3">
      <c r="B837" s="20"/>
      <c r="C837" s="20"/>
      <c r="D837" s="20"/>
      <c r="E837" s="20"/>
      <c r="F837" s="20"/>
      <c r="G837" s="20"/>
    </row>
    <row r="838" spans="2:7" ht="13.8" x14ac:dyDescent="0.3">
      <c r="B838" s="20"/>
      <c r="C838" s="20"/>
      <c r="D838" s="20"/>
      <c r="E838" s="20"/>
      <c r="F838" s="20"/>
      <c r="G838" s="20"/>
    </row>
    <row r="839" spans="2:7" ht="13.8" x14ac:dyDescent="0.3">
      <c r="B839" s="20"/>
      <c r="C839" s="20"/>
      <c r="D839" s="20"/>
      <c r="E839" s="20"/>
      <c r="F839" s="20"/>
      <c r="G839" s="20"/>
    </row>
    <row r="840" spans="2:7" ht="13.8" x14ac:dyDescent="0.3">
      <c r="B840" s="20"/>
      <c r="C840" s="20"/>
      <c r="D840" s="20"/>
      <c r="E840" s="20"/>
      <c r="F840" s="20"/>
      <c r="G840" s="20"/>
    </row>
    <row r="841" spans="2:7" ht="13.8" x14ac:dyDescent="0.3">
      <c r="B841" s="20"/>
      <c r="C841" s="20"/>
      <c r="D841" s="20"/>
      <c r="E841" s="20"/>
      <c r="F841" s="20"/>
      <c r="G841" s="20"/>
    </row>
    <row r="842" spans="2:7" ht="13.8" x14ac:dyDescent="0.3">
      <c r="B842" s="20"/>
      <c r="C842" s="20"/>
      <c r="D842" s="20"/>
      <c r="E842" s="20"/>
      <c r="F842" s="20"/>
      <c r="G842" s="20"/>
    </row>
    <row r="843" spans="2:7" ht="13.8" x14ac:dyDescent="0.3">
      <c r="B843" s="20"/>
      <c r="C843" s="20"/>
      <c r="D843" s="20"/>
      <c r="E843" s="20"/>
      <c r="F843" s="20"/>
      <c r="G843" s="20"/>
    </row>
    <row r="844" spans="2:7" ht="13.8" x14ac:dyDescent="0.3">
      <c r="B844" s="20"/>
      <c r="C844" s="20"/>
      <c r="D844" s="20"/>
      <c r="E844" s="20"/>
      <c r="F844" s="20"/>
      <c r="G844" s="20"/>
    </row>
    <row r="845" spans="2:7" ht="13.8" x14ac:dyDescent="0.3">
      <c r="B845" s="20"/>
      <c r="C845" s="20"/>
      <c r="D845" s="20"/>
      <c r="E845" s="20"/>
      <c r="F845" s="20"/>
      <c r="G845" s="20"/>
    </row>
    <row r="846" spans="2:7" ht="13.8" x14ac:dyDescent="0.3">
      <c r="B846" s="20"/>
      <c r="C846" s="20"/>
      <c r="D846" s="20"/>
      <c r="E846" s="20"/>
      <c r="F846" s="20"/>
      <c r="G846" s="20"/>
    </row>
    <row r="847" spans="2:7" ht="13.8" x14ac:dyDescent="0.3">
      <c r="B847" s="20"/>
      <c r="C847" s="20"/>
      <c r="D847" s="20"/>
      <c r="E847" s="20"/>
      <c r="F847" s="20"/>
      <c r="G847" s="20"/>
    </row>
    <row r="848" spans="2:7" ht="13.8" x14ac:dyDescent="0.3">
      <c r="B848" s="20"/>
      <c r="C848" s="20"/>
      <c r="D848" s="20"/>
      <c r="E848" s="20"/>
      <c r="F848" s="20"/>
      <c r="G848" s="20"/>
    </row>
    <row r="849" spans="2:7" ht="13.8" x14ac:dyDescent="0.3">
      <c r="B849" s="20"/>
      <c r="C849" s="20"/>
      <c r="D849" s="20"/>
      <c r="E849" s="20"/>
      <c r="F849" s="20"/>
      <c r="G849" s="20"/>
    </row>
    <row r="850" spans="2:7" ht="13.8" x14ac:dyDescent="0.3">
      <c r="B850" s="20"/>
      <c r="C850" s="20"/>
      <c r="D850" s="20"/>
      <c r="E850" s="20"/>
      <c r="F850" s="20"/>
      <c r="G850" s="20"/>
    </row>
    <row r="851" spans="2:7" ht="13.8" x14ac:dyDescent="0.3">
      <c r="B851" s="20"/>
      <c r="C851" s="20"/>
      <c r="D851" s="20"/>
      <c r="E851" s="20"/>
      <c r="F851" s="20"/>
      <c r="G851" s="20"/>
    </row>
    <row r="852" spans="2:7" ht="13.8" x14ac:dyDescent="0.3">
      <c r="B852" s="20"/>
      <c r="C852" s="20"/>
      <c r="D852" s="20"/>
      <c r="E852" s="20"/>
      <c r="F852" s="20"/>
      <c r="G852" s="20"/>
    </row>
    <row r="853" spans="2:7" ht="13.8" x14ac:dyDescent="0.3">
      <c r="B853" s="20"/>
      <c r="C853" s="20"/>
      <c r="D853" s="20"/>
      <c r="E853" s="20"/>
      <c r="F853" s="20"/>
      <c r="G853" s="20"/>
    </row>
    <row r="854" spans="2:7" ht="13.8" x14ac:dyDescent="0.3">
      <c r="B854" s="20"/>
      <c r="C854" s="20"/>
      <c r="D854" s="20"/>
      <c r="E854" s="20"/>
      <c r="F854" s="20"/>
      <c r="G854" s="20"/>
    </row>
    <row r="855" spans="2:7" ht="13.8" x14ac:dyDescent="0.3">
      <c r="B855" s="20"/>
      <c r="C855" s="20"/>
      <c r="D855" s="20"/>
      <c r="E855" s="20"/>
      <c r="F855" s="20"/>
      <c r="G855" s="20"/>
    </row>
    <row r="856" spans="2:7" ht="13.8" x14ac:dyDescent="0.3">
      <c r="B856" s="20"/>
      <c r="C856" s="20"/>
      <c r="D856" s="20"/>
      <c r="E856" s="20"/>
      <c r="F856" s="20"/>
      <c r="G856" s="20"/>
    </row>
    <row r="857" spans="2:7" ht="13.8" x14ac:dyDescent="0.3">
      <c r="B857" s="20"/>
      <c r="C857" s="20"/>
      <c r="D857" s="20"/>
      <c r="E857" s="20"/>
      <c r="F857" s="20"/>
      <c r="G857" s="20"/>
    </row>
    <row r="858" spans="2:7" ht="13.8" x14ac:dyDescent="0.3">
      <c r="B858" s="20"/>
      <c r="C858" s="20"/>
      <c r="D858" s="20"/>
      <c r="E858" s="20"/>
      <c r="F858" s="20"/>
      <c r="G858" s="20"/>
    </row>
    <row r="859" spans="2:7" ht="13.8" x14ac:dyDescent="0.3">
      <c r="B859" s="20"/>
      <c r="C859" s="20"/>
      <c r="D859" s="20"/>
      <c r="E859" s="20"/>
      <c r="F859" s="20"/>
      <c r="G859" s="20"/>
    </row>
    <row r="860" spans="2:7" ht="13.8" x14ac:dyDescent="0.3">
      <c r="B860" s="20"/>
      <c r="C860" s="20"/>
      <c r="D860" s="20"/>
      <c r="E860" s="20"/>
      <c r="F860" s="20"/>
      <c r="G860" s="20"/>
    </row>
    <row r="861" spans="2:7" ht="13.8" x14ac:dyDescent="0.3">
      <c r="B861" s="20"/>
      <c r="C861" s="20"/>
      <c r="D861" s="20"/>
      <c r="E861" s="20"/>
      <c r="F861" s="20"/>
      <c r="G861" s="20"/>
    </row>
    <row r="862" spans="2:7" ht="13.8" x14ac:dyDescent="0.3">
      <c r="B862" s="20"/>
      <c r="C862" s="20"/>
      <c r="D862" s="20"/>
      <c r="E862" s="20"/>
      <c r="F862" s="20"/>
      <c r="G862" s="20"/>
    </row>
    <row r="863" spans="2:7" ht="13.8" x14ac:dyDescent="0.3">
      <c r="B863" s="20"/>
      <c r="C863" s="20"/>
      <c r="D863" s="20"/>
      <c r="E863" s="20"/>
      <c r="F863" s="20"/>
      <c r="G863" s="20"/>
    </row>
    <row r="864" spans="2:7" ht="13.8" x14ac:dyDescent="0.3">
      <c r="B864" s="20"/>
      <c r="C864" s="20"/>
      <c r="D864" s="20"/>
      <c r="E864" s="20"/>
      <c r="F864" s="20"/>
      <c r="G864" s="20"/>
    </row>
    <row r="865" spans="2:7" ht="13.8" x14ac:dyDescent="0.3">
      <c r="B865" s="20"/>
      <c r="C865" s="20"/>
      <c r="D865" s="20"/>
      <c r="E865" s="20"/>
      <c r="F865" s="20"/>
      <c r="G865" s="20"/>
    </row>
    <row r="866" spans="2:7" ht="13.8" x14ac:dyDescent="0.3">
      <c r="B866" s="20"/>
      <c r="C866" s="20"/>
      <c r="D866" s="20"/>
      <c r="E866" s="20"/>
      <c r="F866" s="20"/>
      <c r="G866" s="20"/>
    </row>
    <row r="867" spans="2:7" ht="13.8" x14ac:dyDescent="0.3">
      <c r="B867" s="20"/>
      <c r="C867" s="20"/>
      <c r="D867" s="20"/>
      <c r="E867" s="20"/>
      <c r="F867" s="20"/>
      <c r="G867" s="20"/>
    </row>
    <row r="868" spans="2:7" ht="13.8" x14ac:dyDescent="0.3">
      <c r="B868" s="20"/>
      <c r="C868" s="20"/>
      <c r="D868" s="20"/>
      <c r="E868" s="20"/>
      <c r="F868" s="20"/>
      <c r="G868" s="20"/>
    </row>
    <row r="869" spans="2:7" ht="13.8" x14ac:dyDescent="0.3">
      <c r="B869" s="20"/>
      <c r="C869" s="20"/>
      <c r="D869" s="20"/>
      <c r="E869" s="20"/>
      <c r="F869" s="20"/>
      <c r="G869" s="20"/>
    </row>
    <row r="870" spans="2:7" ht="13.8" x14ac:dyDescent="0.3">
      <c r="B870" s="20"/>
      <c r="C870" s="20"/>
      <c r="D870" s="20"/>
      <c r="E870" s="20"/>
      <c r="F870" s="20"/>
      <c r="G870" s="20"/>
    </row>
    <row r="871" spans="2:7" ht="13.8" x14ac:dyDescent="0.3">
      <c r="B871" s="20"/>
      <c r="C871" s="20"/>
      <c r="D871" s="20"/>
      <c r="E871" s="20"/>
      <c r="F871" s="20"/>
      <c r="G871" s="20"/>
    </row>
    <row r="872" spans="2:7" ht="13.8" x14ac:dyDescent="0.3">
      <c r="B872" s="20"/>
      <c r="C872" s="20"/>
      <c r="D872" s="20"/>
      <c r="E872" s="20"/>
      <c r="F872" s="20"/>
      <c r="G872" s="20"/>
    </row>
    <row r="873" spans="2:7" ht="13.8" x14ac:dyDescent="0.3">
      <c r="B873" s="20"/>
      <c r="C873" s="20"/>
      <c r="D873" s="20"/>
      <c r="E873" s="20"/>
      <c r="F873" s="20"/>
      <c r="G873" s="20"/>
    </row>
    <row r="874" spans="2:7" ht="13.8" x14ac:dyDescent="0.3">
      <c r="B874" s="20"/>
      <c r="C874" s="20"/>
      <c r="D874" s="20"/>
      <c r="E874" s="20"/>
      <c r="F874" s="20"/>
      <c r="G874" s="20"/>
    </row>
    <row r="875" spans="2:7" ht="13.8" x14ac:dyDescent="0.3">
      <c r="B875" s="20"/>
      <c r="C875" s="20"/>
      <c r="D875" s="20"/>
      <c r="E875" s="20"/>
      <c r="F875" s="20"/>
      <c r="G875" s="20"/>
    </row>
    <row r="876" spans="2:7" ht="13.8" x14ac:dyDescent="0.3">
      <c r="B876" s="20"/>
      <c r="C876" s="20"/>
      <c r="D876" s="20"/>
      <c r="E876" s="20"/>
      <c r="F876" s="20"/>
      <c r="G876" s="20"/>
    </row>
    <row r="877" spans="2:7" ht="13.8" x14ac:dyDescent="0.3">
      <c r="B877" s="20"/>
      <c r="C877" s="20"/>
      <c r="D877" s="20"/>
      <c r="E877" s="20"/>
      <c r="F877" s="20"/>
      <c r="G877" s="20"/>
    </row>
    <row r="878" spans="2:7" ht="13.8" x14ac:dyDescent="0.3">
      <c r="B878" s="20"/>
      <c r="C878" s="20"/>
      <c r="D878" s="20"/>
      <c r="E878" s="20"/>
      <c r="F878" s="20"/>
      <c r="G878" s="20"/>
    </row>
    <row r="879" spans="2:7" ht="13.8" x14ac:dyDescent="0.3">
      <c r="B879" s="20"/>
      <c r="C879" s="20"/>
      <c r="D879" s="20"/>
      <c r="E879" s="20"/>
      <c r="F879" s="20"/>
      <c r="G879" s="20"/>
    </row>
    <row r="880" spans="2:7" ht="13.8" x14ac:dyDescent="0.3">
      <c r="B880" s="20"/>
      <c r="C880" s="20"/>
      <c r="D880" s="20"/>
      <c r="E880" s="20"/>
      <c r="F880" s="20"/>
      <c r="G880" s="20"/>
    </row>
    <row r="881" spans="2:7" ht="13.8" x14ac:dyDescent="0.3">
      <c r="B881" s="20"/>
      <c r="C881" s="20"/>
      <c r="D881" s="20"/>
      <c r="E881" s="20"/>
      <c r="F881" s="20"/>
      <c r="G881" s="20"/>
    </row>
    <row r="882" spans="2:7" ht="13.8" x14ac:dyDescent="0.3">
      <c r="B882" s="20"/>
      <c r="C882" s="20"/>
      <c r="D882" s="20"/>
      <c r="E882" s="20"/>
      <c r="F882" s="20"/>
      <c r="G882" s="20"/>
    </row>
    <row r="883" spans="2:7" ht="13.8" x14ac:dyDescent="0.3">
      <c r="B883" s="20"/>
      <c r="C883" s="20"/>
      <c r="D883" s="20"/>
      <c r="E883" s="20"/>
      <c r="F883" s="20"/>
      <c r="G883" s="20"/>
    </row>
    <row r="884" spans="2:7" ht="13.8" x14ac:dyDescent="0.3">
      <c r="B884" s="20"/>
      <c r="C884" s="20"/>
      <c r="D884" s="20"/>
      <c r="E884" s="20"/>
      <c r="F884" s="20"/>
      <c r="G884" s="20"/>
    </row>
    <row r="885" spans="2:7" ht="13.8" x14ac:dyDescent="0.3">
      <c r="B885" s="20"/>
      <c r="C885" s="20"/>
      <c r="D885" s="20"/>
      <c r="E885" s="20"/>
      <c r="F885" s="20"/>
      <c r="G885" s="20"/>
    </row>
    <row r="886" spans="2:7" ht="13.8" x14ac:dyDescent="0.3">
      <c r="B886" s="20"/>
      <c r="C886" s="20"/>
      <c r="D886" s="20"/>
      <c r="E886" s="20"/>
      <c r="F886" s="20"/>
      <c r="G886" s="20"/>
    </row>
    <row r="887" spans="2:7" ht="13.8" x14ac:dyDescent="0.3">
      <c r="B887" s="20"/>
      <c r="C887" s="20"/>
      <c r="D887" s="20"/>
      <c r="E887" s="20"/>
      <c r="F887" s="20"/>
      <c r="G887" s="20"/>
    </row>
    <row r="888" spans="2:7" ht="13.8" x14ac:dyDescent="0.3">
      <c r="B888" s="20"/>
      <c r="C888" s="20"/>
      <c r="D888" s="20"/>
      <c r="E888" s="20"/>
      <c r="F888" s="20"/>
      <c r="G888" s="20"/>
    </row>
    <row r="889" spans="2:7" ht="13.8" x14ac:dyDescent="0.3">
      <c r="B889" s="20"/>
      <c r="C889" s="20"/>
      <c r="D889" s="20"/>
      <c r="E889" s="20"/>
      <c r="F889" s="20"/>
      <c r="G889" s="20"/>
    </row>
    <row r="890" spans="2:7" ht="13.8" x14ac:dyDescent="0.3">
      <c r="B890" s="20"/>
      <c r="C890" s="20"/>
      <c r="D890" s="20"/>
      <c r="E890" s="20"/>
      <c r="F890" s="20"/>
      <c r="G890" s="20"/>
    </row>
    <row r="891" spans="2:7" ht="13.8" x14ac:dyDescent="0.3">
      <c r="B891" s="20"/>
      <c r="C891" s="20"/>
      <c r="D891" s="20"/>
      <c r="E891" s="20"/>
      <c r="F891" s="20"/>
      <c r="G891" s="20"/>
    </row>
    <row r="892" spans="2:7" ht="13.8" x14ac:dyDescent="0.3">
      <c r="B892" s="20"/>
      <c r="C892" s="20"/>
      <c r="D892" s="20"/>
      <c r="E892" s="20"/>
      <c r="F892" s="20"/>
      <c r="G892" s="20"/>
    </row>
    <row r="893" spans="2:7" ht="13.8" x14ac:dyDescent="0.3">
      <c r="B893" s="20"/>
      <c r="C893" s="20"/>
      <c r="D893" s="20"/>
      <c r="E893" s="20"/>
      <c r="F893" s="20"/>
      <c r="G893" s="20"/>
    </row>
    <row r="894" spans="2:7" ht="13.8" x14ac:dyDescent="0.3">
      <c r="B894" s="20"/>
      <c r="C894" s="20"/>
      <c r="D894" s="20"/>
      <c r="E894" s="20"/>
      <c r="F894" s="20"/>
      <c r="G894" s="20"/>
    </row>
    <row r="895" spans="2:7" ht="13.8" x14ac:dyDescent="0.3">
      <c r="B895" s="20"/>
      <c r="C895" s="20"/>
      <c r="D895" s="20"/>
      <c r="E895" s="20"/>
      <c r="F895" s="20"/>
      <c r="G895" s="20"/>
    </row>
    <row r="896" spans="2:7" ht="13.8" x14ac:dyDescent="0.3">
      <c r="B896" s="20"/>
      <c r="C896" s="20"/>
      <c r="D896" s="20"/>
      <c r="E896" s="20"/>
      <c r="F896" s="20"/>
      <c r="G896" s="20"/>
    </row>
    <row r="897" spans="2:7" ht="13.8" x14ac:dyDescent="0.3">
      <c r="B897" s="20"/>
      <c r="C897" s="20"/>
      <c r="D897" s="20"/>
      <c r="E897" s="20"/>
      <c r="F897" s="20"/>
      <c r="G897" s="20"/>
    </row>
    <row r="898" spans="2:7" ht="13.8" x14ac:dyDescent="0.3">
      <c r="B898" s="20"/>
      <c r="C898" s="20"/>
      <c r="D898" s="20"/>
      <c r="E898" s="20"/>
      <c r="F898" s="20"/>
      <c r="G898" s="20"/>
    </row>
    <row r="899" spans="2:7" ht="13.8" x14ac:dyDescent="0.3">
      <c r="B899" s="20"/>
      <c r="C899" s="20"/>
      <c r="D899" s="20"/>
      <c r="E899" s="20"/>
      <c r="F899" s="20"/>
      <c r="G899" s="20"/>
    </row>
    <row r="900" spans="2:7" ht="13.8" x14ac:dyDescent="0.3">
      <c r="B900" s="20"/>
      <c r="C900" s="20"/>
      <c r="D900" s="20"/>
      <c r="E900" s="20"/>
      <c r="F900" s="20"/>
      <c r="G900" s="20"/>
    </row>
    <row r="901" spans="2:7" ht="13.8" x14ac:dyDescent="0.3">
      <c r="B901" s="20"/>
      <c r="C901" s="20"/>
      <c r="D901" s="20"/>
      <c r="E901" s="20"/>
      <c r="F901" s="20"/>
      <c r="G901" s="20"/>
    </row>
    <row r="902" spans="2:7" ht="13.8" x14ac:dyDescent="0.3">
      <c r="B902" s="20"/>
      <c r="C902" s="20"/>
      <c r="D902" s="20"/>
      <c r="E902" s="20"/>
      <c r="F902" s="20"/>
      <c r="G902" s="20"/>
    </row>
    <row r="903" spans="2:7" ht="13.8" x14ac:dyDescent="0.3">
      <c r="B903" s="20"/>
      <c r="C903" s="20"/>
      <c r="D903" s="20"/>
      <c r="E903" s="20"/>
      <c r="F903" s="20"/>
      <c r="G903" s="20"/>
    </row>
    <row r="904" spans="2:7" ht="13.8" x14ac:dyDescent="0.3">
      <c r="B904" s="20"/>
      <c r="C904" s="20"/>
      <c r="D904" s="20"/>
      <c r="E904" s="20"/>
      <c r="F904" s="20"/>
      <c r="G904" s="20"/>
    </row>
    <row r="905" spans="2:7" ht="13.8" x14ac:dyDescent="0.3">
      <c r="B905" s="20"/>
      <c r="C905" s="20"/>
      <c r="D905" s="20"/>
      <c r="E905" s="20"/>
      <c r="F905" s="20"/>
      <c r="G905" s="20"/>
    </row>
    <row r="906" spans="2:7" ht="13.8" x14ac:dyDescent="0.3">
      <c r="B906" s="20"/>
      <c r="C906" s="20"/>
      <c r="D906" s="20"/>
      <c r="E906" s="20"/>
      <c r="F906" s="20"/>
      <c r="G906" s="20"/>
    </row>
    <row r="907" spans="2:7" ht="13.8" x14ac:dyDescent="0.3">
      <c r="B907" s="20"/>
      <c r="C907" s="20"/>
      <c r="D907" s="20"/>
      <c r="E907" s="20"/>
      <c r="F907" s="20"/>
      <c r="G907" s="20"/>
    </row>
    <row r="908" spans="2:7" ht="13.8" x14ac:dyDescent="0.3">
      <c r="B908" s="20"/>
      <c r="C908" s="20"/>
      <c r="D908" s="20"/>
      <c r="E908" s="20"/>
      <c r="F908" s="20"/>
      <c r="G908" s="20"/>
    </row>
    <row r="909" spans="2:7" ht="13.8" x14ac:dyDescent="0.3">
      <c r="B909" s="20"/>
      <c r="C909" s="20"/>
      <c r="D909" s="20"/>
      <c r="E909" s="20"/>
      <c r="F909" s="20"/>
      <c r="G909" s="20"/>
    </row>
    <row r="910" spans="2:7" ht="13.8" x14ac:dyDescent="0.3">
      <c r="B910" s="20"/>
      <c r="C910" s="20"/>
      <c r="D910" s="20"/>
      <c r="E910" s="20"/>
      <c r="F910" s="20"/>
      <c r="G910" s="20"/>
    </row>
    <row r="911" spans="2:7" ht="13.8" x14ac:dyDescent="0.3">
      <c r="B911" s="20"/>
      <c r="C911" s="20"/>
      <c r="D911" s="20"/>
      <c r="E911" s="20"/>
      <c r="F911" s="20"/>
      <c r="G911" s="20"/>
    </row>
    <row r="912" spans="2:7" ht="13.8" x14ac:dyDescent="0.3">
      <c r="B912" s="20"/>
      <c r="C912" s="20"/>
      <c r="D912" s="20"/>
      <c r="E912" s="20"/>
      <c r="F912" s="20"/>
      <c r="G912" s="20"/>
    </row>
    <row r="913" spans="2:7" ht="13.8" x14ac:dyDescent="0.3">
      <c r="B913" s="20"/>
      <c r="C913" s="20"/>
      <c r="D913" s="20"/>
      <c r="E913" s="20"/>
      <c r="F913" s="20"/>
      <c r="G913" s="20"/>
    </row>
    <row r="914" spans="2:7" ht="13.8" x14ac:dyDescent="0.3">
      <c r="B914" s="20"/>
      <c r="C914" s="20"/>
      <c r="D914" s="20"/>
      <c r="E914" s="20"/>
      <c r="F914" s="20"/>
      <c r="G914" s="20"/>
    </row>
    <row r="915" spans="2:7" ht="13.8" x14ac:dyDescent="0.3">
      <c r="B915" s="20"/>
      <c r="C915" s="20"/>
      <c r="D915" s="20"/>
      <c r="E915" s="20"/>
      <c r="F915" s="20"/>
      <c r="G915" s="20"/>
    </row>
    <row r="916" spans="2:7" ht="13.8" x14ac:dyDescent="0.3">
      <c r="B916" s="20"/>
      <c r="C916" s="20"/>
      <c r="D916" s="20"/>
      <c r="E916" s="20"/>
      <c r="F916" s="20"/>
      <c r="G916" s="20"/>
    </row>
    <row r="917" spans="2:7" ht="13.8" x14ac:dyDescent="0.3">
      <c r="B917" s="20"/>
      <c r="C917" s="20"/>
      <c r="D917" s="20"/>
      <c r="E917" s="20"/>
      <c r="F917" s="20"/>
      <c r="G917" s="20"/>
    </row>
    <row r="918" spans="2:7" ht="13.8" x14ac:dyDescent="0.3">
      <c r="B918" s="20"/>
      <c r="C918" s="20"/>
      <c r="D918" s="20"/>
      <c r="E918" s="20"/>
      <c r="F918" s="20"/>
      <c r="G918" s="20"/>
    </row>
    <row r="919" spans="2:7" ht="13.8" x14ac:dyDescent="0.3">
      <c r="B919" s="20"/>
      <c r="C919" s="20"/>
      <c r="D919" s="20"/>
      <c r="E919" s="20"/>
      <c r="F919" s="20"/>
      <c r="G919" s="20"/>
    </row>
    <row r="920" spans="2:7" ht="13.8" x14ac:dyDescent="0.3">
      <c r="B920" s="20"/>
      <c r="C920" s="20"/>
      <c r="D920" s="20"/>
      <c r="E920" s="20"/>
      <c r="F920" s="20"/>
      <c r="G920" s="20"/>
    </row>
    <row r="921" spans="2:7" ht="13.8" x14ac:dyDescent="0.3">
      <c r="B921" s="20"/>
      <c r="C921" s="20"/>
      <c r="D921" s="20"/>
      <c r="E921" s="20"/>
      <c r="F921" s="20"/>
      <c r="G921" s="20"/>
    </row>
    <row r="922" spans="2:7" ht="13.8" x14ac:dyDescent="0.3">
      <c r="B922" s="20"/>
      <c r="C922" s="20"/>
      <c r="D922" s="20"/>
      <c r="E922" s="20"/>
      <c r="F922" s="20"/>
      <c r="G922" s="20"/>
    </row>
    <row r="923" spans="2:7" ht="13.8" x14ac:dyDescent="0.3">
      <c r="B923" s="20"/>
      <c r="C923" s="20"/>
      <c r="D923" s="20"/>
      <c r="E923" s="20"/>
      <c r="F923" s="20"/>
      <c r="G923" s="20"/>
    </row>
    <row r="924" spans="2:7" ht="13.8" x14ac:dyDescent="0.3">
      <c r="B924" s="20"/>
      <c r="C924" s="20"/>
      <c r="D924" s="20"/>
      <c r="E924" s="20"/>
      <c r="F924" s="20"/>
      <c r="G924" s="20"/>
    </row>
    <row r="925" spans="2:7" ht="13.8" x14ac:dyDescent="0.3">
      <c r="B925" s="20"/>
      <c r="C925" s="20"/>
      <c r="D925" s="20"/>
      <c r="E925" s="20"/>
      <c r="F925" s="20"/>
      <c r="G925" s="20"/>
    </row>
    <row r="926" spans="2:7" ht="13.8" x14ac:dyDescent="0.3">
      <c r="B926" s="20"/>
      <c r="C926" s="20"/>
      <c r="D926" s="20"/>
      <c r="E926" s="20"/>
      <c r="F926" s="20"/>
      <c r="G926" s="20"/>
    </row>
    <row r="927" spans="2:7" ht="13.8" x14ac:dyDescent="0.3">
      <c r="B927" s="20"/>
      <c r="C927" s="20"/>
      <c r="D927" s="20"/>
      <c r="E927" s="20"/>
      <c r="F927" s="20"/>
      <c r="G927" s="20"/>
    </row>
    <row r="928" spans="2:7" ht="13.8" x14ac:dyDescent="0.3">
      <c r="B928" s="20"/>
      <c r="C928" s="20"/>
      <c r="D928" s="20"/>
      <c r="E928" s="20"/>
      <c r="F928" s="20"/>
      <c r="G928" s="20"/>
    </row>
    <row r="929" spans="2:7" ht="13.8" x14ac:dyDescent="0.3">
      <c r="B929" s="20"/>
      <c r="C929" s="20"/>
      <c r="D929" s="20"/>
      <c r="E929" s="20"/>
      <c r="F929" s="20"/>
      <c r="G929" s="20"/>
    </row>
    <row r="930" spans="2:7" ht="13.8" x14ac:dyDescent="0.3">
      <c r="B930" s="20"/>
      <c r="C930" s="20"/>
      <c r="D930" s="20"/>
      <c r="E930" s="20"/>
      <c r="F930" s="20"/>
      <c r="G930" s="20"/>
    </row>
    <row r="931" spans="2:7" ht="13.8" x14ac:dyDescent="0.3">
      <c r="B931" s="20"/>
      <c r="C931" s="20"/>
      <c r="D931" s="20"/>
      <c r="E931" s="20"/>
      <c r="F931" s="20"/>
      <c r="G931" s="20"/>
    </row>
    <row r="932" spans="2:7" ht="13.8" x14ac:dyDescent="0.3">
      <c r="B932" s="20"/>
      <c r="C932" s="20"/>
      <c r="D932" s="20"/>
      <c r="E932" s="20"/>
      <c r="F932" s="20"/>
      <c r="G932" s="20"/>
    </row>
    <row r="933" spans="2:7" ht="13.8" x14ac:dyDescent="0.3">
      <c r="B933" s="20"/>
      <c r="C933" s="20"/>
      <c r="D933" s="20"/>
      <c r="E933" s="20"/>
      <c r="F933" s="20"/>
      <c r="G933" s="20"/>
    </row>
    <row r="934" spans="2:7" ht="13.8" x14ac:dyDescent="0.3">
      <c r="B934" s="20"/>
      <c r="C934" s="20"/>
      <c r="D934" s="20"/>
      <c r="E934" s="20"/>
      <c r="F934" s="20"/>
      <c r="G934" s="20"/>
    </row>
    <row r="935" spans="2:7" ht="13.8" x14ac:dyDescent="0.3">
      <c r="B935" s="20"/>
      <c r="C935" s="20"/>
      <c r="D935" s="20"/>
      <c r="E935" s="20"/>
      <c r="F935" s="20"/>
      <c r="G935" s="20"/>
    </row>
    <row r="936" spans="2:7" ht="13.8" x14ac:dyDescent="0.3">
      <c r="B936" s="20"/>
      <c r="C936" s="20"/>
      <c r="D936" s="20"/>
      <c r="E936" s="20"/>
      <c r="F936" s="20"/>
      <c r="G936" s="20"/>
    </row>
    <row r="937" spans="2:7" ht="13.8" x14ac:dyDescent="0.3">
      <c r="B937" s="20"/>
      <c r="C937" s="20"/>
      <c r="D937" s="20"/>
      <c r="E937" s="20"/>
      <c r="F937" s="20"/>
      <c r="G937" s="20"/>
    </row>
    <row r="938" spans="2:7" ht="13.8" x14ac:dyDescent="0.3">
      <c r="B938" s="20"/>
      <c r="C938" s="20"/>
      <c r="D938" s="20"/>
      <c r="E938" s="20"/>
      <c r="F938" s="20"/>
      <c r="G938" s="20"/>
    </row>
    <row r="939" spans="2:7" ht="13.8" x14ac:dyDescent="0.3">
      <c r="B939" s="20"/>
      <c r="C939" s="20"/>
      <c r="D939" s="20"/>
      <c r="E939" s="20"/>
      <c r="F939" s="20"/>
      <c r="G939" s="20"/>
    </row>
    <row r="940" spans="2:7" ht="13.8" x14ac:dyDescent="0.3">
      <c r="B940" s="20"/>
      <c r="C940" s="20"/>
      <c r="D940" s="20"/>
      <c r="E940" s="20"/>
      <c r="F940" s="20"/>
      <c r="G940" s="20"/>
    </row>
    <row r="941" spans="2:7" ht="13.8" x14ac:dyDescent="0.3">
      <c r="B941" s="20"/>
      <c r="C941" s="20"/>
      <c r="D941" s="20"/>
      <c r="E941" s="20"/>
      <c r="F941" s="20"/>
      <c r="G941" s="20"/>
    </row>
    <row r="942" spans="2:7" ht="13.8" x14ac:dyDescent="0.3">
      <c r="B942" s="20"/>
      <c r="C942" s="20"/>
      <c r="D942" s="20"/>
      <c r="E942" s="20"/>
      <c r="F942" s="20"/>
      <c r="G942" s="20"/>
    </row>
    <row r="943" spans="2:7" ht="13.8" x14ac:dyDescent="0.3">
      <c r="B943" s="20"/>
      <c r="C943" s="20"/>
      <c r="D943" s="20"/>
      <c r="E943" s="20"/>
      <c r="F943" s="20"/>
      <c r="G943" s="20"/>
    </row>
    <row r="944" spans="2:7" ht="13.8" x14ac:dyDescent="0.3">
      <c r="B944" s="20"/>
      <c r="C944" s="20"/>
      <c r="D944" s="20"/>
      <c r="E944" s="20"/>
      <c r="F944" s="20"/>
      <c r="G944" s="20"/>
    </row>
    <row r="945" spans="2:7" ht="13.8" x14ac:dyDescent="0.3">
      <c r="B945" s="20"/>
      <c r="C945" s="20"/>
      <c r="D945" s="20"/>
      <c r="E945" s="20"/>
      <c r="F945" s="20"/>
      <c r="G945" s="20"/>
    </row>
    <row r="946" spans="2:7" ht="13.8" x14ac:dyDescent="0.3">
      <c r="B946" s="20"/>
      <c r="C946" s="20"/>
      <c r="D946" s="20"/>
      <c r="E946" s="20"/>
      <c r="F946" s="20"/>
      <c r="G946" s="20"/>
    </row>
    <row r="947" spans="2:7" ht="13.8" x14ac:dyDescent="0.3">
      <c r="B947" s="20"/>
      <c r="C947" s="20"/>
      <c r="D947" s="20"/>
      <c r="E947" s="20"/>
      <c r="F947" s="20"/>
      <c r="G947" s="20"/>
    </row>
    <row r="948" spans="2:7" ht="13.8" x14ac:dyDescent="0.3">
      <c r="B948" s="20"/>
      <c r="C948" s="20"/>
      <c r="D948" s="20"/>
      <c r="E948" s="20"/>
      <c r="F948" s="20"/>
      <c r="G948" s="20"/>
    </row>
    <row r="949" spans="2:7" ht="13.8" x14ac:dyDescent="0.3">
      <c r="B949" s="20"/>
      <c r="C949" s="20"/>
      <c r="D949" s="20"/>
      <c r="E949" s="20"/>
      <c r="F949" s="20"/>
      <c r="G949" s="20"/>
    </row>
    <row r="950" spans="2:7" ht="13.8" x14ac:dyDescent="0.3">
      <c r="B950" s="20"/>
      <c r="C950" s="20"/>
      <c r="D950" s="20"/>
      <c r="E950" s="20"/>
      <c r="F950" s="20"/>
      <c r="G950" s="20"/>
    </row>
    <row r="951" spans="2:7" ht="13.8" x14ac:dyDescent="0.3">
      <c r="B951" s="20"/>
      <c r="C951" s="20"/>
      <c r="D951" s="20"/>
      <c r="E951" s="20"/>
      <c r="F951" s="20"/>
      <c r="G951" s="20"/>
    </row>
    <row r="952" spans="2:7" ht="13.8" x14ac:dyDescent="0.3">
      <c r="B952" s="20"/>
      <c r="C952" s="20"/>
      <c r="D952" s="20"/>
      <c r="E952" s="20"/>
      <c r="F952" s="20"/>
      <c r="G952" s="20"/>
    </row>
    <row r="953" spans="2:7" ht="13.8" x14ac:dyDescent="0.3">
      <c r="B953" s="20"/>
      <c r="C953" s="20"/>
      <c r="D953" s="20"/>
      <c r="E953" s="20"/>
      <c r="F953" s="20"/>
      <c r="G953" s="20"/>
    </row>
    <row r="954" spans="2:7" ht="13.8" x14ac:dyDescent="0.3">
      <c r="B954" s="20"/>
      <c r="C954" s="20"/>
      <c r="D954" s="20"/>
      <c r="E954" s="20"/>
      <c r="F954" s="20"/>
      <c r="G954" s="20"/>
    </row>
    <row r="955" spans="2:7" ht="13.8" x14ac:dyDescent="0.3">
      <c r="B955" s="20"/>
      <c r="C955" s="20"/>
      <c r="D955" s="20"/>
      <c r="E955" s="20"/>
      <c r="F955" s="20"/>
      <c r="G955" s="20"/>
    </row>
    <row r="956" spans="2:7" ht="13.8" x14ac:dyDescent="0.3">
      <c r="B956" s="20"/>
      <c r="C956" s="20"/>
      <c r="D956" s="20"/>
      <c r="E956" s="20"/>
      <c r="F956" s="20"/>
      <c r="G956" s="20"/>
    </row>
    <row r="957" spans="2:7" ht="13.8" x14ac:dyDescent="0.3">
      <c r="B957" s="20"/>
      <c r="C957" s="20"/>
      <c r="D957" s="20"/>
      <c r="E957" s="20"/>
      <c r="F957" s="20"/>
      <c r="G957" s="20"/>
    </row>
    <row r="958" spans="2:7" ht="13.8" x14ac:dyDescent="0.3">
      <c r="B958" s="20"/>
      <c r="C958" s="20"/>
      <c r="D958" s="20"/>
      <c r="E958" s="20"/>
      <c r="F958" s="20"/>
      <c r="G958" s="20"/>
    </row>
    <row r="959" spans="2:7" ht="13.8" x14ac:dyDescent="0.3">
      <c r="B959" s="20"/>
      <c r="C959" s="20"/>
      <c r="D959" s="20"/>
      <c r="E959" s="20"/>
      <c r="F959" s="20"/>
      <c r="G959" s="20"/>
    </row>
    <row r="960" spans="2:7" ht="13.8" x14ac:dyDescent="0.3">
      <c r="B960" s="20"/>
      <c r="C960" s="20"/>
      <c r="D960" s="20"/>
      <c r="E960" s="20"/>
      <c r="F960" s="20"/>
      <c r="G960" s="20"/>
    </row>
    <row r="961" spans="2:7" ht="13.8" x14ac:dyDescent="0.3">
      <c r="B961" s="20"/>
      <c r="C961" s="20"/>
      <c r="D961" s="20"/>
      <c r="E961" s="20"/>
      <c r="F961" s="20"/>
      <c r="G961" s="20"/>
    </row>
    <row r="962" spans="2:7" ht="13.8" x14ac:dyDescent="0.3">
      <c r="B962" s="20"/>
      <c r="C962" s="20"/>
      <c r="D962" s="20"/>
      <c r="E962" s="20"/>
      <c r="F962" s="20"/>
      <c r="G962" s="20"/>
    </row>
    <row r="963" spans="2:7" ht="13.8" x14ac:dyDescent="0.3">
      <c r="B963" s="20"/>
      <c r="C963" s="20"/>
      <c r="D963" s="20"/>
      <c r="E963" s="20"/>
      <c r="F963" s="20"/>
      <c r="G963" s="20"/>
    </row>
    <row r="964" spans="2:7" ht="13.8" x14ac:dyDescent="0.3">
      <c r="B964" s="20"/>
      <c r="C964" s="20"/>
      <c r="D964" s="20"/>
      <c r="E964" s="20"/>
      <c r="F964" s="20"/>
      <c r="G964" s="20"/>
    </row>
    <row r="965" spans="2:7" ht="13.8" x14ac:dyDescent="0.3">
      <c r="B965" s="20"/>
      <c r="C965" s="20"/>
      <c r="D965" s="20"/>
      <c r="E965" s="20"/>
      <c r="F965" s="20"/>
      <c r="G965" s="20"/>
    </row>
    <row r="966" spans="2:7" ht="13.8" x14ac:dyDescent="0.3">
      <c r="B966" s="20"/>
      <c r="C966" s="20"/>
      <c r="D966" s="20"/>
      <c r="E966" s="20"/>
      <c r="F966" s="20"/>
      <c r="G966" s="20"/>
    </row>
    <row r="967" spans="2:7" ht="13.8" x14ac:dyDescent="0.3">
      <c r="B967" s="20"/>
      <c r="C967" s="20"/>
      <c r="D967" s="20"/>
      <c r="E967" s="20"/>
      <c r="F967" s="20"/>
      <c r="G967" s="20"/>
    </row>
    <row r="968" spans="2:7" ht="13.8" x14ac:dyDescent="0.3">
      <c r="B968" s="20"/>
      <c r="C968" s="20"/>
      <c r="D968" s="20"/>
      <c r="E968" s="20"/>
      <c r="F968" s="20"/>
      <c r="G968" s="20"/>
    </row>
    <row r="969" spans="2:7" ht="13.8" x14ac:dyDescent="0.3">
      <c r="B969" s="20"/>
      <c r="C969" s="20"/>
      <c r="D969" s="20"/>
      <c r="E969" s="20"/>
      <c r="F969" s="20"/>
      <c r="G969" s="20"/>
    </row>
    <row r="970" spans="2:7" ht="13.8" x14ac:dyDescent="0.3">
      <c r="B970" s="20"/>
      <c r="C970" s="20"/>
      <c r="D970" s="20"/>
      <c r="E970" s="20"/>
      <c r="F970" s="20"/>
      <c r="G970" s="20"/>
    </row>
    <row r="971" spans="2:7" ht="13.8" x14ac:dyDescent="0.3">
      <c r="B971" s="20"/>
      <c r="C971" s="20"/>
      <c r="D971" s="20"/>
      <c r="E971" s="20"/>
      <c r="F971" s="20"/>
      <c r="G971" s="20"/>
    </row>
    <row r="972" spans="2:7" ht="13.8" x14ac:dyDescent="0.3">
      <c r="B972" s="20"/>
      <c r="C972" s="20"/>
      <c r="D972" s="20"/>
      <c r="E972" s="20"/>
      <c r="F972" s="20"/>
      <c r="G972" s="20"/>
    </row>
    <row r="973" spans="2:7" ht="13.8" x14ac:dyDescent="0.3">
      <c r="B973" s="20"/>
      <c r="C973" s="20"/>
      <c r="D973" s="20"/>
      <c r="E973" s="20"/>
      <c r="F973" s="20"/>
      <c r="G973" s="20"/>
    </row>
    <row r="974" spans="2:7" ht="13.8" x14ac:dyDescent="0.3">
      <c r="B974" s="20"/>
      <c r="C974" s="20"/>
      <c r="D974" s="20"/>
      <c r="E974" s="20"/>
      <c r="F974" s="20"/>
      <c r="G974" s="20"/>
    </row>
    <row r="975" spans="2:7" ht="13.8" x14ac:dyDescent="0.3">
      <c r="B975" s="20"/>
      <c r="C975" s="20"/>
      <c r="D975" s="20"/>
      <c r="E975" s="20"/>
      <c r="F975" s="20"/>
      <c r="G975" s="20"/>
    </row>
    <row r="976" spans="2:7" ht="13.8" x14ac:dyDescent="0.3">
      <c r="B976" s="20"/>
      <c r="C976" s="20"/>
      <c r="D976" s="20"/>
      <c r="E976" s="20"/>
      <c r="F976" s="20"/>
      <c r="G976" s="20"/>
    </row>
    <row r="977" spans="2:7" ht="13.8" x14ac:dyDescent="0.3">
      <c r="B977" s="20"/>
      <c r="C977" s="20"/>
      <c r="D977" s="20"/>
      <c r="E977" s="20"/>
      <c r="F977" s="20"/>
      <c r="G977" s="20"/>
    </row>
    <row r="978" spans="2:7" ht="13.8" x14ac:dyDescent="0.3">
      <c r="B978" s="20"/>
      <c r="C978" s="20"/>
      <c r="D978" s="20"/>
      <c r="E978" s="20"/>
      <c r="F978" s="20"/>
      <c r="G978" s="20"/>
    </row>
    <row r="979" spans="2:7" ht="13.8" x14ac:dyDescent="0.3">
      <c r="B979" s="20"/>
      <c r="C979" s="20"/>
      <c r="D979" s="20"/>
      <c r="E979" s="20"/>
      <c r="F979" s="20"/>
      <c r="G979" s="20"/>
    </row>
    <row r="980" spans="2:7" ht="13.8" x14ac:dyDescent="0.3">
      <c r="B980" s="20"/>
      <c r="C980" s="20"/>
      <c r="D980" s="20"/>
      <c r="E980" s="20"/>
      <c r="F980" s="20"/>
      <c r="G980" s="20"/>
    </row>
    <row r="981" spans="2:7" ht="13.8" x14ac:dyDescent="0.3">
      <c r="B981" s="20"/>
      <c r="C981" s="20"/>
      <c r="D981" s="20"/>
      <c r="E981" s="20"/>
      <c r="F981" s="20"/>
      <c r="G981" s="20"/>
    </row>
    <row r="982" spans="2:7" ht="13.8" x14ac:dyDescent="0.3">
      <c r="B982" s="20"/>
      <c r="C982" s="20"/>
      <c r="D982" s="20"/>
      <c r="E982" s="20"/>
      <c r="F982" s="20"/>
      <c r="G982" s="20"/>
    </row>
    <row r="983" spans="2:7" ht="13.8" x14ac:dyDescent="0.3">
      <c r="B983" s="20"/>
      <c r="C983" s="20"/>
      <c r="D983" s="20"/>
      <c r="E983" s="20"/>
      <c r="F983" s="20"/>
      <c r="G983" s="20"/>
    </row>
    <row r="984" spans="2:7" ht="13.8" x14ac:dyDescent="0.3">
      <c r="B984" s="20"/>
      <c r="C984" s="20"/>
      <c r="D984" s="20"/>
      <c r="E984" s="20"/>
      <c r="F984" s="20"/>
      <c r="G984" s="20"/>
    </row>
    <row r="985" spans="2:7" ht="13.8" x14ac:dyDescent="0.3">
      <c r="B985" s="20"/>
      <c r="C985" s="20"/>
      <c r="D985" s="20"/>
      <c r="E985" s="20"/>
      <c r="F985" s="20"/>
      <c r="G985" s="20"/>
    </row>
    <row r="986" spans="2:7" ht="13.8" x14ac:dyDescent="0.3">
      <c r="B986" s="20"/>
      <c r="C986" s="20"/>
      <c r="D986" s="20"/>
      <c r="E986" s="20"/>
      <c r="F986" s="20"/>
      <c r="G986" s="20"/>
    </row>
    <row r="987" spans="2:7" ht="13.8" x14ac:dyDescent="0.3">
      <c r="B987" s="20"/>
      <c r="C987" s="20"/>
      <c r="D987" s="20"/>
      <c r="E987" s="20"/>
      <c r="F987" s="20"/>
      <c r="G987" s="20"/>
    </row>
    <row r="988" spans="2:7" ht="13.8" x14ac:dyDescent="0.3">
      <c r="B988" s="20"/>
      <c r="C988" s="20"/>
      <c r="D988" s="20"/>
      <c r="E988" s="20"/>
      <c r="F988" s="20"/>
      <c r="G988" s="20"/>
    </row>
    <row r="989" spans="2:7" ht="13.8" x14ac:dyDescent="0.3">
      <c r="B989" s="20"/>
      <c r="C989" s="20"/>
      <c r="D989" s="20"/>
      <c r="E989" s="20"/>
      <c r="F989" s="20"/>
      <c r="G989" s="20"/>
    </row>
    <row r="990" spans="2:7" ht="13.8" x14ac:dyDescent="0.3">
      <c r="B990" s="20"/>
      <c r="C990" s="20"/>
      <c r="D990" s="20"/>
      <c r="E990" s="20"/>
      <c r="F990" s="20"/>
      <c r="G990" s="20"/>
    </row>
    <row r="991" spans="2:7" ht="13.8" x14ac:dyDescent="0.3">
      <c r="B991" s="20"/>
      <c r="C991" s="20"/>
      <c r="D991" s="20"/>
      <c r="E991" s="20"/>
      <c r="F991" s="20"/>
      <c r="G991" s="20"/>
    </row>
    <row r="992" spans="2:7" ht="13.8" x14ac:dyDescent="0.3">
      <c r="B992" s="20"/>
      <c r="C992" s="20"/>
      <c r="D992" s="20"/>
      <c r="E992" s="20"/>
      <c r="F992" s="20"/>
      <c r="G992" s="20"/>
    </row>
    <row r="993" spans="2:7" ht="13.8" x14ac:dyDescent="0.3">
      <c r="B993" s="20"/>
      <c r="C993" s="20"/>
      <c r="D993" s="20"/>
      <c r="E993" s="20"/>
      <c r="F993" s="20"/>
      <c r="G993" s="20"/>
    </row>
    <row r="994" spans="2:7" ht="13.8" x14ac:dyDescent="0.3">
      <c r="B994" s="20"/>
      <c r="C994" s="20"/>
      <c r="D994" s="20"/>
      <c r="E994" s="20"/>
      <c r="F994" s="20"/>
      <c r="G994" s="20"/>
    </row>
    <row r="995" spans="2:7" ht="13.8" x14ac:dyDescent="0.3">
      <c r="B995" s="20"/>
      <c r="C995" s="20"/>
      <c r="D995" s="20"/>
      <c r="E995" s="20"/>
      <c r="F995" s="20"/>
      <c r="G995" s="20"/>
    </row>
    <row r="996" spans="2:7" ht="13.8" x14ac:dyDescent="0.3">
      <c r="B996" s="20"/>
      <c r="C996" s="20"/>
      <c r="D996" s="20"/>
      <c r="E996" s="20"/>
      <c r="F996" s="20"/>
      <c r="G996" s="20"/>
    </row>
    <row r="997" spans="2:7" ht="13.8" x14ac:dyDescent="0.3">
      <c r="B997" s="20"/>
      <c r="C997" s="20"/>
      <c r="D997" s="20"/>
      <c r="E997" s="20"/>
      <c r="F997" s="20"/>
      <c r="G997" s="20"/>
    </row>
    <row r="998" spans="2:7" ht="13.8" x14ac:dyDescent="0.3">
      <c r="B998" s="20"/>
      <c r="C998" s="20"/>
      <c r="D998" s="20"/>
      <c r="E998" s="20"/>
      <c r="F998" s="20"/>
      <c r="G998" s="20"/>
    </row>
    <row r="999" spans="2:7" ht="13.8" x14ac:dyDescent="0.3">
      <c r="B999" s="20"/>
      <c r="C999" s="20"/>
      <c r="D999" s="20"/>
      <c r="E999" s="20"/>
      <c r="F999" s="20"/>
      <c r="G999" s="20"/>
    </row>
    <row r="1000" spans="2:7" ht="13.8" x14ac:dyDescent="0.3">
      <c r="B1000" s="20"/>
      <c r="C1000" s="20"/>
      <c r="D1000" s="20"/>
      <c r="E1000" s="20"/>
      <c r="F1000" s="20"/>
      <c r="G1000" s="20"/>
    </row>
    <row r="1001" spans="2:7" ht="13.8" x14ac:dyDescent="0.3">
      <c r="B1001" s="20"/>
      <c r="C1001" s="20"/>
      <c r="D1001" s="20"/>
      <c r="E1001" s="20"/>
      <c r="F1001" s="20"/>
      <c r="G1001" s="20"/>
    </row>
  </sheetData>
  <mergeCells count="16">
    <mergeCell ref="I8:N14"/>
    <mergeCell ref="K29:L31"/>
    <mergeCell ref="J23:M27"/>
    <mergeCell ref="A2:N5"/>
    <mergeCell ref="B8:G8"/>
    <mergeCell ref="B19:G20"/>
    <mergeCell ref="B18:G18"/>
    <mergeCell ref="B27:G28"/>
    <mergeCell ref="B26:G26"/>
    <mergeCell ref="B14:G14"/>
    <mergeCell ref="B11:G12"/>
    <mergeCell ref="B10:G10"/>
    <mergeCell ref="B30:G31"/>
    <mergeCell ref="B22:G22"/>
    <mergeCell ref="B23:G24"/>
    <mergeCell ref="B15:G16"/>
  </mergeCells>
  <hyperlinks>
    <hyperlink ref="K29:L31" r:id="rId1" display="Conheça o Projuris Contratos" xr:uid="{D207C10F-6AB5-47AC-AE72-CECF5471787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Q50"/>
  <sheetViews>
    <sheetView showGridLines="0" zoomScale="85" zoomScaleNormal="85" workbookViewId="0">
      <selection activeCell="P41" sqref="P41"/>
    </sheetView>
  </sheetViews>
  <sheetFormatPr defaultColWidth="14.44140625" defaultRowHeight="15.75" customHeight="1" x14ac:dyDescent="0.3"/>
  <cols>
    <col min="1" max="1" width="3.6640625" style="3" customWidth="1"/>
    <col min="2" max="2" width="22.88671875" style="3" customWidth="1"/>
    <col min="3" max="14" width="14.44140625" style="3"/>
    <col min="15" max="15" width="17.88671875" style="3" customWidth="1"/>
    <col min="16" max="16384" width="14.44140625" style="3"/>
  </cols>
  <sheetData>
    <row r="1" spans="2:15" ht="20.25" customHeight="1" x14ac:dyDescent="0.3">
      <c r="B1" s="98"/>
      <c r="C1" s="96" t="s">
        <v>16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1"/>
    </row>
    <row r="2" spans="2:15" ht="32.25" customHeight="1" x14ac:dyDescent="0.3"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1"/>
    </row>
    <row r="3" spans="2:15" ht="13.8" x14ac:dyDescent="0.3">
      <c r="B3" s="94" t="s">
        <v>17</v>
      </c>
      <c r="C3" s="94" t="s">
        <v>18</v>
      </c>
      <c r="D3" s="94" t="s">
        <v>19</v>
      </c>
      <c r="E3" s="94" t="s">
        <v>20</v>
      </c>
      <c r="F3" s="94" t="s">
        <v>21</v>
      </c>
      <c r="G3" s="94" t="s">
        <v>22</v>
      </c>
      <c r="H3" s="94" t="s">
        <v>23</v>
      </c>
      <c r="I3" s="94" t="s">
        <v>24</v>
      </c>
      <c r="J3" s="94" t="s">
        <v>25</v>
      </c>
      <c r="K3" s="94" t="s">
        <v>26</v>
      </c>
      <c r="L3" s="94" t="s">
        <v>27</v>
      </c>
      <c r="M3" s="94" t="s">
        <v>28</v>
      </c>
      <c r="N3" s="94" t="s">
        <v>29</v>
      </c>
      <c r="O3" s="94" t="s">
        <v>30</v>
      </c>
    </row>
    <row r="4" spans="2:15" ht="13.8" x14ac:dyDescent="0.3"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2:15" ht="13.8" x14ac:dyDescent="0.3">
      <c r="B5" s="64" t="s">
        <v>31</v>
      </c>
      <c r="C5" s="64">
        <f>COUNTIF('Registro de Contratos'!$Q:$Q,"1")</f>
        <v>16</v>
      </c>
      <c r="D5" s="64">
        <f>COUNTIF('Registro de Contratos'!$Q:$Q,"2")</f>
        <v>2</v>
      </c>
      <c r="E5" s="64">
        <f>COUNTIF('Registro de Contratos'!$Q:$Q,"3")</f>
        <v>0</v>
      </c>
      <c r="F5" s="64">
        <f>COUNTIF('Registro de Contratos'!$Q:$Q,"4")</f>
        <v>4</v>
      </c>
      <c r="G5" s="64">
        <f>COUNTIF('Registro de Contratos'!$Q:$Q,"5")</f>
        <v>0</v>
      </c>
      <c r="H5" s="64">
        <f>COUNTIF('Registro de Contratos'!$Q:$Q,"6")</f>
        <v>0</v>
      </c>
      <c r="I5" s="64">
        <f>COUNTIF('Registro de Contratos'!$Q:$Q,"7")</f>
        <v>0</v>
      </c>
      <c r="J5" s="64">
        <f>COUNTIF('Registro de Contratos'!$Q:$Q,"8")</f>
        <v>0</v>
      </c>
      <c r="K5" s="64">
        <f>COUNTIF('Registro de Contratos'!$Q:$Q,"9")</f>
        <v>0</v>
      </c>
      <c r="L5" s="64">
        <f>COUNTIF('Registro de Contratos'!$Q:$Q,"10")</f>
        <v>0</v>
      </c>
      <c r="M5" s="64">
        <f>COUNTIF('Registro de Contratos'!$Q:$Q,"11")</f>
        <v>0</v>
      </c>
      <c r="N5" s="64">
        <f>COUNTIF('Registro de Contratos'!$Q:$Q,"12")</f>
        <v>0</v>
      </c>
      <c r="O5" s="64">
        <f>SUM(C5:N5)</f>
        <v>22</v>
      </c>
    </row>
    <row r="6" spans="2:15" ht="13.8" x14ac:dyDescent="0.3">
      <c r="B6" s="65" t="s">
        <v>32</v>
      </c>
      <c r="C6" s="66">
        <f>SUMIF('Registro de Contratos'!$Q:$Q,"1",'Registro de Contratos'!$E:$E)</f>
        <v>261400</v>
      </c>
      <c r="D6" s="66">
        <f>SUMIF('Registro de Contratos'!$Q:$Q,"2",'Registro de Contratos'!$E:$E)</f>
        <v>60000</v>
      </c>
      <c r="E6" s="66">
        <f>SUMIF('Registro de Contratos'!$Q:$Q,"3",'Registro de Contratos'!$E:$E)</f>
        <v>0</v>
      </c>
      <c r="F6" s="66">
        <f>SUMIF('Registro de Contratos'!$Q:$Q,"=4",'Registro de Contratos'!$E:$E)</f>
        <v>168000</v>
      </c>
      <c r="G6" s="66">
        <f>SUMIF('Registro de Contratos'!$Q:$Q,"5",'Registro de Contratos'!$E:$E)</f>
        <v>0</v>
      </c>
      <c r="H6" s="66">
        <f>SUMIF('Registro de Contratos'!$Q:$Q,"6",'Registro de Contratos'!$E:$E)</f>
        <v>0</v>
      </c>
      <c r="I6" s="66">
        <f>SUMIF('Registro de Contratos'!$Q:$Q,"7",'Registro de Contratos'!$E:$E)</f>
        <v>0</v>
      </c>
      <c r="J6" s="66">
        <f>SUMIF('Registro de Contratos'!$Q:$Q,"8",'Registro de Contratos'!$E:$E)</f>
        <v>0</v>
      </c>
      <c r="K6" s="66">
        <f>SUMIF('Registro de Contratos'!$Q:$Q,"9",'Registro de Contratos'!$E:$E)</f>
        <v>0</v>
      </c>
      <c r="L6" s="66">
        <f>SUMIF('Registro de Contratos'!$Q:$Q,"10",'Registro de Contratos'!$E:$E)</f>
        <v>0</v>
      </c>
      <c r="M6" s="66">
        <f>SUMIF('Registro de Contratos'!$Q:$Q,"11",'Registro de Contratos'!$E:$E)</f>
        <v>0</v>
      </c>
      <c r="N6" s="66">
        <f>SUMIF('Registro de Contratos'!$Q:$Q,"12",'Registro de Contratos'!$E:$E)</f>
        <v>0</v>
      </c>
      <c r="O6" s="66">
        <f>SUM(C6:N6)</f>
        <v>489400</v>
      </c>
    </row>
    <row r="7" spans="2:15" ht="14.4" x14ac:dyDescent="0.3">
      <c r="B7" s="65" t="s">
        <v>33</v>
      </c>
      <c r="C7" s="61">
        <f>COUNTIF('Registro de Contratos'!$N:$N,"1")</f>
        <v>0</v>
      </c>
      <c r="D7" s="61">
        <f>COUNTIF('Registro de Contratos'!$N:$N,"2")</f>
        <v>0</v>
      </c>
      <c r="E7" s="61">
        <f>COUNTIF('Registro de Contratos'!$N:$N,"3")</f>
        <v>0</v>
      </c>
      <c r="F7" s="61">
        <f>COUNTIF('Registro de Contratos'!$N:$N,"4")</f>
        <v>0</v>
      </c>
      <c r="G7" s="61">
        <f>COUNTIF('Registro de Contratos'!$N:$N,"5")</f>
        <v>0</v>
      </c>
      <c r="H7" s="61">
        <f>COUNTIF('Registro de Contratos'!$N:$N,"6")</f>
        <v>0</v>
      </c>
      <c r="I7" s="61">
        <f>COUNTIF('Registro de Contratos'!$N:$N,"7")</f>
        <v>0</v>
      </c>
      <c r="J7" s="61">
        <f>COUNTIF('Registro de Contratos'!$N:$N,"8")</f>
        <v>0</v>
      </c>
      <c r="K7" s="61">
        <f>COUNTIF('Registro de Contratos'!$N:$N,"9")</f>
        <v>0</v>
      </c>
      <c r="L7" s="61">
        <f>COUNTIF('Registro de Contratos'!$N:$N,"10")</f>
        <v>0</v>
      </c>
      <c r="M7" s="61">
        <f>COUNTIF('Registro de Contratos'!$N:$N,"11")</f>
        <v>0</v>
      </c>
      <c r="N7" s="61">
        <f>COUNTIF('Registro de Contratos'!$N:$N,"12")</f>
        <v>0</v>
      </c>
      <c r="O7" s="65">
        <f>SUM(C7:N7)</f>
        <v>0</v>
      </c>
    </row>
    <row r="8" spans="2:15" ht="13.8" x14ac:dyDescent="0.3">
      <c r="B8" s="65" t="s">
        <v>34</v>
      </c>
      <c r="C8" s="66">
        <f>SUM(Recebimentos!B5:B1002)</f>
        <v>8416</v>
      </c>
      <c r="D8" s="66">
        <f>SUM(Recebimentos!C5:C1002)</f>
        <v>8416</v>
      </c>
      <c r="E8" s="66">
        <f>SUM(Recebimentos!D5:D1002)</f>
        <v>23416</v>
      </c>
      <c r="F8" s="66">
        <f>SUM(Recebimentos!E5:E1002)</f>
        <v>23416</v>
      </c>
      <c r="G8" s="66">
        <f>SUM(Recebimentos!F5:F1002)</f>
        <v>20416</v>
      </c>
      <c r="H8" s="66">
        <f>SUM(Recebimentos!G5:G1002)</f>
        <v>20416</v>
      </c>
      <c r="I8" s="66">
        <f>SUM(Recebimentos!H5:H1002)</f>
        <v>20416</v>
      </c>
      <c r="J8" s="66">
        <f>SUM(Recebimentos!I5:I1002)</f>
        <v>20416</v>
      </c>
      <c r="K8" s="66">
        <f>SUM(Recebimentos!J5:J1002)</f>
        <v>20416</v>
      </c>
      <c r="L8" s="66">
        <f>SUM(Recebimentos!K5:K1002)</f>
        <v>20416</v>
      </c>
      <c r="M8" s="66">
        <f>SUM(Recebimentos!L5:L1002)</f>
        <v>20416</v>
      </c>
      <c r="N8" s="66">
        <f>SUM(Recebimentos!M5:M1002)</f>
        <v>8416</v>
      </c>
      <c r="O8" s="66">
        <f>SUM(C8:N8)</f>
        <v>214992</v>
      </c>
    </row>
    <row r="9" spans="2:15" ht="13.8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2:15" ht="13.8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ht="13.8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ht="13.8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2:15" ht="13.8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15" ht="13.8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5" ht="13.8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 ht="13.8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7" ht="13.8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7" ht="13.8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7" ht="13.8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7" ht="13.8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7" ht="13.8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7" ht="13.8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7" ht="13.8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Q23" s="6"/>
    </row>
    <row r="24" spans="2:17" ht="13.8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2:17" ht="13.8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2:17" ht="13.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2:17" ht="13.8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7" ht="13.8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7" ht="13.8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2:17" ht="13.8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7" ht="13.8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7" ht="13.8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ht="13.8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2:15" ht="13.8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 ht="13.8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2:15" ht="13.8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2:15" ht="13.8" x14ac:dyDescent="0.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2:15" ht="13.8" x14ac:dyDescent="0.3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2:15" ht="13.8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5" ht="13.8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2:15" ht="13.8" x14ac:dyDescent="0.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2:15" ht="13.8" x14ac:dyDescent="0.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2:15" ht="13.8" x14ac:dyDescent="0.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2:15" ht="13.8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2:15" ht="13.8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2:15" ht="13.8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2:15" ht="13.8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2:15" ht="13.8" x14ac:dyDescent="0.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2:15" ht="13.8" x14ac:dyDescent="0.3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2:15" ht="13.8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</sheetData>
  <mergeCells count="16">
    <mergeCell ref="B1:B2"/>
    <mergeCell ref="C3:C4"/>
    <mergeCell ref="D3:D4"/>
    <mergeCell ref="B3:B4"/>
    <mergeCell ref="E3:E4"/>
    <mergeCell ref="L3:L4"/>
    <mergeCell ref="M3:M4"/>
    <mergeCell ref="N3:N4"/>
    <mergeCell ref="O3:O4"/>
    <mergeCell ref="C1:N2"/>
    <mergeCell ref="G3:G4"/>
    <mergeCell ref="F3:F4"/>
    <mergeCell ref="H3:H4"/>
    <mergeCell ref="I3:I4"/>
    <mergeCell ref="J3:J4"/>
    <mergeCell ref="K3:K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1"/>
  <sheetViews>
    <sheetView showGridLines="0" workbookViewId="0">
      <selection activeCell="E20" sqref="E20"/>
    </sheetView>
  </sheetViews>
  <sheetFormatPr defaultColWidth="14.44140625" defaultRowHeight="15.75" customHeight="1" x14ac:dyDescent="0.3"/>
  <cols>
    <col min="1" max="1" width="4.5546875" style="3" customWidth="1"/>
    <col min="2" max="2" width="30.6640625" style="3" customWidth="1"/>
    <col min="3" max="3" width="17.88671875" style="3" customWidth="1"/>
    <col min="4" max="4" width="16.5546875" style="3" customWidth="1"/>
    <col min="5" max="5" width="23.109375" style="3" customWidth="1"/>
    <col min="6" max="6" width="29.5546875" style="3" customWidth="1"/>
    <col min="7" max="7" width="25.44140625" style="3" customWidth="1"/>
    <col min="8" max="8" width="24.6640625" style="3" customWidth="1"/>
    <col min="9" max="16384" width="14.44140625" style="3"/>
  </cols>
  <sheetData>
    <row r="1" spans="1:8" ht="13.8" x14ac:dyDescent="0.3">
      <c r="B1" s="99"/>
      <c r="C1" s="96" t="s">
        <v>35</v>
      </c>
      <c r="D1" s="97"/>
      <c r="E1" s="97"/>
      <c r="F1" s="97"/>
      <c r="G1" s="97"/>
      <c r="H1" s="1"/>
    </row>
    <row r="2" spans="1:8" ht="13.8" x14ac:dyDescent="0.3">
      <c r="B2" s="97"/>
      <c r="C2" s="97"/>
      <c r="D2" s="97"/>
      <c r="E2" s="97"/>
      <c r="F2" s="97"/>
      <c r="G2" s="97"/>
      <c r="H2" s="1"/>
    </row>
    <row r="3" spans="1:8" ht="21" customHeight="1" x14ac:dyDescent="0.3">
      <c r="B3" s="97"/>
      <c r="C3" s="97"/>
      <c r="D3" s="97"/>
      <c r="E3" s="97"/>
      <c r="F3" s="97"/>
      <c r="G3" s="97"/>
      <c r="H3" s="1"/>
    </row>
    <row r="4" spans="1:8" ht="28.5" customHeight="1" x14ac:dyDescent="0.3">
      <c r="A4" s="19"/>
      <c r="B4" s="50" t="s">
        <v>36</v>
      </c>
      <c r="C4" s="50" t="s">
        <v>37</v>
      </c>
      <c r="D4" s="51" t="s">
        <v>38</v>
      </c>
      <c r="E4" s="51" t="s">
        <v>39</v>
      </c>
      <c r="F4" s="51" t="s">
        <v>40</v>
      </c>
      <c r="G4" s="51" t="s">
        <v>41</v>
      </c>
      <c r="H4" s="52" t="s">
        <v>42</v>
      </c>
    </row>
    <row r="5" spans="1:8" ht="13.8" x14ac:dyDescent="0.3">
      <c r="A5" s="14"/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48</v>
      </c>
      <c r="H5" s="17" t="s">
        <v>49</v>
      </c>
    </row>
    <row r="6" spans="1:8" ht="13.8" x14ac:dyDescent="0.3">
      <c r="A6" s="14"/>
      <c r="B6" s="18" t="s">
        <v>50</v>
      </c>
      <c r="C6" s="18" t="s">
        <v>51</v>
      </c>
      <c r="D6" s="18" t="s">
        <v>52</v>
      </c>
      <c r="E6" s="18" t="s">
        <v>53</v>
      </c>
      <c r="F6" s="18" t="s">
        <v>54</v>
      </c>
      <c r="G6" s="18" t="s">
        <v>55</v>
      </c>
      <c r="H6" s="18" t="s">
        <v>56</v>
      </c>
    </row>
    <row r="7" spans="1:8" ht="13.8" x14ac:dyDescent="0.3">
      <c r="A7" s="14"/>
      <c r="B7" s="17" t="s">
        <v>57</v>
      </c>
      <c r="C7" s="17" t="s">
        <v>58</v>
      </c>
      <c r="D7" s="17" t="s">
        <v>59</v>
      </c>
      <c r="E7" s="17" t="s">
        <v>60</v>
      </c>
      <c r="F7" s="17" t="s">
        <v>61</v>
      </c>
      <c r="G7" s="17" t="s">
        <v>62</v>
      </c>
      <c r="H7" s="17" t="s">
        <v>49</v>
      </c>
    </row>
    <row r="8" spans="1:8" ht="13.8" x14ac:dyDescent="0.3">
      <c r="A8" s="14"/>
      <c r="B8" s="18" t="s">
        <v>63</v>
      </c>
      <c r="C8" s="18"/>
      <c r="D8" s="18"/>
      <c r="E8" s="18"/>
      <c r="F8" s="18"/>
      <c r="G8" s="18"/>
      <c r="H8" s="18"/>
    </row>
    <row r="9" spans="1:8" ht="13.8" x14ac:dyDescent="0.3">
      <c r="A9" s="14"/>
      <c r="B9" s="17" t="s">
        <v>63</v>
      </c>
      <c r="C9" s="17"/>
      <c r="D9" s="17"/>
      <c r="E9" s="17"/>
      <c r="F9" s="17"/>
      <c r="G9" s="17"/>
      <c r="H9" s="17"/>
    </row>
    <row r="10" spans="1:8" ht="13.8" x14ac:dyDescent="0.3">
      <c r="A10" s="14"/>
      <c r="B10" s="18" t="s">
        <v>63</v>
      </c>
      <c r="C10" s="18"/>
      <c r="D10" s="18"/>
      <c r="E10" s="18"/>
      <c r="F10" s="18"/>
      <c r="G10" s="18"/>
      <c r="H10" s="18"/>
    </row>
    <row r="11" spans="1:8" ht="13.8" x14ac:dyDescent="0.3">
      <c r="A11" s="14"/>
      <c r="B11" s="17" t="s">
        <v>63</v>
      </c>
      <c r="C11" s="17"/>
      <c r="D11" s="17"/>
      <c r="E11" s="17"/>
      <c r="F11" s="17"/>
      <c r="G11" s="17"/>
      <c r="H11" s="17"/>
    </row>
    <row r="12" spans="1:8" ht="13.8" x14ac:dyDescent="0.3">
      <c r="A12" s="14"/>
      <c r="B12" s="18" t="s">
        <v>63</v>
      </c>
      <c r="C12" s="18"/>
      <c r="D12" s="18"/>
      <c r="E12" s="18"/>
      <c r="F12" s="18"/>
      <c r="G12" s="18"/>
      <c r="H12" s="18"/>
    </row>
    <row r="13" spans="1:8" ht="13.8" x14ac:dyDescent="0.3">
      <c r="A13" s="14"/>
      <c r="B13" s="17" t="s">
        <v>63</v>
      </c>
      <c r="C13" s="17"/>
      <c r="D13" s="17"/>
      <c r="E13" s="17"/>
      <c r="F13" s="17"/>
      <c r="G13" s="17"/>
      <c r="H13" s="17"/>
    </row>
    <row r="14" spans="1:8" ht="13.8" x14ac:dyDescent="0.3">
      <c r="A14" s="14"/>
      <c r="B14" s="18" t="s">
        <v>63</v>
      </c>
      <c r="C14" s="18"/>
      <c r="D14" s="18"/>
      <c r="E14" s="18"/>
      <c r="F14" s="18"/>
      <c r="G14" s="18"/>
      <c r="H14" s="18"/>
    </row>
    <row r="15" spans="1:8" ht="13.8" x14ac:dyDescent="0.3">
      <c r="A15" s="14"/>
      <c r="B15" s="17" t="s">
        <v>63</v>
      </c>
      <c r="C15" s="17"/>
      <c r="D15" s="17"/>
      <c r="E15" s="17"/>
      <c r="F15" s="17"/>
      <c r="G15" s="17"/>
      <c r="H15" s="17"/>
    </row>
    <row r="16" spans="1:8" ht="13.8" x14ac:dyDescent="0.3">
      <c r="A16" s="14"/>
      <c r="B16" s="18" t="s">
        <v>63</v>
      </c>
      <c r="C16" s="18"/>
      <c r="D16" s="18"/>
      <c r="E16" s="18"/>
      <c r="F16" s="18"/>
      <c r="G16" s="18"/>
      <c r="H16" s="18"/>
    </row>
    <row r="17" spans="1:8" ht="13.8" x14ac:dyDescent="0.3">
      <c r="A17" s="14"/>
      <c r="B17" s="17" t="s">
        <v>63</v>
      </c>
      <c r="C17" s="17"/>
      <c r="D17" s="17"/>
      <c r="E17" s="17"/>
      <c r="F17" s="17"/>
      <c r="G17" s="17"/>
      <c r="H17" s="17"/>
    </row>
    <row r="18" spans="1:8" ht="13.8" x14ac:dyDescent="0.3">
      <c r="A18" s="14"/>
      <c r="B18" s="18" t="s">
        <v>63</v>
      </c>
      <c r="C18" s="18"/>
      <c r="D18" s="18"/>
      <c r="E18" s="18"/>
      <c r="F18" s="18"/>
      <c r="G18" s="18"/>
      <c r="H18" s="18"/>
    </row>
    <row r="19" spans="1:8" ht="13.8" x14ac:dyDescent="0.3">
      <c r="A19" s="14"/>
      <c r="B19" s="17" t="s">
        <v>63</v>
      </c>
      <c r="C19" s="17"/>
      <c r="D19" s="17"/>
      <c r="E19" s="17"/>
      <c r="F19" s="17"/>
      <c r="G19" s="17"/>
      <c r="H19" s="17"/>
    </row>
    <row r="20" spans="1:8" ht="13.8" x14ac:dyDescent="0.3">
      <c r="A20" s="14"/>
      <c r="B20" s="18" t="s">
        <v>63</v>
      </c>
      <c r="C20" s="18"/>
      <c r="D20" s="18"/>
      <c r="E20" s="18"/>
      <c r="F20" s="18"/>
      <c r="G20" s="18"/>
      <c r="H20" s="18"/>
    </row>
    <row r="21" spans="1:8" ht="13.8" x14ac:dyDescent="0.3">
      <c r="A21" s="14"/>
      <c r="B21" s="17" t="s">
        <v>63</v>
      </c>
      <c r="C21" s="17"/>
      <c r="D21" s="17"/>
      <c r="E21" s="17"/>
      <c r="F21" s="17"/>
      <c r="G21" s="17"/>
      <c r="H21" s="17"/>
    </row>
    <row r="22" spans="1:8" ht="13.8" x14ac:dyDescent="0.3">
      <c r="A22" s="14"/>
      <c r="B22" s="18" t="s">
        <v>63</v>
      </c>
      <c r="C22" s="18"/>
      <c r="D22" s="18"/>
      <c r="E22" s="18"/>
      <c r="F22" s="18"/>
      <c r="G22" s="18"/>
      <c r="H22" s="18"/>
    </row>
    <row r="23" spans="1:8" ht="13.8" x14ac:dyDescent="0.3">
      <c r="A23" s="14"/>
      <c r="B23" s="17" t="s">
        <v>63</v>
      </c>
      <c r="C23" s="17"/>
      <c r="D23" s="17"/>
      <c r="E23" s="17"/>
      <c r="F23" s="17"/>
      <c r="G23" s="17"/>
      <c r="H23" s="17"/>
    </row>
    <row r="24" spans="1:8" ht="13.8" x14ac:dyDescent="0.3">
      <c r="A24" s="14"/>
      <c r="B24" s="18" t="s">
        <v>63</v>
      </c>
      <c r="C24" s="18"/>
      <c r="D24" s="18"/>
      <c r="E24" s="18"/>
      <c r="F24" s="18"/>
      <c r="G24" s="18"/>
      <c r="H24" s="18"/>
    </row>
    <row r="25" spans="1:8" ht="13.8" x14ac:dyDescent="0.3">
      <c r="A25" s="14"/>
      <c r="B25" s="17" t="s">
        <v>63</v>
      </c>
      <c r="C25" s="17"/>
      <c r="D25" s="17"/>
      <c r="E25" s="17"/>
      <c r="F25" s="17"/>
      <c r="G25" s="17"/>
      <c r="H25" s="17"/>
    </row>
    <row r="26" spans="1:8" ht="13.8" x14ac:dyDescent="0.3">
      <c r="A26" s="14"/>
      <c r="B26" s="18" t="s">
        <v>63</v>
      </c>
      <c r="C26" s="18"/>
      <c r="D26" s="18"/>
      <c r="E26" s="18"/>
      <c r="F26" s="18"/>
      <c r="G26" s="18"/>
      <c r="H26" s="18"/>
    </row>
    <row r="27" spans="1:8" ht="13.8" x14ac:dyDescent="0.3">
      <c r="A27" s="14"/>
      <c r="B27" s="17" t="s">
        <v>63</v>
      </c>
      <c r="C27" s="17"/>
      <c r="D27" s="17"/>
      <c r="E27" s="17"/>
      <c r="F27" s="17"/>
      <c r="G27" s="17"/>
      <c r="H27" s="17"/>
    </row>
    <row r="28" spans="1:8" ht="13.8" x14ac:dyDescent="0.3">
      <c r="A28" s="14"/>
      <c r="B28" s="18" t="s">
        <v>63</v>
      </c>
      <c r="C28" s="18"/>
      <c r="D28" s="18"/>
      <c r="E28" s="18"/>
      <c r="F28" s="18"/>
      <c r="G28" s="18"/>
      <c r="H28" s="18"/>
    </row>
    <row r="29" spans="1:8" ht="13.8" x14ac:dyDescent="0.3">
      <c r="A29" s="14"/>
      <c r="B29" s="17" t="s">
        <v>63</v>
      </c>
      <c r="C29" s="17"/>
      <c r="D29" s="17"/>
      <c r="E29" s="17"/>
      <c r="F29" s="17"/>
      <c r="G29" s="17"/>
      <c r="H29" s="17"/>
    </row>
    <row r="30" spans="1:8" ht="13.8" x14ac:dyDescent="0.3">
      <c r="A30" s="14"/>
      <c r="B30" s="18" t="s">
        <v>63</v>
      </c>
      <c r="C30" s="18"/>
      <c r="D30" s="18"/>
      <c r="E30" s="18"/>
      <c r="F30" s="18"/>
      <c r="G30" s="18"/>
      <c r="H30" s="18"/>
    </row>
    <row r="31" spans="1:8" ht="13.8" x14ac:dyDescent="0.3">
      <c r="A31" s="14"/>
      <c r="B31" s="17" t="s">
        <v>63</v>
      </c>
      <c r="C31" s="17"/>
      <c r="D31" s="17"/>
      <c r="E31" s="17"/>
      <c r="F31" s="17"/>
      <c r="G31" s="17"/>
      <c r="H31" s="17"/>
    </row>
    <row r="32" spans="1:8" ht="13.8" x14ac:dyDescent="0.3">
      <c r="A32" s="14"/>
      <c r="B32" s="18" t="s">
        <v>63</v>
      </c>
      <c r="C32" s="18"/>
      <c r="D32" s="18"/>
      <c r="E32" s="18"/>
      <c r="F32" s="18"/>
      <c r="G32" s="18"/>
      <c r="H32" s="18"/>
    </row>
    <row r="33" spans="1:8" ht="13.8" x14ac:dyDescent="0.3">
      <c r="A33" s="14"/>
      <c r="B33" s="17" t="s">
        <v>63</v>
      </c>
      <c r="C33" s="17"/>
      <c r="D33" s="17"/>
      <c r="E33" s="17"/>
      <c r="F33" s="17"/>
      <c r="G33" s="17"/>
      <c r="H33" s="17"/>
    </row>
    <row r="34" spans="1:8" ht="13.8" x14ac:dyDescent="0.3">
      <c r="A34" s="14"/>
      <c r="B34" s="18" t="s">
        <v>63</v>
      </c>
      <c r="C34" s="18"/>
      <c r="D34" s="18"/>
      <c r="E34" s="18"/>
      <c r="F34" s="18"/>
      <c r="G34" s="18"/>
      <c r="H34" s="18"/>
    </row>
    <row r="35" spans="1:8" ht="13.8" x14ac:dyDescent="0.3">
      <c r="A35" s="14"/>
      <c r="B35" s="17" t="s">
        <v>63</v>
      </c>
      <c r="C35" s="17"/>
      <c r="D35" s="17"/>
      <c r="E35" s="17"/>
      <c r="F35" s="17"/>
      <c r="G35" s="17"/>
      <c r="H35" s="17"/>
    </row>
    <row r="36" spans="1:8" ht="13.8" x14ac:dyDescent="0.3">
      <c r="A36" s="14"/>
      <c r="B36" s="18" t="s">
        <v>63</v>
      </c>
      <c r="C36" s="18"/>
      <c r="D36" s="18"/>
      <c r="E36" s="18"/>
      <c r="F36" s="18"/>
      <c r="G36" s="18"/>
      <c r="H36" s="18"/>
    </row>
    <row r="37" spans="1:8" ht="13.8" x14ac:dyDescent="0.3">
      <c r="A37" s="14"/>
      <c r="B37" s="17" t="s">
        <v>63</v>
      </c>
      <c r="C37" s="17"/>
      <c r="D37" s="17"/>
      <c r="E37" s="17"/>
      <c r="F37" s="17"/>
      <c r="G37" s="17"/>
      <c r="H37" s="17"/>
    </row>
    <row r="38" spans="1:8" ht="13.8" x14ac:dyDescent="0.3">
      <c r="A38" s="14"/>
      <c r="B38" s="18" t="s">
        <v>63</v>
      </c>
      <c r="C38" s="18"/>
      <c r="D38" s="18"/>
      <c r="E38" s="18"/>
      <c r="F38" s="18"/>
      <c r="G38" s="18"/>
      <c r="H38" s="18"/>
    </row>
    <row r="39" spans="1:8" ht="13.8" x14ac:dyDescent="0.3">
      <c r="A39" s="14"/>
      <c r="B39" s="17" t="s">
        <v>63</v>
      </c>
      <c r="C39" s="17"/>
      <c r="D39" s="17"/>
      <c r="E39" s="17"/>
      <c r="F39" s="17"/>
      <c r="G39" s="17"/>
      <c r="H39" s="17"/>
    </row>
    <row r="40" spans="1:8" ht="13.8" x14ac:dyDescent="0.3">
      <c r="A40" s="14"/>
      <c r="B40" s="18" t="s">
        <v>63</v>
      </c>
      <c r="C40" s="18"/>
      <c r="D40" s="18"/>
      <c r="E40" s="18"/>
      <c r="F40" s="18"/>
      <c r="G40" s="18"/>
      <c r="H40" s="18"/>
    </row>
    <row r="41" spans="1:8" ht="13.8" x14ac:dyDescent="0.3">
      <c r="A41" s="14"/>
      <c r="B41" s="17" t="s">
        <v>63</v>
      </c>
      <c r="C41" s="17"/>
      <c r="D41" s="17"/>
      <c r="E41" s="17"/>
      <c r="F41" s="17"/>
      <c r="G41" s="17"/>
      <c r="H41" s="17"/>
    </row>
    <row r="42" spans="1:8" ht="13.8" x14ac:dyDescent="0.3">
      <c r="A42" s="14"/>
      <c r="B42" s="18" t="s">
        <v>63</v>
      </c>
      <c r="C42" s="18"/>
      <c r="D42" s="18"/>
      <c r="E42" s="18"/>
      <c r="F42" s="18"/>
      <c r="G42" s="18"/>
      <c r="H42" s="18"/>
    </row>
    <row r="43" spans="1:8" ht="13.8" x14ac:dyDescent="0.3">
      <c r="A43" s="14"/>
      <c r="B43" s="17" t="s">
        <v>63</v>
      </c>
      <c r="C43" s="17"/>
      <c r="D43" s="17"/>
      <c r="E43" s="17"/>
      <c r="F43" s="17"/>
      <c r="G43" s="17"/>
      <c r="H43" s="17"/>
    </row>
    <row r="44" spans="1:8" ht="13.8" x14ac:dyDescent="0.3">
      <c r="A44" s="14"/>
      <c r="B44" s="18" t="s">
        <v>63</v>
      </c>
      <c r="C44" s="18"/>
      <c r="D44" s="18"/>
      <c r="E44" s="18"/>
      <c r="F44" s="18"/>
      <c r="G44" s="18"/>
      <c r="H44" s="18"/>
    </row>
    <row r="45" spans="1:8" ht="13.8" x14ac:dyDescent="0.3">
      <c r="A45" s="14"/>
      <c r="B45" s="17" t="s">
        <v>63</v>
      </c>
      <c r="C45" s="17"/>
      <c r="D45" s="17"/>
      <c r="E45" s="17"/>
      <c r="F45" s="17"/>
      <c r="G45" s="17"/>
      <c r="H45" s="17"/>
    </row>
    <row r="46" spans="1:8" ht="13.8" x14ac:dyDescent="0.3">
      <c r="A46" s="14"/>
      <c r="B46" s="18" t="s">
        <v>63</v>
      </c>
      <c r="C46" s="18"/>
      <c r="D46" s="18"/>
      <c r="E46" s="18"/>
      <c r="F46" s="18"/>
      <c r="G46" s="18"/>
      <c r="H46" s="18"/>
    </row>
    <row r="47" spans="1:8" ht="13.8" x14ac:dyDescent="0.3">
      <c r="A47" s="14"/>
      <c r="B47" s="17" t="s">
        <v>63</v>
      </c>
      <c r="C47" s="17"/>
      <c r="D47" s="17"/>
      <c r="E47" s="17"/>
      <c r="F47" s="17"/>
      <c r="G47" s="17"/>
      <c r="H47" s="17"/>
    </row>
    <row r="48" spans="1:8" ht="13.8" x14ac:dyDescent="0.3">
      <c r="A48" s="14"/>
      <c r="B48" s="18" t="s">
        <v>63</v>
      </c>
      <c r="C48" s="18"/>
      <c r="D48" s="18"/>
      <c r="E48" s="18"/>
      <c r="F48" s="18"/>
      <c r="G48" s="18"/>
      <c r="H48" s="18"/>
    </row>
    <row r="49" spans="1:8" ht="13.8" x14ac:dyDescent="0.3">
      <c r="A49" s="14"/>
      <c r="B49" s="17" t="s">
        <v>63</v>
      </c>
      <c r="C49" s="17"/>
      <c r="D49" s="17"/>
      <c r="E49" s="17"/>
      <c r="F49" s="17"/>
      <c r="G49" s="17"/>
      <c r="H49" s="17"/>
    </row>
    <row r="50" spans="1:8" ht="13.8" x14ac:dyDescent="0.3">
      <c r="A50" s="14"/>
      <c r="B50" s="18" t="s">
        <v>63</v>
      </c>
      <c r="C50" s="18"/>
      <c r="D50" s="18"/>
      <c r="E50" s="18"/>
      <c r="F50" s="18"/>
      <c r="G50" s="18"/>
      <c r="H50" s="18"/>
    </row>
    <row r="51" spans="1:8" ht="13.8" x14ac:dyDescent="0.3">
      <c r="A51" s="14"/>
      <c r="B51" s="17" t="s">
        <v>63</v>
      </c>
      <c r="C51" s="17"/>
      <c r="D51" s="17"/>
      <c r="E51" s="17"/>
      <c r="F51" s="17"/>
      <c r="G51" s="17"/>
      <c r="H51" s="17"/>
    </row>
    <row r="52" spans="1:8" ht="13.8" x14ac:dyDescent="0.3">
      <c r="A52" s="14"/>
      <c r="B52" s="18" t="s">
        <v>63</v>
      </c>
      <c r="C52" s="18"/>
      <c r="D52" s="18"/>
      <c r="E52" s="18"/>
      <c r="F52" s="18"/>
      <c r="G52" s="18"/>
      <c r="H52" s="18"/>
    </row>
    <row r="53" spans="1:8" ht="13.8" x14ac:dyDescent="0.3">
      <c r="A53" s="14"/>
      <c r="B53" s="17" t="s">
        <v>63</v>
      </c>
      <c r="C53" s="17"/>
      <c r="D53" s="17"/>
      <c r="E53" s="17"/>
      <c r="F53" s="17"/>
      <c r="G53" s="17"/>
      <c r="H53" s="17"/>
    </row>
    <row r="54" spans="1:8" ht="13.8" x14ac:dyDescent="0.3">
      <c r="A54" s="14"/>
      <c r="B54" s="18" t="s">
        <v>63</v>
      </c>
      <c r="C54" s="18"/>
      <c r="D54" s="18"/>
      <c r="E54" s="18"/>
      <c r="F54" s="18"/>
      <c r="G54" s="18"/>
      <c r="H54" s="18"/>
    </row>
    <row r="55" spans="1:8" ht="13.8" x14ac:dyDescent="0.3">
      <c r="A55" s="14"/>
      <c r="B55" s="17" t="s">
        <v>63</v>
      </c>
      <c r="C55" s="17"/>
      <c r="D55" s="17"/>
      <c r="E55" s="17"/>
      <c r="F55" s="17"/>
      <c r="G55" s="17"/>
      <c r="H55" s="17"/>
    </row>
    <row r="56" spans="1:8" ht="13.8" x14ac:dyDescent="0.3">
      <c r="A56" s="14"/>
      <c r="B56" s="18" t="s">
        <v>63</v>
      </c>
      <c r="C56" s="18"/>
      <c r="D56" s="18"/>
      <c r="E56" s="18"/>
      <c r="F56" s="18"/>
      <c r="G56" s="18"/>
      <c r="H56" s="18"/>
    </row>
    <row r="57" spans="1:8" ht="13.8" x14ac:dyDescent="0.3">
      <c r="A57" s="14"/>
      <c r="B57" s="17" t="s">
        <v>63</v>
      </c>
      <c r="C57" s="17"/>
      <c r="D57" s="17"/>
      <c r="E57" s="17"/>
      <c r="F57" s="17"/>
      <c r="G57" s="17"/>
      <c r="H57" s="17"/>
    </row>
    <row r="58" spans="1:8" ht="13.8" x14ac:dyDescent="0.3">
      <c r="A58" s="14"/>
      <c r="B58" s="18" t="s">
        <v>63</v>
      </c>
      <c r="C58" s="18"/>
      <c r="D58" s="18"/>
      <c r="E58" s="18"/>
      <c r="F58" s="18"/>
      <c r="G58" s="18"/>
      <c r="H58" s="18"/>
    </row>
    <row r="59" spans="1:8" ht="13.8" x14ac:dyDescent="0.3">
      <c r="A59" s="14"/>
      <c r="B59" s="17" t="s">
        <v>63</v>
      </c>
      <c r="C59" s="17"/>
      <c r="D59" s="17"/>
      <c r="E59" s="17"/>
      <c r="F59" s="17"/>
      <c r="G59" s="17"/>
      <c r="H59" s="17"/>
    </row>
    <row r="60" spans="1:8" ht="13.8" x14ac:dyDescent="0.3">
      <c r="A60" s="14"/>
      <c r="B60" s="18" t="s">
        <v>63</v>
      </c>
      <c r="C60" s="18"/>
      <c r="D60" s="18"/>
      <c r="E60" s="18"/>
      <c r="F60" s="18"/>
      <c r="G60" s="18"/>
      <c r="H60" s="18"/>
    </row>
    <row r="61" spans="1:8" ht="13.8" x14ac:dyDescent="0.3">
      <c r="A61" s="14"/>
      <c r="B61" s="17" t="s">
        <v>63</v>
      </c>
      <c r="C61" s="17"/>
      <c r="D61" s="17"/>
      <c r="E61" s="17"/>
      <c r="F61" s="17"/>
      <c r="G61" s="17"/>
      <c r="H61" s="17"/>
    </row>
    <row r="62" spans="1:8" ht="13.8" x14ac:dyDescent="0.3">
      <c r="A62" s="14"/>
      <c r="B62" s="18" t="s">
        <v>63</v>
      </c>
      <c r="C62" s="18"/>
      <c r="D62" s="18"/>
      <c r="E62" s="18"/>
      <c r="F62" s="18"/>
      <c r="G62" s="18"/>
      <c r="H62" s="18"/>
    </row>
    <row r="63" spans="1:8" ht="13.8" x14ac:dyDescent="0.3">
      <c r="A63" s="14"/>
      <c r="B63" s="17" t="s">
        <v>63</v>
      </c>
      <c r="C63" s="17"/>
      <c r="D63" s="17"/>
      <c r="E63" s="17"/>
      <c r="F63" s="17"/>
      <c r="G63" s="17"/>
      <c r="H63" s="17"/>
    </row>
    <row r="64" spans="1:8" ht="13.8" x14ac:dyDescent="0.3">
      <c r="A64" s="14"/>
      <c r="B64" s="18" t="s">
        <v>63</v>
      </c>
      <c r="C64" s="18"/>
      <c r="D64" s="18"/>
      <c r="E64" s="18"/>
      <c r="F64" s="18"/>
      <c r="G64" s="18"/>
      <c r="H64" s="18"/>
    </row>
    <row r="65" spans="1:8" ht="13.8" x14ac:dyDescent="0.3">
      <c r="A65" s="14"/>
      <c r="B65" s="17" t="s">
        <v>63</v>
      </c>
      <c r="C65" s="17"/>
      <c r="D65" s="17"/>
      <c r="E65" s="17"/>
      <c r="F65" s="17"/>
      <c r="G65" s="17"/>
      <c r="H65" s="17"/>
    </row>
    <row r="66" spans="1:8" ht="13.8" x14ac:dyDescent="0.3">
      <c r="A66" s="14"/>
      <c r="B66" s="18" t="s">
        <v>63</v>
      </c>
      <c r="C66" s="18"/>
      <c r="D66" s="18"/>
      <c r="E66" s="18"/>
      <c r="F66" s="18"/>
      <c r="G66" s="18"/>
      <c r="H66" s="18"/>
    </row>
    <row r="67" spans="1:8" ht="13.8" x14ac:dyDescent="0.3">
      <c r="A67" s="14"/>
      <c r="B67" s="17" t="s">
        <v>63</v>
      </c>
      <c r="C67" s="17"/>
      <c r="D67" s="17"/>
      <c r="E67" s="17"/>
      <c r="F67" s="17"/>
      <c r="G67" s="17"/>
      <c r="H67" s="17"/>
    </row>
    <row r="68" spans="1:8" ht="13.8" x14ac:dyDescent="0.3">
      <c r="A68" s="14"/>
      <c r="B68" s="18" t="s">
        <v>63</v>
      </c>
      <c r="C68" s="18"/>
      <c r="D68" s="18"/>
      <c r="E68" s="18"/>
      <c r="F68" s="18"/>
      <c r="G68" s="18"/>
      <c r="H68" s="18"/>
    </row>
    <row r="69" spans="1:8" ht="13.8" x14ac:dyDescent="0.3">
      <c r="A69" s="14"/>
      <c r="B69" s="17" t="s">
        <v>63</v>
      </c>
      <c r="C69" s="17"/>
      <c r="D69" s="17"/>
      <c r="E69" s="17"/>
      <c r="F69" s="17"/>
      <c r="G69" s="17"/>
      <c r="H69" s="17"/>
    </row>
    <row r="70" spans="1:8" ht="13.8" x14ac:dyDescent="0.3">
      <c r="A70" s="14"/>
      <c r="B70" s="18" t="s">
        <v>63</v>
      </c>
      <c r="C70" s="18"/>
      <c r="D70" s="18"/>
      <c r="E70" s="18"/>
      <c r="F70" s="18"/>
      <c r="G70" s="18"/>
      <c r="H70" s="18"/>
    </row>
    <row r="71" spans="1:8" ht="13.8" x14ac:dyDescent="0.3">
      <c r="A71" s="14"/>
      <c r="B71" s="17" t="s">
        <v>63</v>
      </c>
      <c r="C71" s="17"/>
      <c r="D71" s="17"/>
      <c r="E71" s="17"/>
      <c r="F71" s="17"/>
      <c r="G71" s="17"/>
      <c r="H71" s="17"/>
    </row>
    <row r="72" spans="1:8" ht="13.8" x14ac:dyDescent="0.3">
      <c r="A72" s="14"/>
      <c r="B72" s="18" t="s">
        <v>63</v>
      </c>
      <c r="C72" s="18"/>
      <c r="D72" s="18"/>
      <c r="E72" s="18"/>
      <c r="F72" s="18"/>
      <c r="G72" s="18"/>
      <c r="H72" s="18"/>
    </row>
    <row r="73" spans="1:8" ht="13.8" x14ac:dyDescent="0.3">
      <c r="A73" s="14"/>
      <c r="B73" s="17" t="s">
        <v>63</v>
      </c>
      <c r="C73" s="17"/>
      <c r="D73" s="17"/>
      <c r="E73" s="17"/>
      <c r="F73" s="17"/>
      <c r="G73" s="17"/>
      <c r="H73" s="17"/>
    </row>
    <row r="74" spans="1:8" ht="13.8" x14ac:dyDescent="0.3">
      <c r="A74" s="14"/>
      <c r="B74" s="18" t="s">
        <v>63</v>
      </c>
      <c r="C74" s="18"/>
      <c r="D74" s="18"/>
      <c r="E74" s="18"/>
      <c r="F74" s="18"/>
      <c r="G74" s="18"/>
      <c r="H74" s="18"/>
    </row>
    <row r="75" spans="1:8" ht="13.8" x14ac:dyDescent="0.3">
      <c r="A75" s="14"/>
      <c r="B75" s="17" t="s">
        <v>63</v>
      </c>
      <c r="C75" s="17"/>
      <c r="D75" s="17"/>
      <c r="E75" s="17"/>
      <c r="F75" s="17"/>
      <c r="G75" s="17"/>
      <c r="H75" s="17"/>
    </row>
    <row r="76" spans="1:8" ht="13.8" x14ac:dyDescent="0.3">
      <c r="A76" s="14"/>
      <c r="B76" s="18" t="s">
        <v>63</v>
      </c>
      <c r="C76" s="18"/>
      <c r="D76" s="18"/>
      <c r="E76" s="18"/>
      <c r="F76" s="18"/>
      <c r="G76" s="18"/>
      <c r="H76" s="18"/>
    </row>
    <row r="77" spans="1:8" ht="13.8" x14ac:dyDescent="0.3">
      <c r="A77" s="14"/>
      <c r="B77" s="17" t="s">
        <v>63</v>
      </c>
      <c r="C77" s="17"/>
      <c r="D77" s="17"/>
      <c r="E77" s="17"/>
      <c r="F77" s="17"/>
      <c r="G77" s="17"/>
      <c r="H77" s="17"/>
    </row>
    <row r="78" spans="1:8" ht="13.8" x14ac:dyDescent="0.3">
      <c r="A78" s="14"/>
      <c r="B78" s="18" t="s">
        <v>63</v>
      </c>
      <c r="C78" s="18"/>
      <c r="D78" s="18"/>
      <c r="E78" s="18"/>
      <c r="F78" s="18"/>
      <c r="G78" s="18"/>
      <c r="H78" s="18"/>
    </row>
    <row r="79" spans="1:8" ht="13.8" x14ac:dyDescent="0.3">
      <c r="A79" s="14"/>
      <c r="B79" s="17" t="s">
        <v>63</v>
      </c>
      <c r="C79" s="17"/>
      <c r="D79" s="17"/>
      <c r="E79" s="17"/>
      <c r="F79" s="17"/>
      <c r="G79" s="17"/>
      <c r="H79" s="17"/>
    </row>
    <row r="80" spans="1:8" ht="13.8" x14ac:dyDescent="0.3">
      <c r="A80" s="14"/>
      <c r="B80" s="18" t="s">
        <v>63</v>
      </c>
      <c r="C80" s="18"/>
      <c r="D80" s="18"/>
      <c r="E80" s="18"/>
      <c r="F80" s="18"/>
      <c r="G80" s="18"/>
      <c r="H80" s="18"/>
    </row>
    <row r="81" spans="1:8" ht="13.8" x14ac:dyDescent="0.3">
      <c r="A81" s="14"/>
      <c r="B81" s="17" t="s">
        <v>63</v>
      </c>
      <c r="C81" s="17"/>
      <c r="D81" s="17"/>
      <c r="E81" s="17"/>
      <c r="F81" s="17"/>
      <c r="G81" s="17"/>
      <c r="H81" s="17"/>
    </row>
    <row r="82" spans="1:8" ht="13.8" x14ac:dyDescent="0.3">
      <c r="A82" s="14"/>
      <c r="B82" s="18" t="s">
        <v>63</v>
      </c>
      <c r="C82" s="18"/>
      <c r="D82" s="18"/>
      <c r="E82" s="18"/>
      <c r="F82" s="18"/>
      <c r="G82" s="18"/>
      <c r="H82" s="18"/>
    </row>
    <row r="83" spans="1:8" ht="13.8" x14ac:dyDescent="0.3">
      <c r="A83" s="14"/>
      <c r="B83" s="17" t="s">
        <v>63</v>
      </c>
      <c r="C83" s="17"/>
      <c r="D83" s="17"/>
      <c r="E83" s="17"/>
      <c r="F83" s="17"/>
      <c r="G83" s="17"/>
      <c r="H83" s="17"/>
    </row>
    <row r="84" spans="1:8" ht="13.8" x14ac:dyDescent="0.3">
      <c r="A84" s="14"/>
      <c r="B84" s="18" t="s">
        <v>63</v>
      </c>
      <c r="C84" s="18"/>
      <c r="D84" s="18"/>
      <c r="E84" s="18"/>
      <c r="F84" s="18"/>
      <c r="G84" s="18"/>
      <c r="H84" s="18"/>
    </row>
    <row r="85" spans="1:8" ht="13.8" x14ac:dyDescent="0.3">
      <c r="A85" s="14"/>
      <c r="B85" s="17" t="s">
        <v>63</v>
      </c>
      <c r="C85" s="17"/>
      <c r="D85" s="17"/>
      <c r="E85" s="17"/>
      <c r="F85" s="17"/>
      <c r="G85" s="17"/>
      <c r="H85" s="17"/>
    </row>
    <row r="86" spans="1:8" ht="13.8" x14ac:dyDescent="0.3">
      <c r="A86" s="14"/>
      <c r="B86" s="18" t="s">
        <v>63</v>
      </c>
      <c r="C86" s="18"/>
      <c r="D86" s="18"/>
      <c r="E86" s="18"/>
      <c r="F86" s="18"/>
      <c r="G86" s="18"/>
      <c r="H86" s="18"/>
    </row>
    <row r="87" spans="1:8" ht="13.8" x14ac:dyDescent="0.3">
      <c r="A87" s="14"/>
      <c r="B87" s="17" t="s">
        <v>63</v>
      </c>
      <c r="C87" s="17"/>
      <c r="D87" s="17"/>
      <c r="E87" s="17"/>
      <c r="F87" s="17"/>
      <c r="G87" s="17"/>
      <c r="H87" s="17"/>
    </row>
    <row r="88" spans="1:8" ht="13.8" x14ac:dyDescent="0.3">
      <c r="A88" s="14"/>
      <c r="B88" s="18" t="s">
        <v>63</v>
      </c>
      <c r="C88" s="18"/>
      <c r="D88" s="18"/>
      <c r="E88" s="18"/>
      <c r="F88" s="18"/>
      <c r="G88" s="18"/>
      <c r="H88" s="18"/>
    </row>
    <row r="89" spans="1:8" ht="13.8" x14ac:dyDescent="0.3">
      <c r="A89" s="14"/>
      <c r="B89" s="17" t="s">
        <v>63</v>
      </c>
      <c r="C89" s="17"/>
      <c r="D89" s="17"/>
      <c r="E89" s="17"/>
      <c r="F89" s="17"/>
      <c r="G89" s="17"/>
      <c r="H89" s="17"/>
    </row>
    <row r="90" spans="1:8" ht="13.8" x14ac:dyDescent="0.3">
      <c r="A90" s="14"/>
      <c r="B90" s="18" t="s">
        <v>63</v>
      </c>
      <c r="C90" s="18"/>
      <c r="D90" s="18"/>
      <c r="E90" s="18"/>
      <c r="F90" s="18"/>
      <c r="G90" s="18"/>
      <c r="H90" s="18"/>
    </row>
    <row r="91" spans="1:8" ht="13.8" x14ac:dyDescent="0.3">
      <c r="A91" s="14"/>
      <c r="B91" s="17" t="s">
        <v>63</v>
      </c>
      <c r="C91" s="17"/>
      <c r="D91" s="17"/>
      <c r="E91" s="17"/>
      <c r="F91" s="17"/>
      <c r="G91" s="17"/>
      <c r="H91" s="17"/>
    </row>
    <row r="92" spans="1:8" ht="13.8" x14ac:dyDescent="0.3">
      <c r="A92" s="14"/>
      <c r="B92" s="18" t="s">
        <v>63</v>
      </c>
      <c r="C92" s="18"/>
      <c r="D92" s="18"/>
      <c r="E92" s="18"/>
      <c r="F92" s="18"/>
      <c r="G92" s="18"/>
      <c r="H92" s="18"/>
    </row>
    <row r="93" spans="1:8" ht="13.8" x14ac:dyDescent="0.3">
      <c r="A93" s="14"/>
      <c r="B93" s="17" t="s">
        <v>63</v>
      </c>
      <c r="C93" s="17"/>
      <c r="D93" s="17"/>
      <c r="E93" s="17"/>
      <c r="F93" s="17"/>
      <c r="G93" s="17"/>
      <c r="H93" s="17"/>
    </row>
    <row r="94" spans="1:8" ht="13.8" x14ac:dyDescent="0.3">
      <c r="A94" s="14"/>
      <c r="B94" s="18" t="s">
        <v>63</v>
      </c>
      <c r="C94" s="18"/>
      <c r="D94" s="18"/>
      <c r="E94" s="18"/>
      <c r="F94" s="18"/>
      <c r="G94" s="18"/>
      <c r="H94" s="18"/>
    </row>
    <row r="95" spans="1:8" ht="13.8" x14ac:dyDescent="0.3">
      <c r="A95" s="14"/>
      <c r="B95" s="17" t="s">
        <v>63</v>
      </c>
      <c r="C95" s="17"/>
      <c r="D95" s="17"/>
      <c r="E95" s="17"/>
      <c r="F95" s="17"/>
      <c r="G95" s="17"/>
      <c r="H95" s="17"/>
    </row>
    <row r="96" spans="1:8" ht="13.8" x14ac:dyDescent="0.3">
      <c r="A96" s="14"/>
      <c r="B96" s="18" t="s">
        <v>63</v>
      </c>
      <c r="C96" s="18"/>
      <c r="D96" s="18"/>
      <c r="E96" s="18"/>
      <c r="F96" s="18"/>
      <c r="G96" s="18"/>
      <c r="H96" s="18"/>
    </row>
    <row r="97" spans="1:8" ht="13.8" x14ac:dyDescent="0.3">
      <c r="A97" s="14"/>
      <c r="B97" s="17" t="s">
        <v>63</v>
      </c>
      <c r="C97" s="17"/>
      <c r="D97" s="17"/>
      <c r="E97" s="17"/>
      <c r="F97" s="17"/>
      <c r="G97" s="17"/>
      <c r="H97" s="17"/>
    </row>
    <row r="98" spans="1:8" ht="13.8" x14ac:dyDescent="0.3">
      <c r="A98" s="14"/>
      <c r="B98" s="18" t="s">
        <v>63</v>
      </c>
      <c r="C98" s="18"/>
      <c r="D98" s="18"/>
      <c r="E98" s="18"/>
      <c r="F98" s="18"/>
      <c r="G98" s="18"/>
      <c r="H98" s="18"/>
    </row>
    <row r="99" spans="1:8" ht="13.8" x14ac:dyDescent="0.3">
      <c r="A99" s="14"/>
      <c r="B99" s="17" t="s">
        <v>63</v>
      </c>
      <c r="C99" s="17"/>
      <c r="D99" s="17"/>
      <c r="E99" s="17"/>
      <c r="F99" s="17"/>
      <c r="G99" s="17"/>
      <c r="H99" s="17"/>
    </row>
    <row r="100" spans="1:8" ht="13.8" x14ac:dyDescent="0.3">
      <c r="A100" s="14"/>
      <c r="B100" s="18" t="s">
        <v>63</v>
      </c>
      <c r="C100" s="18"/>
      <c r="D100" s="18"/>
      <c r="E100" s="18"/>
      <c r="F100" s="18"/>
      <c r="G100" s="18"/>
      <c r="H100" s="18"/>
    </row>
    <row r="101" spans="1:8" ht="13.8" x14ac:dyDescent="0.3">
      <c r="A101" s="14"/>
      <c r="B101" s="17" t="s">
        <v>63</v>
      </c>
      <c r="C101" s="17"/>
      <c r="D101" s="17"/>
      <c r="E101" s="17"/>
      <c r="F101" s="17"/>
      <c r="G101" s="17"/>
      <c r="H101" s="17"/>
    </row>
    <row r="102" spans="1:8" ht="13.8" x14ac:dyDescent="0.3">
      <c r="A102" s="14"/>
      <c r="B102" s="18" t="s">
        <v>63</v>
      </c>
      <c r="C102" s="18"/>
      <c r="D102" s="18"/>
      <c r="E102" s="18"/>
      <c r="F102" s="18"/>
      <c r="G102" s="18"/>
      <c r="H102" s="18"/>
    </row>
    <row r="103" spans="1:8" ht="13.8" x14ac:dyDescent="0.3">
      <c r="A103" s="14"/>
      <c r="B103" s="17" t="s">
        <v>63</v>
      </c>
      <c r="C103" s="17"/>
      <c r="D103" s="17"/>
      <c r="E103" s="17"/>
      <c r="F103" s="17"/>
      <c r="G103" s="17"/>
      <c r="H103" s="17"/>
    </row>
    <row r="104" spans="1:8" ht="13.8" x14ac:dyDescent="0.3">
      <c r="A104" s="14"/>
      <c r="B104" s="18" t="s">
        <v>63</v>
      </c>
      <c r="C104" s="18"/>
      <c r="D104" s="18"/>
      <c r="E104" s="18"/>
      <c r="F104" s="18"/>
      <c r="G104" s="18"/>
      <c r="H104" s="18"/>
    </row>
    <row r="105" spans="1:8" ht="13.8" x14ac:dyDescent="0.3">
      <c r="A105" s="14"/>
      <c r="B105" s="17" t="s">
        <v>63</v>
      </c>
      <c r="C105" s="17"/>
      <c r="D105" s="17"/>
      <c r="E105" s="17"/>
      <c r="F105" s="17"/>
      <c r="G105" s="17"/>
      <c r="H105" s="17"/>
    </row>
    <row r="106" spans="1:8" ht="13.8" x14ac:dyDescent="0.3">
      <c r="A106" s="14"/>
      <c r="B106" s="18" t="s">
        <v>63</v>
      </c>
      <c r="C106" s="18"/>
      <c r="D106" s="18"/>
      <c r="E106" s="18"/>
      <c r="F106" s="18"/>
      <c r="G106" s="18"/>
      <c r="H106" s="18"/>
    </row>
    <row r="107" spans="1:8" ht="13.8" x14ac:dyDescent="0.3">
      <c r="A107" s="14"/>
      <c r="B107" s="17" t="s">
        <v>63</v>
      </c>
      <c r="C107" s="17"/>
      <c r="D107" s="17"/>
      <c r="E107" s="17"/>
      <c r="F107" s="17"/>
      <c r="G107" s="17"/>
      <c r="H107" s="17"/>
    </row>
    <row r="108" spans="1:8" ht="13.8" x14ac:dyDescent="0.3">
      <c r="A108" s="14"/>
      <c r="B108" s="18" t="s">
        <v>63</v>
      </c>
      <c r="C108" s="18"/>
      <c r="D108" s="18"/>
      <c r="E108" s="18"/>
      <c r="F108" s="18"/>
      <c r="G108" s="18"/>
      <c r="H108" s="18"/>
    </row>
    <row r="109" spans="1:8" ht="13.8" x14ac:dyDescent="0.3">
      <c r="A109" s="14"/>
      <c r="B109" s="17" t="s">
        <v>63</v>
      </c>
      <c r="C109" s="17"/>
      <c r="D109" s="17"/>
      <c r="E109" s="17"/>
      <c r="F109" s="17"/>
      <c r="G109" s="17"/>
      <c r="H109" s="17"/>
    </row>
    <row r="110" spans="1:8" ht="13.8" x14ac:dyDescent="0.3">
      <c r="A110" s="14"/>
      <c r="B110" s="18" t="s">
        <v>63</v>
      </c>
      <c r="C110" s="18"/>
      <c r="D110" s="18"/>
      <c r="E110" s="18"/>
      <c r="F110" s="18"/>
      <c r="G110" s="18"/>
      <c r="H110" s="18"/>
    </row>
    <row r="111" spans="1:8" ht="13.8" x14ac:dyDescent="0.3">
      <c r="A111" s="14"/>
      <c r="B111" s="17" t="s">
        <v>63</v>
      </c>
      <c r="C111" s="17"/>
      <c r="D111" s="17"/>
      <c r="E111" s="17"/>
      <c r="F111" s="17"/>
      <c r="G111" s="17"/>
      <c r="H111" s="17"/>
    </row>
    <row r="112" spans="1:8" ht="13.8" x14ac:dyDescent="0.3">
      <c r="A112" s="14"/>
      <c r="B112" s="18" t="s">
        <v>63</v>
      </c>
      <c r="C112" s="18"/>
      <c r="D112" s="18"/>
      <c r="E112" s="18"/>
      <c r="F112" s="18"/>
      <c r="G112" s="18"/>
      <c r="H112" s="18"/>
    </row>
    <row r="113" spans="1:8" ht="13.8" x14ac:dyDescent="0.3">
      <c r="A113" s="14"/>
      <c r="B113" s="17" t="s">
        <v>63</v>
      </c>
      <c r="C113" s="17"/>
      <c r="D113" s="17"/>
      <c r="E113" s="17"/>
      <c r="F113" s="17"/>
      <c r="G113" s="17"/>
      <c r="H113" s="17"/>
    </row>
    <row r="114" spans="1:8" ht="13.8" x14ac:dyDescent="0.3">
      <c r="A114" s="14"/>
      <c r="B114" s="18" t="s">
        <v>63</v>
      </c>
      <c r="C114" s="18"/>
      <c r="D114" s="18"/>
      <c r="E114" s="18"/>
      <c r="F114" s="18"/>
      <c r="G114" s="18"/>
      <c r="H114" s="18"/>
    </row>
    <row r="115" spans="1:8" ht="13.8" x14ac:dyDescent="0.3">
      <c r="A115" s="14"/>
      <c r="B115" s="17" t="s">
        <v>63</v>
      </c>
      <c r="C115" s="17"/>
      <c r="D115" s="17"/>
      <c r="E115" s="17"/>
      <c r="F115" s="17"/>
      <c r="G115" s="17"/>
      <c r="H115" s="17"/>
    </row>
    <row r="116" spans="1:8" ht="13.8" x14ac:dyDescent="0.3">
      <c r="A116" s="14"/>
      <c r="B116" s="18" t="s">
        <v>63</v>
      </c>
      <c r="C116" s="18"/>
      <c r="D116" s="18"/>
      <c r="E116" s="18"/>
      <c r="F116" s="18"/>
      <c r="G116" s="18"/>
      <c r="H116" s="18"/>
    </row>
    <row r="117" spans="1:8" ht="13.8" x14ac:dyDescent="0.3">
      <c r="A117" s="14"/>
      <c r="B117" s="17" t="s">
        <v>63</v>
      </c>
      <c r="C117" s="17"/>
      <c r="D117" s="17"/>
      <c r="E117" s="17"/>
      <c r="F117" s="17"/>
      <c r="G117" s="17"/>
      <c r="H117" s="17"/>
    </row>
    <row r="118" spans="1:8" ht="13.8" x14ac:dyDescent="0.3">
      <c r="A118" s="14"/>
      <c r="B118" s="18" t="s">
        <v>63</v>
      </c>
      <c r="C118" s="18"/>
      <c r="D118" s="18"/>
      <c r="E118" s="18"/>
      <c r="F118" s="18"/>
      <c r="G118" s="18"/>
      <c r="H118" s="18"/>
    </row>
    <row r="119" spans="1:8" ht="13.8" x14ac:dyDescent="0.3">
      <c r="A119" s="14"/>
      <c r="B119" s="17" t="s">
        <v>63</v>
      </c>
      <c r="C119" s="17"/>
      <c r="D119" s="17"/>
      <c r="E119" s="17"/>
      <c r="F119" s="17"/>
      <c r="G119" s="17"/>
      <c r="H119" s="17"/>
    </row>
    <row r="120" spans="1:8" ht="13.8" x14ac:dyDescent="0.3">
      <c r="A120" s="14"/>
      <c r="B120" s="18" t="s">
        <v>63</v>
      </c>
      <c r="C120" s="18"/>
      <c r="D120" s="18"/>
      <c r="E120" s="18"/>
      <c r="F120" s="18"/>
      <c r="G120" s="18"/>
      <c r="H120" s="18"/>
    </row>
    <row r="121" spans="1:8" ht="13.8" x14ac:dyDescent="0.3">
      <c r="A121" s="14"/>
      <c r="B121" s="17" t="s">
        <v>63</v>
      </c>
      <c r="C121" s="17"/>
      <c r="D121" s="17"/>
      <c r="E121" s="17"/>
      <c r="F121" s="17"/>
      <c r="G121" s="17"/>
      <c r="H121" s="17"/>
    </row>
    <row r="122" spans="1:8" ht="13.8" x14ac:dyDescent="0.3">
      <c r="A122" s="14"/>
      <c r="B122" s="18" t="s">
        <v>63</v>
      </c>
      <c r="C122" s="18"/>
      <c r="D122" s="18"/>
      <c r="E122" s="18"/>
      <c r="F122" s="18"/>
      <c r="G122" s="18"/>
      <c r="H122" s="18"/>
    </row>
    <row r="123" spans="1:8" ht="13.8" x14ac:dyDescent="0.3">
      <c r="A123" s="14"/>
      <c r="B123" s="17" t="s">
        <v>63</v>
      </c>
      <c r="C123" s="17"/>
      <c r="D123" s="17"/>
      <c r="E123" s="17"/>
      <c r="F123" s="17"/>
      <c r="G123" s="17"/>
      <c r="H123" s="17"/>
    </row>
    <row r="124" spans="1:8" ht="13.8" x14ac:dyDescent="0.3">
      <c r="A124" s="14"/>
      <c r="B124" s="18" t="s">
        <v>63</v>
      </c>
      <c r="C124" s="18"/>
      <c r="D124" s="18"/>
      <c r="E124" s="18"/>
      <c r="F124" s="18"/>
      <c r="G124" s="18"/>
      <c r="H124" s="18"/>
    </row>
    <row r="125" spans="1:8" ht="13.8" x14ac:dyDescent="0.3">
      <c r="A125" s="14"/>
      <c r="B125" s="17" t="s">
        <v>63</v>
      </c>
      <c r="C125" s="17"/>
      <c r="D125" s="17"/>
      <c r="E125" s="17"/>
      <c r="F125" s="17"/>
      <c r="G125" s="17"/>
      <c r="H125" s="17"/>
    </row>
    <row r="126" spans="1:8" ht="13.8" x14ac:dyDescent="0.3">
      <c r="A126" s="14"/>
      <c r="B126" s="18" t="s">
        <v>63</v>
      </c>
      <c r="C126" s="18"/>
      <c r="D126" s="18"/>
      <c r="E126" s="18"/>
      <c r="F126" s="18"/>
      <c r="G126" s="18"/>
      <c r="H126" s="18"/>
    </row>
    <row r="127" spans="1:8" ht="13.8" x14ac:dyDescent="0.3">
      <c r="A127" s="14"/>
      <c r="B127" s="17" t="s">
        <v>63</v>
      </c>
      <c r="C127" s="17"/>
      <c r="D127" s="17"/>
      <c r="E127" s="17"/>
      <c r="F127" s="17"/>
      <c r="G127" s="17"/>
      <c r="H127" s="17"/>
    </row>
    <row r="128" spans="1:8" ht="13.8" x14ac:dyDescent="0.3">
      <c r="A128" s="14"/>
      <c r="B128" s="18" t="s">
        <v>63</v>
      </c>
      <c r="C128" s="18"/>
      <c r="D128" s="18"/>
      <c r="E128" s="18"/>
      <c r="F128" s="18"/>
      <c r="G128" s="18"/>
      <c r="H128" s="18"/>
    </row>
    <row r="129" spans="1:8" ht="13.8" x14ac:dyDescent="0.3">
      <c r="A129" s="14"/>
      <c r="B129" s="17" t="s">
        <v>63</v>
      </c>
      <c r="C129" s="17"/>
      <c r="D129" s="17"/>
      <c r="E129" s="17"/>
      <c r="F129" s="17"/>
      <c r="G129" s="17"/>
      <c r="H129" s="17"/>
    </row>
    <row r="130" spans="1:8" ht="13.8" x14ac:dyDescent="0.3">
      <c r="A130" s="14"/>
      <c r="B130" s="18" t="s">
        <v>63</v>
      </c>
      <c r="C130" s="18"/>
      <c r="D130" s="18"/>
      <c r="E130" s="18"/>
      <c r="F130" s="18"/>
      <c r="G130" s="18"/>
      <c r="H130" s="18"/>
    </row>
    <row r="131" spans="1:8" ht="13.8" x14ac:dyDescent="0.3">
      <c r="A131" s="14"/>
      <c r="B131" s="17" t="s">
        <v>63</v>
      </c>
      <c r="C131" s="17"/>
      <c r="D131" s="17"/>
      <c r="E131" s="17"/>
      <c r="F131" s="17"/>
      <c r="G131" s="17"/>
      <c r="H131" s="17"/>
    </row>
    <row r="132" spans="1:8" ht="13.8" x14ac:dyDescent="0.3">
      <c r="A132" s="14"/>
      <c r="B132" s="18" t="s">
        <v>63</v>
      </c>
      <c r="C132" s="18"/>
      <c r="D132" s="18"/>
      <c r="E132" s="18"/>
      <c r="F132" s="18"/>
      <c r="G132" s="18"/>
      <c r="H132" s="18"/>
    </row>
    <row r="133" spans="1:8" ht="13.8" x14ac:dyDescent="0.3">
      <c r="A133" s="14"/>
      <c r="B133" s="17" t="s">
        <v>63</v>
      </c>
      <c r="C133" s="17"/>
      <c r="D133" s="17"/>
      <c r="E133" s="17"/>
      <c r="F133" s="17"/>
      <c r="G133" s="17"/>
      <c r="H133" s="17"/>
    </row>
    <row r="134" spans="1:8" ht="13.8" x14ac:dyDescent="0.3">
      <c r="A134" s="14"/>
      <c r="B134" s="18" t="s">
        <v>63</v>
      </c>
      <c r="C134" s="18"/>
      <c r="D134" s="18"/>
      <c r="E134" s="18"/>
      <c r="F134" s="18"/>
      <c r="G134" s="18"/>
      <c r="H134" s="18"/>
    </row>
    <row r="135" spans="1:8" ht="13.8" x14ac:dyDescent="0.3">
      <c r="A135" s="14"/>
      <c r="B135" s="17" t="s">
        <v>63</v>
      </c>
      <c r="C135" s="17"/>
      <c r="D135" s="17"/>
      <c r="E135" s="17"/>
      <c r="F135" s="17"/>
      <c r="G135" s="17"/>
      <c r="H135" s="17"/>
    </row>
    <row r="136" spans="1:8" ht="13.8" x14ac:dyDescent="0.3">
      <c r="A136" s="14"/>
      <c r="B136" s="18" t="s">
        <v>63</v>
      </c>
      <c r="C136" s="18"/>
      <c r="D136" s="18"/>
      <c r="E136" s="18"/>
      <c r="F136" s="18"/>
      <c r="G136" s="18"/>
      <c r="H136" s="18"/>
    </row>
    <row r="137" spans="1:8" ht="13.8" x14ac:dyDescent="0.3">
      <c r="A137" s="14"/>
      <c r="B137" s="17" t="s">
        <v>63</v>
      </c>
      <c r="C137" s="17"/>
      <c r="D137" s="17"/>
      <c r="E137" s="17"/>
      <c r="F137" s="17"/>
      <c r="G137" s="17"/>
      <c r="H137" s="17"/>
    </row>
    <row r="138" spans="1:8" ht="13.8" x14ac:dyDescent="0.3">
      <c r="A138" s="14"/>
      <c r="B138" s="18" t="s">
        <v>63</v>
      </c>
      <c r="C138" s="18"/>
      <c r="D138" s="18"/>
      <c r="E138" s="18"/>
      <c r="F138" s="18"/>
      <c r="G138" s="18"/>
      <c r="H138" s="18"/>
    </row>
    <row r="139" spans="1:8" ht="13.8" x14ac:dyDescent="0.3">
      <c r="A139" s="14"/>
      <c r="B139" s="17" t="s">
        <v>63</v>
      </c>
      <c r="C139" s="17"/>
      <c r="D139" s="17"/>
      <c r="E139" s="17"/>
      <c r="F139" s="17"/>
      <c r="G139" s="17"/>
      <c r="H139" s="17"/>
    </row>
    <row r="140" spans="1:8" ht="13.8" x14ac:dyDescent="0.3">
      <c r="A140" s="14"/>
      <c r="B140" s="18" t="s">
        <v>63</v>
      </c>
      <c r="C140" s="18"/>
      <c r="D140" s="18"/>
      <c r="E140" s="18"/>
      <c r="F140" s="18"/>
      <c r="G140" s="18"/>
      <c r="H140" s="18"/>
    </row>
    <row r="141" spans="1:8" ht="13.8" x14ac:dyDescent="0.3">
      <c r="A141" s="14"/>
      <c r="B141" s="17" t="s">
        <v>63</v>
      </c>
      <c r="C141" s="17"/>
      <c r="D141" s="17"/>
      <c r="E141" s="17"/>
      <c r="F141" s="17"/>
      <c r="G141" s="17"/>
      <c r="H141" s="17"/>
    </row>
    <row r="142" spans="1:8" ht="13.8" x14ac:dyDescent="0.3">
      <c r="A142" s="14"/>
      <c r="B142" s="18" t="s">
        <v>63</v>
      </c>
      <c r="C142" s="18"/>
      <c r="D142" s="18"/>
      <c r="E142" s="18"/>
      <c r="F142" s="18"/>
      <c r="G142" s="18"/>
      <c r="H142" s="18"/>
    </row>
    <row r="143" spans="1:8" ht="13.8" x14ac:dyDescent="0.3">
      <c r="A143" s="14"/>
      <c r="B143" s="17" t="s">
        <v>63</v>
      </c>
      <c r="C143" s="17"/>
      <c r="D143" s="17"/>
      <c r="E143" s="17"/>
      <c r="F143" s="17"/>
      <c r="G143" s="17"/>
      <c r="H143" s="17"/>
    </row>
    <row r="144" spans="1:8" ht="13.8" x14ac:dyDescent="0.3">
      <c r="A144" s="14"/>
      <c r="B144" s="18" t="s">
        <v>63</v>
      </c>
      <c r="C144" s="18"/>
      <c r="D144" s="18"/>
      <c r="E144" s="18"/>
      <c r="F144" s="18"/>
      <c r="G144" s="18"/>
      <c r="H144" s="18"/>
    </row>
    <row r="145" spans="1:8" ht="13.8" x14ac:dyDescent="0.3">
      <c r="A145" s="14"/>
      <c r="B145" s="17" t="s">
        <v>63</v>
      </c>
      <c r="C145" s="17"/>
      <c r="D145" s="17"/>
      <c r="E145" s="17"/>
      <c r="F145" s="17"/>
      <c r="G145" s="17"/>
      <c r="H145" s="17"/>
    </row>
    <row r="146" spans="1:8" ht="13.8" x14ac:dyDescent="0.3">
      <c r="A146" s="14"/>
      <c r="B146" s="18" t="s">
        <v>63</v>
      </c>
      <c r="C146" s="18"/>
      <c r="D146" s="18"/>
      <c r="E146" s="18"/>
      <c r="F146" s="18"/>
      <c r="G146" s="18"/>
      <c r="H146" s="18"/>
    </row>
    <row r="147" spans="1:8" ht="13.8" x14ac:dyDescent="0.3">
      <c r="A147" s="14"/>
      <c r="B147" s="17" t="s">
        <v>63</v>
      </c>
      <c r="C147" s="17"/>
      <c r="D147" s="17"/>
      <c r="E147" s="17"/>
      <c r="F147" s="17"/>
      <c r="G147" s="17"/>
      <c r="H147" s="17"/>
    </row>
    <row r="148" spans="1:8" ht="13.8" x14ac:dyDescent="0.3">
      <c r="A148" s="14"/>
      <c r="B148" s="18" t="s">
        <v>63</v>
      </c>
      <c r="C148" s="18"/>
      <c r="D148" s="18"/>
      <c r="E148" s="18"/>
      <c r="F148" s="18"/>
      <c r="G148" s="18"/>
      <c r="H148" s="18"/>
    </row>
    <row r="149" spans="1:8" ht="13.8" x14ac:dyDescent="0.3">
      <c r="A149" s="14"/>
      <c r="B149" s="17" t="s">
        <v>63</v>
      </c>
      <c r="C149" s="17"/>
      <c r="D149" s="17"/>
      <c r="E149" s="17"/>
      <c r="F149" s="17"/>
      <c r="G149" s="17"/>
      <c r="H149" s="17"/>
    </row>
    <row r="150" spans="1:8" ht="13.8" x14ac:dyDescent="0.3">
      <c r="A150" s="14"/>
      <c r="B150" s="18" t="s">
        <v>63</v>
      </c>
      <c r="C150" s="18"/>
      <c r="D150" s="18"/>
      <c r="E150" s="18"/>
      <c r="F150" s="18"/>
      <c r="G150" s="18"/>
      <c r="H150" s="18"/>
    </row>
    <row r="151" spans="1:8" ht="13.8" x14ac:dyDescent="0.3">
      <c r="A151" s="14"/>
      <c r="B151" s="17" t="s">
        <v>63</v>
      </c>
      <c r="C151" s="17"/>
      <c r="D151" s="17"/>
      <c r="E151" s="17"/>
      <c r="F151" s="17"/>
      <c r="G151" s="17"/>
      <c r="H151" s="17"/>
    </row>
    <row r="152" spans="1:8" ht="13.8" x14ac:dyDescent="0.3">
      <c r="A152" s="14"/>
      <c r="B152" s="18" t="s">
        <v>63</v>
      </c>
      <c r="C152" s="18"/>
      <c r="D152" s="18"/>
      <c r="E152" s="18"/>
      <c r="F152" s="18"/>
      <c r="G152" s="18"/>
      <c r="H152" s="18"/>
    </row>
    <row r="153" spans="1:8" ht="13.8" x14ac:dyDescent="0.3">
      <c r="A153" s="14"/>
      <c r="B153" s="17" t="s">
        <v>63</v>
      </c>
      <c r="C153" s="17"/>
      <c r="D153" s="17"/>
      <c r="E153" s="17"/>
      <c r="F153" s="17"/>
      <c r="G153" s="17"/>
      <c r="H153" s="17"/>
    </row>
    <row r="154" spans="1:8" ht="13.8" x14ac:dyDescent="0.3">
      <c r="A154" s="14"/>
      <c r="B154" s="18" t="s">
        <v>63</v>
      </c>
      <c r="C154" s="18"/>
      <c r="D154" s="18"/>
      <c r="E154" s="18"/>
      <c r="F154" s="18"/>
      <c r="G154" s="18"/>
      <c r="H154" s="18"/>
    </row>
    <row r="155" spans="1:8" ht="13.8" x14ac:dyDescent="0.3">
      <c r="A155" s="14"/>
      <c r="B155" s="17" t="s">
        <v>63</v>
      </c>
      <c r="C155" s="17"/>
      <c r="D155" s="17"/>
      <c r="E155" s="17"/>
      <c r="F155" s="17"/>
      <c r="G155" s="17"/>
      <c r="H155" s="17"/>
    </row>
    <row r="156" spans="1:8" ht="13.8" x14ac:dyDescent="0.3">
      <c r="A156" s="14"/>
      <c r="B156" s="18" t="s">
        <v>63</v>
      </c>
      <c r="C156" s="18"/>
      <c r="D156" s="18"/>
      <c r="E156" s="18"/>
      <c r="F156" s="18"/>
      <c r="G156" s="18"/>
      <c r="H156" s="18"/>
    </row>
    <row r="157" spans="1:8" ht="13.8" x14ac:dyDescent="0.3">
      <c r="A157" s="14"/>
      <c r="B157" s="17" t="s">
        <v>63</v>
      </c>
      <c r="C157" s="17"/>
      <c r="D157" s="17"/>
      <c r="E157" s="17"/>
      <c r="F157" s="17"/>
      <c r="G157" s="17"/>
      <c r="H157" s="17"/>
    </row>
    <row r="158" spans="1:8" ht="13.8" x14ac:dyDescent="0.3">
      <c r="A158" s="14"/>
      <c r="B158" s="18" t="s">
        <v>63</v>
      </c>
      <c r="C158" s="18"/>
      <c r="D158" s="18"/>
      <c r="E158" s="18"/>
      <c r="F158" s="18"/>
      <c r="G158" s="18"/>
      <c r="H158" s="18"/>
    </row>
    <row r="159" spans="1:8" ht="13.8" x14ac:dyDescent="0.3">
      <c r="A159" s="14"/>
      <c r="B159" s="17" t="s">
        <v>63</v>
      </c>
      <c r="C159" s="17"/>
      <c r="D159" s="17"/>
      <c r="E159" s="17"/>
      <c r="F159" s="17"/>
      <c r="G159" s="17"/>
      <c r="H159" s="17"/>
    </row>
    <row r="160" spans="1:8" ht="13.8" x14ac:dyDescent="0.3">
      <c r="A160" s="14"/>
      <c r="B160" s="18" t="s">
        <v>63</v>
      </c>
      <c r="C160" s="18"/>
      <c r="D160" s="18"/>
      <c r="E160" s="18"/>
      <c r="F160" s="18"/>
      <c r="G160" s="18"/>
      <c r="H160" s="18"/>
    </row>
    <row r="161" spans="1:8" ht="13.8" x14ac:dyDescent="0.3">
      <c r="A161" s="14"/>
      <c r="B161" s="17" t="s">
        <v>63</v>
      </c>
      <c r="C161" s="17"/>
      <c r="D161" s="17"/>
      <c r="E161" s="17"/>
      <c r="F161" s="17"/>
      <c r="G161" s="17"/>
      <c r="H161" s="17"/>
    </row>
    <row r="162" spans="1:8" ht="13.8" x14ac:dyDescent="0.3">
      <c r="A162" s="14"/>
      <c r="B162" s="18" t="s">
        <v>63</v>
      </c>
      <c r="C162" s="18"/>
      <c r="D162" s="18"/>
      <c r="E162" s="18"/>
      <c r="F162" s="18"/>
      <c r="G162" s="18"/>
      <c r="H162" s="18"/>
    </row>
    <row r="163" spans="1:8" ht="13.8" x14ac:dyDescent="0.3">
      <c r="A163" s="14"/>
      <c r="B163" s="17" t="s">
        <v>63</v>
      </c>
      <c r="C163" s="17"/>
      <c r="D163" s="17"/>
      <c r="E163" s="17"/>
      <c r="F163" s="17"/>
      <c r="G163" s="17"/>
      <c r="H163" s="17"/>
    </row>
    <row r="164" spans="1:8" ht="13.8" x14ac:dyDescent="0.3">
      <c r="A164" s="14"/>
      <c r="B164" s="18" t="s">
        <v>63</v>
      </c>
      <c r="C164" s="18"/>
      <c r="D164" s="18"/>
      <c r="E164" s="18"/>
      <c r="F164" s="18"/>
      <c r="G164" s="18"/>
      <c r="H164" s="18"/>
    </row>
    <row r="165" spans="1:8" ht="13.8" x14ac:dyDescent="0.3">
      <c r="A165" s="14"/>
      <c r="B165" s="17" t="s">
        <v>63</v>
      </c>
      <c r="C165" s="17"/>
      <c r="D165" s="17"/>
      <c r="E165" s="17"/>
      <c r="F165" s="17"/>
      <c r="G165" s="17"/>
      <c r="H165" s="17"/>
    </row>
    <row r="166" spans="1:8" ht="13.8" x14ac:dyDescent="0.3">
      <c r="A166" s="14"/>
      <c r="B166" s="18" t="s">
        <v>63</v>
      </c>
      <c r="C166" s="18"/>
      <c r="D166" s="18"/>
      <c r="E166" s="18"/>
      <c r="F166" s="18"/>
      <c r="G166" s="18"/>
      <c r="H166" s="18"/>
    </row>
    <row r="167" spans="1:8" ht="13.8" x14ac:dyDescent="0.3">
      <c r="A167" s="14"/>
      <c r="B167" s="17" t="s">
        <v>63</v>
      </c>
      <c r="C167" s="17"/>
      <c r="D167" s="17"/>
      <c r="E167" s="17"/>
      <c r="F167" s="17"/>
      <c r="G167" s="17"/>
      <c r="H167" s="17"/>
    </row>
    <row r="168" spans="1:8" ht="13.8" x14ac:dyDescent="0.3">
      <c r="A168" s="14"/>
      <c r="B168" s="18" t="s">
        <v>63</v>
      </c>
      <c r="C168" s="18"/>
      <c r="D168" s="18"/>
      <c r="E168" s="18"/>
      <c r="F168" s="18"/>
      <c r="G168" s="18"/>
      <c r="H168" s="18"/>
    </row>
    <row r="169" spans="1:8" ht="13.8" x14ac:dyDescent="0.3">
      <c r="A169" s="14"/>
      <c r="B169" s="17" t="s">
        <v>63</v>
      </c>
      <c r="C169" s="17"/>
      <c r="D169" s="17"/>
      <c r="E169" s="17"/>
      <c r="F169" s="17"/>
      <c r="G169" s="17"/>
      <c r="H169" s="17"/>
    </row>
    <row r="170" spans="1:8" ht="13.8" x14ac:dyDescent="0.3">
      <c r="A170" s="14"/>
      <c r="B170" s="18" t="s">
        <v>63</v>
      </c>
      <c r="C170" s="18"/>
      <c r="D170" s="18"/>
      <c r="E170" s="18"/>
      <c r="F170" s="18"/>
      <c r="G170" s="18"/>
      <c r="H170" s="18"/>
    </row>
    <row r="171" spans="1:8" ht="13.8" x14ac:dyDescent="0.3">
      <c r="A171" s="14"/>
      <c r="B171" s="17" t="s">
        <v>63</v>
      </c>
      <c r="C171" s="17"/>
      <c r="D171" s="17"/>
      <c r="E171" s="17"/>
      <c r="F171" s="17"/>
      <c r="G171" s="17"/>
      <c r="H171" s="17"/>
    </row>
    <row r="172" spans="1:8" ht="13.8" x14ac:dyDescent="0.3">
      <c r="A172" s="14"/>
      <c r="B172" s="18" t="s">
        <v>63</v>
      </c>
      <c r="C172" s="18"/>
      <c r="D172" s="18"/>
      <c r="E172" s="18"/>
      <c r="F172" s="18"/>
      <c r="G172" s="18"/>
      <c r="H172" s="18"/>
    </row>
    <row r="173" spans="1:8" ht="13.8" x14ac:dyDescent="0.3">
      <c r="A173" s="14"/>
      <c r="B173" s="17" t="s">
        <v>63</v>
      </c>
      <c r="C173" s="17"/>
      <c r="D173" s="17"/>
      <c r="E173" s="17"/>
      <c r="F173" s="17"/>
      <c r="G173" s="17"/>
      <c r="H173" s="17"/>
    </row>
    <row r="174" spans="1:8" ht="13.8" x14ac:dyDescent="0.3">
      <c r="A174" s="14"/>
      <c r="B174" s="18" t="s">
        <v>63</v>
      </c>
      <c r="C174" s="18"/>
      <c r="D174" s="18"/>
      <c r="E174" s="18"/>
      <c r="F174" s="18"/>
      <c r="G174" s="18"/>
      <c r="H174" s="18"/>
    </row>
    <row r="175" spans="1:8" ht="13.8" x14ac:dyDescent="0.3">
      <c r="A175" s="14"/>
      <c r="B175" s="17" t="s">
        <v>63</v>
      </c>
      <c r="C175" s="17"/>
      <c r="D175" s="17"/>
      <c r="E175" s="17"/>
      <c r="F175" s="17"/>
      <c r="G175" s="17"/>
      <c r="H175" s="17"/>
    </row>
    <row r="176" spans="1:8" ht="13.8" x14ac:dyDescent="0.3">
      <c r="A176" s="14"/>
      <c r="B176" s="18" t="s">
        <v>63</v>
      </c>
      <c r="C176" s="18"/>
      <c r="D176" s="18"/>
      <c r="E176" s="18"/>
      <c r="F176" s="18"/>
      <c r="G176" s="18"/>
      <c r="H176" s="18"/>
    </row>
    <row r="177" spans="1:8" ht="13.8" x14ac:dyDescent="0.3">
      <c r="A177" s="14"/>
      <c r="B177" s="17" t="s">
        <v>63</v>
      </c>
      <c r="C177" s="17"/>
      <c r="D177" s="17"/>
      <c r="E177" s="17"/>
      <c r="F177" s="17"/>
      <c r="G177" s="17"/>
      <c r="H177" s="17"/>
    </row>
    <row r="178" spans="1:8" ht="13.8" x14ac:dyDescent="0.3">
      <c r="A178" s="14"/>
      <c r="B178" s="18" t="s">
        <v>63</v>
      </c>
      <c r="C178" s="18"/>
      <c r="D178" s="18"/>
      <c r="E178" s="18"/>
      <c r="F178" s="18"/>
      <c r="G178" s="18"/>
      <c r="H178" s="18"/>
    </row>
    <row r="179" spans="1:8" ht="13.8" x14ac:dyDescent="0.3">
      <c r="A179" s="14"/>
      <c r="B179" s="17" t="s">
        <v>63</v>
      </c>
      <c r="C179" s="17"/>
      <c r="D179" s="17"/>
      <c r="E179" s="17"/>
      <c r="F179" s="17"/>
      <c r="G179" s="17"/>
      <c r="H179" s="17"/>
    </row>
    <row r="180" spans="1:8" ht="13.8" x14ac:dyDescent="0.3">
      <c r="A180" s="14"/>
      <c r="B180" s="18" t="s">
        <v>63</v>
      </c>
      <c r="C180" s="18"/>
      <c r="D180" s="18"/>
      <c r="E180" s="18"/>
      <c r="F180" s="18"/>
      <c r="G180" s="18"/>
      <c r="H180" s="18"/>
    </row>
    <row r="181" spans="1:8" ht="13.8" x14ac:dyDescent="0.3">
      <c r="A181" s="14"/>
      <c r="B181" s="17" t="s">
        <v>63</v>
      </c>
      <c r="C181" s="17"/>
      <c r="D181" s="17"/>
      <c r="E181" s="17"/>
      <c r="F181" s="17"/>
      <c r="G181" s="17"/>
      <c r="H181" s="17"/>
    </row>
    <row r="182" spans="1:8" ht="13.8" x14ac:dyDescent="0.3">
      <c r="A182" s="14"/>
      <c r="B182" s="18" t="s">
        <v>63</v>
      </c>
      <c r="C182" s="18"/>
      <c r="D182" s="18"/>
      <c r="E182" s="18"/>
      <c r="F182" s="18"/>
      <c r="G182" s="18"/>
      <c r="H182" s="18"/>
    </row>
    <row r="183" spans="1:8" ht="13.8" x14ac:dyDescent="0.3">
      <c r="A183" s="14"/>
      <c r="B183" s="17" t="s">
        <v>63</v>
      </c>
      <c r="C183" s="17"/>
      <c r="D183" s="17"/>
      <c r="E183" s="17"/>
      <c r="F183" s="17"/>
      <c r="G183" s="17"/>
      <c r="H183" s="17"/>
    </row>
    <row r="184" spans="1:8" ht="13.8" x14ac:dyDescent="0.3">
      <c r="A184" s="14"/>
      <c r="B184" s="18" t="s">
        <v>63</v>
      </c>
      <c r="C184" s="18"/>
      <c r="D184" s="18"/>
      <c r="E184" s="18"/>
      <c r="F184" s="18"/>
      <c r="G184" s="18"/>
      <c r="H184" s="18"/>
    </row>
    <row r="185" spans="1:8" ht="13.8" x14ac:dyDescent="0.3">
      <c r="A185" s="14"/>
      <c r="B185" s="17" t="s">
        <v>63</v>
      </c>
      <c r="C185" s="17"/>
      <c r="D185" s="17"/>
      <c r="E185" s="17"/>
      <c r="F185" s="17"/>
      <c r="G185" s="17"/>
      <c r="H185" s="17"/>
    </row>
    <row r="186" spans="1:8" ht="13.8" x14ac:dyDescent="0.3">
      <c r="A186" s="14"/>
      <c r="B186" s="18" t="s">
        <v>63</v>
      </c>
      <c r="C186" s="18"/>
      <c r="D186" s="18"/>
      <c r="E186" s="18"/>
      <c r="F186" s="18"/>
      <c r="G186" s="18"/>
      <c r="H186" s="18"/>
    </row>
    <row r="187" spans="1:8" ht="13.8" x14ac:dyDescent="0.3">
      <c r="A187" s="14"/>
      <c r="B187" s="17" t="s">
        <v>63</v>
      </c>
      <c r="C187" s="17"/>
      <c r="D187" s="17"/>
      <c r="E187" s="17"/>
      <c r="F187" s="17"/>
      <c r="G187" s="17"/>
      <c r="H187" s="17"/>
    </row>
    <row r="188" spans="1:8" ht="13.8" x14ac:dyDescent="0.3">
      <c r="A188" s="14"/>
      <c r="B188" s="18" t="s">
        <v>63</v>
      </c>
      <c r="C188" s="18"/>
      <c r="D188" s="18"/>
      <c r="E188" s="18"/>
      <c r="F188" s="18"/>
      <c r="G188" s="18"/>
      <c r="H188" s="18"/>
    </row>
    <row r="189" spans="1:8" ht="13.8" x14ac:dyDescent="0.3">
      <c r="A189" s="14"/>
      <c r="B189" s="17" t="s">
        <v>63</v>
      </c>
      <c r="C189" s="17"/>
      <c r="D189" s="17"/>
      <c r="E189" s="17"/>
      <c r="F189" s="17"/>
      <c r="G189" s="17"/>
      <c r="H189" s="17"/>
    </row>
    <row r="190" spans="1:8" ht="13.8" x14ac:dyDescent="0.3">
      <c r="A190" s="14"/>
      <c r="B190" s="18" t="s">
        <v>63</v>
      </c>
      <c r="C190" s="18"/>
      <c r="D190" s="18"/>
      <c r="E190" s="18"/>
      <c r="F190" s="18"/>
      <c r="G190" s="18"/>
      <c r="H190" s="18"/>
    </row>
    <row r="191" spans="1:8" ht="13.8" x14ac:dyDescent="0.3">
      <c r="A191" s="14"/>
      <c r="B191" s="17" t="s">
        <v>63</v>
      </c>
      <c r="C191" s="17"/>
      <c r="D191" s="17"/>
      <c r="E191" s="17"/>
      <c r="F191" s="17"/>
      <c r="G191" s="17"/>
      <c r="H191" s="17"/>
    </row>
    <row r="192" spans="1:8" ht="13.8" x14ac:dyDescent="0.3">
      <c r="A192" s="14"/>
      <c r="B192" s="18" t="s">
        <v>63</v>
      </c>
      <c r="C192" s="18"/>
      <c r="D192" s="18"/>
      <c r="E192" s="18"/>
      <c r="F192" s="18"/>
      <c r="G192" s="18"/>
      <c r="H192" s="18"/>
    </row>
    <row r="193" spans="1:8" ht="13.8" x14ac:dyDescent="0.3">
      <c r="A193" s="14"/>
      <c r="B193" s="17" t="s">
        <v>63</v>
      </c>
      <c r="C193" s="17"/>
      <c r="D193" s="17"/>
      <c r="E193" s="17"/>
      <c r="F193" s="17"/>
      <c r="G193" s="17"/>
      <c r="H193" s="17"/>
    </row>
    <row r="194" spans="1:8" ht="13.8" x14ac:dyDescent="0.3">
      <c r="A194" s="14"/>
      <c r="B194" s="18" t="s">
        <v>63</v>
      </c>
      <c r="C194" s="18"/>
      <c r="D194" s="18"/>
      <c r="E194" s="18"/>
      <c r="F194" s="18"/>
      <c r="G194" s="18"/>
      <c r="H194" s="18"/>
    </row>
    <row r="195" spans="1:8" ht="13.8" x14ac:dyDescent="0.3">
      <c r="A195" s="14"/>
      <c r="B195" s="17" t="s">
        <v>63</v>
      </c>
      <c r="C195" s="17"/>
      <c r="D195" s="17"/>
      <c r="E195" s="17"/>
      <c r="F195" s="17"/>
      <c r="G195" s="17"/>
      <c r="H195" s="17"/>
    </row>
    <row r="196" spans="1:8" ht="13.8" x14ac:dyDescent="0.3">
      <c r="A196" s="14"/>
      <c r="B196" s="18" t="s">
        <v>63</v>
      </c>
      <c r="C196" s="18"/>
      <c r="D196" s="18"/>
      <c r="E196" s="18"/>
      <c r="F196" s="18"/>
      <c r="G196" s="18"/>
      <c r="H196" s="18"/>
    </row>
    <row r="197" spans="1:8" ht="13.8" x14ac:dyDescent="0.3">
      <c r="A197" s="14"/>
      <c r="B197" s="17" t="s">
        <v>63</v>
      </c>
      <c r="C197" s="17"/>
      <c r="D197" s="17"/>
      <c r="E197" s="17"/>
      <c r="F197" s="17"/>
      <c r="G197" s="17"/>
      <c r="H197" s="17"/>
    </row>
    <row r="198" spans="1:8" ht="13.8" x14ac:dyDescent="0.3">
      <c r="A198" s="14"/>
      <c r="B198" s="18" t="s">
        <v>63</v>
      </c>
      <c r="C198" s="18"/>
      <c r="D198" s="18"/>
      <c r="E198" s="18"/>
      <c r="F198" s="18"/>
      <c r="G198" s="18"/>
      <c r="H198" s="18"/>
    </row>
    <row r="199" spans="1:8" ht="13.8" x14ac:dyDescent="0.3">
      <c r="A199" s="14"/>
      <c r="B199" s="17" t="s">
        <v>63</v>
      </c>
      <c r="C199" s="17"/>
      <c r="D199" s="17"/>
      <c r="E199" s="17"/>
      <c r="F199" s="17"/>
      <c r="G199" s="17"/>
      <c r="H199" s="17"/>
    </row>
    <row r="200" spans="1:8" ht="13.8" x14ac:dyDescent="0.3">
      <c r="A200" s="14"/>
      <c r="B200" s="18" t="s">
        <v>63</v>
      </c>
      <c r="C200" s="18"/>
      <c r="D200" s="18"/>
      <c r="E200" s="18"/>
      <c r="F200" s="18"/>
      <c r="G200" s="18"/>
      <c r="H200" s="18"/>
    </row>
    <row r="201" spans="1:8" ht="13.8" x14ac:dyDescent="0.3">
      <c r="A201" s="14"/>
      <c r="B201" s="17" t="s">
        <v>63</v>
      </c>
      <c r="C201" s="17"/>
      <c r="D201" s="17"/>
      <c r="E201" s="17"/>
      <c r="F201" s="17"/>
      <c r="G201" s="17"/>
      <c r="H201" s="17"/>
    </row>
    <row r="202" spans="1:8" ht="13.8" x14ac:dyDescent="0.3">
      <c r="A202" s="14"/>
      <c r="B202" s="18" t="s">
        <v>63</v>
      </c>
      <c r="C202" s="18"/>
      <c r="D202" s="18"/>
      <c r="E202" s="18"/>
      <c r="F202" s="18"/>
      <c r="G202" s="18"/>
      <c r="H202" s="18"/>
    </row>
    <row r="203" spans="1:8" ht="13.8" x14ac:dyDescent="0.3">
      <c r="A203" s="14"/>
      <c r="B203" s="17" t="s">
        <v>63</v>
      </c>
      <c r="C203" s="17"/>
      <c r="D203" s="17"/>
      <c r="E203" s="17"/>
      <c r="F203" s="17"/>
      <c r="G203" s="17"/>
      <c r="H203" s="17"/>
    </row>
    <row r="204" spans="1:8" ht="13.8" x14ac:dyDescent="0.3">
      <c r="A204" s="14"/>
      <c r="B204" s="18" t="s">
        <v>63</v>
      </c>
      <c r="C204" s="18"/>
      <c r="D204" s="18"/>
      <c r="E204" s="18"/>
      <c r="F204" s="18"/>
      <c r="G204" s="18"/>
      <c r="H204" s="18"/>
    </row>
    <row r="205" spans="1:8" ht="13.8" x14ac:dyDescent="0.3">
      <c r="A205" s="14"/>
      <c r="B205" s="17" t="s">
        <v>63</v>
      </c>
      <c r="C205" s="17"/>
      <c r="D205" s="17"/>
      <c r="E205" s="17"/>
      <c r="F205" s="17"/>
      <c r="G205" s="17"/>
      <c r="H205" s="17"/>
    </row>
    <row r="206" spans="1:8" ht="13.8" x14ac:dyDescent="0.3">
      <c r="A206" s="14"/>
      <c r="B206" s="18" t="s">
        <v>63</v>
      </c>
      <c r="C206" s="18"/>
      <c r="D206" s="18"/>
      <c r="E206" s="18"/>
      <c r="F206" s="18"/>
      <c r="G206" s="18"/>
      <c r="H206" s="18"/>
    </row>
    <row r="207" spans="1:8" ht="13.8" x14ac:dyDescent="0.3">
      <c r="A207" s="14"/>
      <c r="B207" s="17" t="s">
        <v>63</v>
      </c>
      <c r="C207" s="17"/>
      <c r="D207" s="17"/>
      <c r="E207" s="17"/>
      <c r="F207" s="17"/>
      <c r="G207" s="17"/>
      <c r="H207" s="17"/>
    </row>
    <row r="208" spans="1:8" ht="13.8" x14ac:dyDescent="0.3">
      <c r="A208" s="14"/>
      <c r="B208" s="18" t="s">
        <v>63</v>
      </c>
      <c r="C208" s="18"/>
      <c r="D208" s="18"/>
      <c r="E208" s="18"/>
      <c r="F208" s="18"/>
      <c r="G208" s="18"/>
      <c r="H208" s="18"/>
    </row>
    <row r="209" spans="1:8" ht="13.8" x14ac:dyDescent="0.3">
      <c r="A209" s="14"/>
      <c r="B209" s="17" t="s">
        <v>63</v>
      </c>
      <c r="C209" s="17"/>
      <c r="D209" s="17"/>
      <c r="E209" s="17"/>
      <c r="F209" s="17"/>
      <c r="G209" s="17"/>
      <c r="H209" s="17"/>
    </row>
    <row r="210" spans="1:8" ht="13.8" x14ac:dyDescent="0.3">
      <c r="A210" s="14"/>
      <c r="B210" s="18" t="s">
        <v>63</v>
      </c>
      <c r="C210" s="18"/>
      <c r="D210" s="18"/>
      <c r="E210" s="18"/>
      <c r="F210" s="18"/>
      <c r="G210" s="18"/>
      <c r="H210" s="18"/>
    </row>
    <row r="211" spans="1:8" ht="13.8" x14ac:dyDescent="0.3">
      <c r="A211" s="14"/>
      <c r="B211" s="17" t="s">
        <v>63</v>
      </c>
      <c r="C211" s="17"/>
      <c r="D211" s="17"/>
      <c r="E211" s="17"/>
      <c r="F211" s="17"/>
      <c r="G211" s="17"/>
      <c r="H211" s="17"/>
    </row>
    <row r="212" spans="1:8" ht="13.8" x14ac:dyDescent="0.3">
      <c r="A212" s="14"/>
      <c r="B212" s="18" t="s">
        <v>63</v>
      </c>
      <c r="C212" s="18"/>
      <c r="D212" s="18"/>
      <c r="E212" s="18"/>
      <c r="F212" s="18"/>
      <c r="G212" s="18"/>
      <c r="H212" s="18"/>
    </row>
    <row r="213" spans="1:8" ht="13.8" x14ac:dyDescent="0.3">
      <c r="A213" s="14"/>
      <c r="B213" s="17" t="s">
        <v>63</v>
      </c>
      <c r="C213" s="17"/>
      <c r="D213" s="17"/>
      <c r="E213" s="17"/>
      <c r="F213" s="17"/>
      <c r="G213" s="17"/>
      <c r="H213" s="17"/>
    </row>
    <row r="214" spans="1:8" ht="13.8" x14ac:dyDescent="0.3">
      <c r="A214" s="14"/>
      <c r="B214" s="18" t="s">
        <v>63</v>
      </c>
      <c r="C214" s="18"/>
      <c r="D214" s="18"/>
      <c r="E214" s="18"/>
      <c r="F214" s="18"/>
      <c r="G214" s="18"/>
      <c r="H214" s="18"/>
    </row>
    <row r="215" spans="1:8" ht="13.8" x14ac:dyDescent="0.3">
      <c r="A215" s="14"/>
      <c r="B215" s="17" t="s">
        <v>63</v>
      </c>
      <c r="C215" s="17"/>
      <c r="D215" s="17"/>
      <c r="E215" s="17"/>
      <c r="F215" s="17"/>
      <c r="G215" s="17"/>
      <c r="H215" s="17"/>
    </row>
    <row r="216" spans="1:8" ht="13.8" x14ac:dyDescent="0.3">
      <c r="A216" s="14"/>
      <c r="B216" s="18" t="s">
        <v>63</v>
      </c>
      <c r="C216" s="18"/>
      <c r="D216" s="18"/>
      <c r="E216" s="18"/>
      <c r="F216" s="18"/>
      <c r="G216" s="18"/>
      <c r="H216" s="18"/>
    </row>
    <row r="217" spans="1:8" ht="13.8" x14ac:dyDescent="0.3">
      <c r="A217" s="14"/>
      <c r="B217" s="17" t="s">
        <v>63</v>
      </c>
      <c r="C217" s="17"/>
      <c r="D217" s="17"/>
      <c r="E217" s="17"/>
      <c r="F217" s="17"/>
      <c r="G217" s="17"/>
      <c r="H217" s="17"/>
    </row>
    <row r="218" spans="1:8" ht="13.8" x14ac:dyDescent="0.3">
      <c r="A218" s="14"/>
      <c r="B218" s="18" t="s">
        <v>63</v>
      </c>
      <c r="C218" s="18"/>
      <c r="D218" s="18"/>
      <c r="E218" s="18"/>
      <c r="F218" s="18"/>
      <c r="G218" s="18"/>
      <c r="H218" s="18"/>
    </row>
    <row r="219" spans="1:8" ht="13.8" x14ac:dyDescent="0.3">
      <c r="A219" s="14"/>
      <c r="B219" s="17" t="s">
        <v>63</v>
      </c>
      <c r="C219" s="17"/>
      <c r="D219" s="17"/>
      <c r="E219" s="17"/>
      <c r="F219" s="17"/>
      <c r="G219" s="17"/>
      <c r="H219" s="17"/>
    </row>
    <row r="220" spans="1:8" ht="13.8" x14ac:dyDescent="0.3">
      <c r="A220" s="14"/>
      <c r="B220" s="18" t="s">
        <v>63</v>
      </c>
      <c r="C220" s="18"/>
      <c r="D220" s="18"/>
      <c r="E220" s="18"/>
      <c r="F220" s="18"/>
      <c r="G220" s="18"/>
      <c r="H220" s="18"/>
    </row>
    <row r="221" spans="1:8" ht="13.8" x14ac:dyDescent="0.3">
      <c r="A221" s="14"/>
      <c r="B221" s="17" t="s">
        <v>63</v>
      </c>
      <c r="C221" s="17"/>
      <c r="D221" s="17"/>
      <c r="E221" s="17"/>
      <c r="F221" s="17"/>
      <c r="G221" s="17"/>
      <c r="H221" s="17"/>
    </row>
    <row r="222" spans="1:8" ht="13.8" x14ac:dyDescent="0.3">
      <c r="A222" s="14"/>
      <c r="B222" s="18" t="s">
        <v>63</v>
      </c>
      <c r="C222" s="18"/>
      <c r="D222" s="18"/>
      <c r="E222" s="18"/>
      <c r="F222" s="18"/>
      <c r="G222" s="18"/>
      <c r="H222" s="18"/>
    </row>
    <row r="223" spans="1:8" ht="13.8" x14ac:dyDescent="0.3">
      <c r="A223" s="14"/>
      <c r="B223" s="17" t="s">
        <v>63</v>
      </c>
      <c r="C223" s="17"/>
      <c r="D223" s="17"/>
      <c r="E223" s="17"/>
      <c r="F223" s="17"/>
      <c r="G223" s="17"/>
      <c r="H223" s="17"/>
    </row>
    <row r="224" spans="1:8" ht="13.8" x14ac:dyDescent="0.3">
      <c r="A224" s="14"/>
      <c r="B224" s="18" t="s">
        <v>63</v>
      </c>
      <c r="C224" s="18"/>
      <c r="D224" s="18"/>
      <c r="E224" s="18"/>
      <c r="F224" s="18"/>
      <c r="G224" s="18"/>
      <c r="H224" s="18"/>
    </row>
    <row r="225" spans="1:8" ht="13.8" x14ac:dyDescent="0.3">
      <c r="A225" s="14"/>
      <c r="B225" s="17" t="s">
        <v>63</v>
      </c>
      <c r="C225" s="17"/>
      <c r="D225" s="17"/>
      <c r="E225" s="17"/>
      <c r="F225" s="17"/>
      <c r="G225" s="17"/>
      <c r="H225" s="17"/>
    </row>
    <row r="226" spans="1:8" ht="13.8" x14ac:dyDescent="0.3">
      <c r="A226" s="14"/>
      <c r="B226" s="18" t="s">
        <v>63</v>
      </c>
      <c r="C226" s="18"/>
      <c r="D226" s="18"/>
      <c r="E226" s="18"/>
      <c r="F226" s="18"/>
      <c r="G226" s="18"/>
      <c r="H226" s="18"/>
    </row>
    <row r="227" spans="1:8" ht="13.8" x14ac:dyDescent="0.3">
      <c r="A227" s="14"/>
      <c r="B227" s="17" t="s">
        <v>63</v>
      </c>
      <c r="C227" s="17"/>
      <c r="D227" s="17"/>
      <c r="E227" s="17"/>
      <c r="F227" s="17"/>
      <c r="G227" s="17"/>
      <c r="H227" s="17"/>
    </row>
    <row r="228" spans="1:8" ht="13.8" x14ac:dyDescent="0.3">
      <c r="A228" s="14"/>
      <c r="B228" s="18" t="s">
        <v>63</v>
      </c>
      <c r="C228" s="18"/>
      <c r="D228" s="18"/>
      <c r="E228" s="18"/>
      <c r="F228" s="18"/>
      <c r="G228" s="18"/>
      <c r="H228" s="18"/>
    </row>
    <row r="229" spans="1:8" ht="13.8" x14ac:dyDescent="0.3">
      <c r="A229" s="14"/>
      <c r="B229" s="17" t="s">
        <v>63</v>
      </c>
      <c r="C229" s="17"/>
      <c r="D229" s="17"/>
      <c r="E229" s="17"/>
      <c r="F229" s="17"/>
      <c r="G229" s="17"/>
      <c r="H229" s="17"/>
    </row>
    <row r="230" spans="1:8" ht="13.8" x14ac:dyDescent="0.3">
      <c r="A230" s="14"/>
      <c r="B230" s="18" t="s">
        <v>63</v>
      </c>
      <c r="C230" s="18"/>
      <c r="D230" s="18"/>
      <c r="E230" s="18"/>
      <c r="F230" s="18"/>
      <c r="G230" s="18"/>
      <c r="H230" s="18"/>
    </row>
    <row r="231" spans="1:8" ht="13.8" x14ac:dyDescent="0.3">
      <c r="A231" s="14"/>
      <c r="B231" s="17" t="s">
        <v>63</v>
      </c>
      <c r="C231" s="17"/>
      <c r="D231" s="17"/>
      <c r="E231" s="17"/>
      <c r="F231" s="17"/>
      <c r="G231" s="17"/>
      <c r="H231" s="17"/>
    </row>
    <row r="232" spans="1:8" ht="13.8" x14ac:dyDescent="0.3">
      <c r="A232" s="14"/>
      <c r="B232" s="18" t="s">
        <v>63</v>
      </c>
      <c r="C232" s="18"/>
      <c r="D232" s="18"/>
      <c r="E232" s="18"/>
      <c r="F232" s="18"/>
      <c r="G232" s="18"/>
      <c r="H232" s="18"/>
    </row>
    <row r="233" spans="1:8" ht="13.8" x14ac:dyDescent="0.3">
      <c r="A233" s="14"/>
      <c r="B233" s="17" t="s">
        <v>63</v>
      </c>
      <c r="C233" s="17"/>
      <c r="D233" s="17"/>
      <c r="E233" s="17"/>
      <c r="F233" s="17"/>
      <c r="G233" s="17"/>
      <c r="H233" s="17"/>
    </row>
    <row r="234" spans="1:8" ht="13.8" x14ac:dyDescent="0.3">
      <c r="A234" s="14"/>
      <c r="B234" s="18" t="s">
        <v>63</v>
      </c>
      <c r="C234" s="18"/>
      <c r="D234" s="18"/>
      <c r="E234" s="18"/>
      <c r="F234" s="18"/>
      <c r="G234" s="18"/>
      <c r="H234" s="18"/>
    </row>
    <row r="235" spans="1:8" ht="13.8" x14ac:dyDescent="0.3">
      <c r="A235" s="14"/>
      <c r="B235" s="17" t="s">
        <v>63</v>
      </c>
      <c r="C235" s="17"/>
      <c r="D235" s="17"/>
      <c r="E235" s="17"/>
      <c r="F235" s="17"/>
      <c r="G235" s="17"/>
      <c r="H235" s="17"/>
    </row>
    <row r="236" spans="1:8" ht="13.8" x14ac:dyDescent="0.3">
      <c r="A236" s="14"/>
      <c r="B236" s="18" t="s">
        <v>63</v>
      </c>
      <c r="C236" s="18"/>
      <c r="D236" s="18"/>
      <c r="E236" s="18"/>
      <c r="F236" s="18"/>
      <c r="G236" s="18"/>
      <c r="H236" s="18"/>
    </row>
    <row r="237" spans="1:8" ht="13.8" x14ac:dyDescent="0.3">
      <c r="A237" s="14"/>
      <c r="B237" s="17" t="s">
        <v>63</v>
      </c>
      <c r="C237" s="17"/>
      <c r="D237" s="17"/>
      <c r="E237" s="17"/>
      <c r="F237" s="17"/>
      <c r="G237" s="17"/>
      <c r="H237" s="17"/>
    </row>
    <row r="238" spans="1:8" ht="13.8" x14ac:dyDescent="0.3">
      <c r="A238" s="14"/>
      <c r="B238" s="18" t="s">
        <v>63</v>
      </c>
      <c r="C238" s="18"/>
      <c r="D238" s="18"/>
      <c r="E238" s="18"/>
      <c r="F238" s="18"/>
      <c r="G238" s="18"/>
      <c r="H238" s="18"/>
    </row>
    <row r="239" spans="1:8" ht="13.8" x14ac:dyDescent="0.3">
      <c r="A239" s="14"/>
      <c r="B239" s="17" t="s">
        <v>63</v>
      </c>
      <c r="C239" s="17"/>
      <c r="D239" s="17"/>
      <c r="E239" s="17"/>
      <c r="F239" s="17"/>
      <c r="G239" s="17"/>
      <c r="H239" s="17"/>
    </row>
    <row r="240" spans="1:8" ht="13.8" x14ac:dyDescent="0.3">
      <c r="A240" s="14"/>
      <c r="B240" s="18" t="s">
        <v>63</v>
      </c>
      <c r="C240" s="18"/>
      <c r="D240" s="18"/>
      <c r="E240" s="18"/>
      <c r="F240" s="18"/>
      <c r="G240" s="18"/>
      <c r="H240" s="18"/>
    </row>
    <row r="241" spans="1:8" ht="13.8" x14ac:dyDescent="0.3">
      <c r="A241" s="14"/>
      <c r="B241" s="17" t="s">
        <v>63</v>
      </c>
      <c r="C241" s="17"/>
      <c r="D241" s="17"/>
      <c r="E241" s="17"/>
      <c r="F241" s="17"/>
      <c r="G241" s="17"/>
      <c r="H241" s="17"/>
    </row>
    <row r="242" spans="1:8" ht="13.8" x14ac:dyDescent="0.3">
      <c r="A242" s="14"/>
      <c r="B242" s="18" t="s">
        <v>63</v>
      </c>
      <c r="C242" s="18"/>
      <c r="D242" s="18"/>
      <c r="E242" s="18"/>
      <c r="F242" s="18"/>
      <c r="G242" s="18"/>
      <c r="H242" s="18"/>
    </row>
    <row r="243" spans="1:8" ht="13.8" x14ac:dyDescent="0.3">
      <c r="A243" s="14"/>
      <c r="B243" s="17" t="s">
        <v>63</v>
      </c>
      <c r="C243" s="17"/>
      <c r="D243" s="17"/>
      <c r="E243" s="17"/>
      <c r="F243" s="17"/>
      <c r="G243" s="17"/>
      <c r="H243" s="17"/>
    </row>
    <row r="244" spans="1:8" ht="13.8" x14ac:dyDescent="0.3">
      <c r="A244" s="14"/>
      <c r="B244" s="18" t="s">
        <v>63</v>
      </c>
      <c r="C244" s="18"/>
      <c r="D244" s="18"/>
      <c r="E244" s="18"/>
      <c r="F244" s="18"/>
      <c r="G244" s="18"/>
      <c r="H244" s="18"/>
    </row>
    <row r="245" spans="1:8" ht="13.8" x14ac:dyDescent="0.3">
      <c r="A245" s="14"/>
      <c r="B245" s="17" t="s">
        <v>63</v>
      </c>
      <c r="C245" s="17"/>
      <c r="D245" s="17"/>
      <c r="E245" s="17"/>
      <c r="F245" s="17"/>
      <c r="G245" s="17"/>
      <c r="H245" s="17"/>
    </row>
    <row r="246" spans="1:8" ht="13.8" x14ac:dyDescent="0.3">
      <c r="A246" s="14"/>
      <c r="B246" s="18" t="s">
        <v>63</v>
      </c>
      <c r="C246" s="18"/>
      <c r="D246" s="18"/>
      <c r="E246" s="18"/>
      <c r="F246" s="18"/>
      <c r="G246" s="18"/>
      <c r="H246" s="18"/>
    </row>
    <row r="247" spans="1:8" ht="13.8" x14ac:dyDescent="0.3">
      <c r="A247" s="14"/>
      <c r="B247" s="17" t="s">
        <v>63</v>
      </c>
      <c r="C247" s="17"/>
      <c r="D247" s="17"/>
      <c r="E247" s="17"/>
      <c r="F247" s="17"/>
      <c r="G247" s="17"/>
      <c r="H247" s="17"/>
    </row>
    <row r="248" spans="1:8" ht="13.8" x14ac:dyDescent="0.3">
      <c r="A248" s="14"/>
      <c r="B248" s="18" t="s">
        <v>63</v>
      </c>
      <c r="C248" s="18"/>
      <c r="D248" s="18"/>
      <c r="E248" s="18"/>
      <c r="F248" s="18"/>
      <c r="G248" s="18"/>
      <c r="H248" s="18"/>
    </row>
    <row r="249" spans="1:8" ht="13.8" x14ac:dyDescent="0.3">
      <c r="A249" s="14"/>
      <c r="B249" s="17" t="s">
        <v>63</v>
      </c>
      <c r="C249" s="17"/>
      <c r="D249" s="17"/>
      <c r="E249" s="17"/>
      <c r="F249" s="17"/>
      <c r="G249" s="17"/>
      <c r="H249" s="17"/>
    </row>
    <row r="250" spans="1:8" ht="13.8" x14ac:dyDescent="0.3">
      <c r="A250" s="14"/>
      <c r="B250" s="18" t="s">
        <v>63</v>
      </c>
      <c r="C250" s="18"/>
      <c r="D250" s="18"/>
      <c r="E250" s="18"/>
      <c r="F250" s="18"/>
      <c r="G250" s="18"/>
      <c r="H250" s="18"/>
    </row>
    <row r="251" spans="1:8" ht="13.8" x14ac:dyDescent="0.3">
      <c r="A251" s="14"/>
      <c r="B251" s="17" t="s">
        <v>63</v>
      </c>
      <c r="C251" s="17"/>
      <c r="D251" s="17"/>
      <c r="E251" s="17"/>
      <c r="F251" s="17"/>
      <c r="G251" s="17"/>
      <c r="H251" s="17"/>
    </row>
    <row r="252" spans="1:8" ht="13.8" x14ac:dyDescent="0.3">
      <c r="A252" s="14"/>
      <c r="B252" s="18" t="s">
        <v>63</v>
      </c>
      <c r="C252" s="18"/>
      <c r="D252" s="18"/>
      <c r="E252" s="18"/>
      <c r="F252" s="18"/>
      <c r="G252" s="18"/>
      <c r="H252" s="18"/>
    </row>
    <row r="253" spans="1:8" ht="13.8" x14ac:dyDescent="0.3">
      <c r="A253" s="14"/>
      <c r="B253" s="17" t="s">
        <v>63</v>
      </c>
      <c r="C253" s="17"/>
      <c r="D253" s="17"/>
      <c r="E253" s="17"/>
      <c r="F253" s="17"/>
      <c r="G253" s="17"/>
      <c r="H253" s="17"/>
    </row>
    <row r="254" spans="1:8" ht="13.8" x14ac:dyDescent="0.3">
      <c r="A254" s="14"/>
      <c r="B254" s="18" t="s">
        <v>63</v>
      </c>
      <c r="C254" s="18"/>
      <c r="D254" s="18"/>
      <c r="E254" s="18"/>
      <c r="F254" s="18"/>
      <c r="G254" s="18"/>
      <c r="H254" s="18"/>
    </row>
    <row r="255" spans="1:8" ht="13.8" x14ac:dyDescent="0.3">
      <c r="A255" s="14"/>
      <c r="B255" s="17" t="s">
        <v>63</v>
      </c>
      <c r="C255" s="17"/>
      <c r="D255" s="17"/>
      <c r="E255" s="17"/>
      <c r="F255" s="17"/>
      <c r="G255" s="17"/>
      <c r="H255" s="17"/>
    </row>
    <row r="256" spans="1:8" ht="13.8" x14ac:dyDescent="0.3">
      <c r="A256" s="14"/>
      <c r="B256" s="18" t="s">
        <v>63</v>
      </c>
      <c r="C256" s="18"/>
      <c r="D256" s="18"/>
      <c r="E256" s="18"/>
      <c r="F256" s="18"/>
      <c r="G256" s="18"/>
      <c r="H256" s="18"/>
    </row>
    <row r="257" spans="1:8" ht="13.8" x14ac:dyDescent="0.3">
      <c r="A257" s="14"/>
      <c r="B257" s="17" t="s">
        <v>63</v>
      </c>
      <c r="C257" s="17"/>
      <c r="D257" s="17"/>
      <c r="E257" s="17"/>
      <c r="F257" s="17"/>
      <c r="G257" s="17"/>
      <c r="H257" s="17"/>
    </row>
    <row r="258" spans="1:8" ht="13.8" x14ac:dyDescent="0.3">
      <c r="A258" s="14"/>
      <c r="B258" s="18" t="s">
        <v>63</v>
      </c>
      <c r="C258" s="18"/>
      <c r="D258" s="18"/>
      <c r="E258" s="18"/>
      <c r="F258" s="18"/>
      <c r="G258" s="18"/>
      <c r="H258" s="18"/>
    </row>
    <row r="259" spans="1:8" ht="13.8" x14ac:dyDescent="0.3">
      <c r="A259" s="14"/>
      <c r="B259" s="17" t="s">
        <v>63</v>
      </c>
      <c r="C259" s="17"/>
      <c r="D259" s="17"/>
      <c r="E259" s="17"/>
      <c r="F259" s="17"/>
      <c r="G259" s="17"/>
      <c r="H259" s="17"/>
    </row>
    <row r="260" spans="1:8" ht="13.8" x14ac:dyDescent="0.3">
      <c r="A260" s="14"/>
      <c r="B260" s="18" t="s">
        <v>63</v>
      </c>
      <c r="C260" s="18"/>
      <c r="D260" s="18"/>
      <c r="E260" s="18"/>
      <c r="F260" s="18"/>
      <c r="G260" s="18"/>
      <c r="H260" s="18"/>
    </row>
    <row r="261" spans="1:8" ht="13.8" x14ac:dyDescent="0.3">
      <c r="A261" s="14"/>
      <c r="B261" s="17" t="s">
        <v>63</v>
      </c>
      <c r="C261" s="17"/>
      <c r="D261" s="17"/>
      <c r="E261" s="17"/>
      <c r="F261" s="17"/>
      <c r="G261" s="17"/>
      <c r="H261" s="17"/>
    </row>
    <row r="262" spans="1:8" ht="13.8" x14ac:dyDescent="0.3">
      <c r="A262" s="14"/>
      <c r="B262" s="18" t="s">
        <v>63</v>
      </c>
      <c r="C262" s="18"/>
      <c r="D262" s="18"/>
      <c r="E262" s="18"/>
      <c r="F262" s="18"/>
      <c r="G262" s="18"/>
      <c r="H262" s="18"/>
    </row>
    <row r="263" spans="1:8" ht="13.8" x14ac:dyDescent="0.3">
      <c r="A263" s="14"/>
      <c r="B263" s="17" t="s">
        <v>63</v>
      </c>
      <c r="C263" s="17"/>
      <c r="D263" s="17"/>
      <c r="E263" s="17"/>
      <c r="F263" s="17"/>
      <c r="G263" s="17"/>
      <c r="H263" s="17"/>
    </row>
    <row r="264" spans="1:8" ht="13.8" x14ac:dyDescent="0.3">
      <c r="A264" s="14"/>
      <c r="B264" s="18" t="s">
        <v>63</v>
      </c>
      <c r="C264" s="18"/>
      <c r="D264" s="18"/>
      <c r="E264" s="18"/>
      <c r="F264" s="18"/>
      <c r="G264" s="18"/>
      <c r="H264" s="18"/>
    </row>
    <row r="265" spans="1:8" ht="13.8" x14ac:dyDescent="0.3">
      <c r="A265" s="14"/>
      <c r="B265" s="17" t="s">
        <v>63</v>
      </c>
      <c r="C265" s="17"/>
      <c r="D265" s="17"/>
      <c r="E265" s="17"/>
      <c r="F265" s="17"/>
      <c r="G265" s="17"/>
      <c r="H265" s="17"/>
    </row>
    <row r="266" spans="1:8" ht="13.8" x14ac:dyDescent="0.3">
      <c r="A266" s="14"/>
      <c r="B266" s="18" t="s">
        <v>63</v>
      </c>
      <c r="C266" s="18"/>
      <c r="D266" s="18"/>
      <c r="E266" s="18"/>
      <c r="F266" s="18"/>
      <c r="G266" s="18"/>
      <c r="H266" s="18"/>
    </row>
    <row r="267" spans="1:8" ht="13.8" x14ac:dyDescent="0.3">
      <c r="A267" s="14"/>
      <c r="B267" s="17" t="s">
        <v>63</v>
      </c>
      <c r="C267" s="17"/>
      <c r="D267" s="17"/>
      <c r="E267" s="17"/>
      <c r="F267" s="17"/>
      <c r="G267" s="17"/>
      <c r="H267" s="17"/>
    </row>
    <row r="268" spans="1:8" ht="13.8" x14ac:dyDescent="0.3">
      <c r="A268" s="14"/>
      <c r="B268" s="18" t="s">
        <v>63</v>
      </c>
      <c r="C268" s="18"/>
      <c r="D268" s="18"/>
      <c r="E268" s="18"/>
      <c r="F268" s="18"/>
      <c r="G268" s="18"/>
      <c r="H268" s="18"/>
    </row>
    <row r="269" spans="1:8" ht="13.8" x14ac:dyDescent="0.3">
      <c r="A269" s="14"/>
      <c r="B269" s="17" t="s">
        <v>63</v>
      </c>
      <c r="C269" s="17"/>
      <c r="D269" s="17"/>
      <c r="E269" s="17"/>
      <c r="F269" s="17"/>
      <c r="G269" s="17"/>
      <c r="H269" s="17"/>
    </row>
    <row r="270" spans="1:8" ht="13.8" x14ac:dyDescent="0.3">
      <c r="A270" s="14"/>
      <c r="B270" s="18" t="s">
        <v>63</v>
      </c>
      <c r="C270" s="18"/>
      <c r="D270" s="18"/>
      <c r="E270" s="18"/>
      <c r="F270" s="18"/>
      <c r="G270" s="18"/>
      <c r="H270" s="18"/>
    </row>
    <row r="271" spans="1:8" ht="13.8" x14ac:dyDescent="0.3">
      <c r="A271" s="14"/>
      <c r="B271" s="17" t="s">
        <v>63</v>
      </c>
      <c r="C271" s="17"/>
      <c r="D271" s="17"/>
      <c r="E271" s="17"/>
      <c r="F271" s="17"/>
      <c r="G271" s="17"/>
      <c r="H271" s="17"/>
    </row>
    <row r="272" spans="1:8" ht="13.8" x14ac:dyDescent="0.3">
      <c r="A272" s="14"/>
      <c r="B272" s="18" t="s">
        <v>63</v>
      </c>
      <c r="C272" s="18"/>
      <c r="D272" s="18"/>
      <c r="E272" s="18"/>
      <c r="F272" s="18"/>
      <c r="G272" s="18"/>
      <c r="H272" s="18"/>
    </row>
    <row r="273" spans="1:8" ht="13.8" x14ac:dyDescent="0.3">
      <c r="A273" s="14"/>
      <c r="B273" s="17" t="s">
        <v>63</v>
      </c>
      <c r="C273" s="17"/>
      <c r="D273" s="17"/>
      <c r="E273" s="17"/>
      <c r="F273" s="17"/>
      <c r="G273" s="17"/>
      <c r="H273" s="17"/>
    </row>
    <row r="274" spans="1:8" ht="13.8" x14ac:dyDescent="0.3">
      <c r="A274" s="14"/>
      <c r="B274" s="18" t="s">
        <v>63</v>
      </c>
      <c r="C274" s="18"/>
      <c r="D274" s="18"/>
      <c r="E274" s="18"/>
      <c r="F274" s="18"/>
      <c r="G274" s="18"/>
      <c r="H274" s="18"/>
    </row>
    <row r="275" spans="1:8" ht="13.8" x14ac:dyDescent="0.3">
      <c r="A275" s="14"/>
      <c r="B275" s="17" t="s">
        <v>63</v>
      </c>
      <c r="C275" s="17"/>
      <c r="D275" s="17"/>
      <c r="E275" s="17"/>
      <c r="F275" s="17"/>
      <c r="G275" s="17"/>
      <c r="H275" s="17"/>
    </row>
    <row r="276" spans="1:8" ht="13.8" x14ac:dyDescent="0.3">
      <c r="A276" s="14"/>
      <c r="B276" s="18" t="s">
        <v>63</v>
      </c>
      <c r="C276" s="18"/>
      <c r="D276" s="18"/>
      <c r="E276" s="18"/>
      <c r="F276" s="18"/>
      <c r="G276" s="18"/>
      <c r="H276" s="18"/>
    </row>
    <row r="277" spans="1:8" ht="13.8" x14ac:dyDescent="0.3">
      <c r="A277" s="14"/>
      <c r="B277" s="17" t="s">
        <v>63</v>
      </c>
      <c r="C277" s="17"/>
      <c r="D277" s="17"/>
      <c r="E277" s="17"/>
      <c r="F277" s="17"/>
      <c r="G277" s="17"/>
      <c r="H277" s="17"/>
    </row>
    <row r="278" spans="1:8" ht="13.8" x14ac:dyDescent="0.3">
      <c r="A278" s="14"/>
      <c r="B278" s="18" t="s">
        <v>63</v>
      </c>
      <c r="C278" s="18"/>
      <c r="D278" s="18"/>
      <c r="E278" s="18"/>
      <c r="F278" s="18"/>
      <c r="G278" s="18"/>
      <c r="H278" s="18"/>
    </row>
    <row r="279" spans="1:8" ht="13.8" x14ac:dyDescent="0.3">
      <c r="A279" s="14"/>
      <c r="B279" s="17" t="s">
        <v>63</v>
      </c>
      <c r="C279" s="17"/>
      <c r="D279" s="17"/>
      <c r="E279" s="17"/>
      <c r="F279" s="17"/>
      <c r="G279" s="17"/>
      <c r="H279" s="17"/>
    </row>
    <row r="280" spans="1:8" ht="13.8" x14ac:dyDescent="0.3">
      <c r="A280" s="14"/>
      <c r="B280" s="18" t="s">
        <v>63</v>
      </c>
      <c r="C280" s="18"/>
      <c r="D280" s="18"/>
      <c r="E280" s="18"/>
      <c r="F280" s="18"/>
      <c r="G280" s="18"/>
      <c r="H280" s="18"/>
    </row>
    <row r="281" spans="1:8" ht="13.8" x14ac:dyDescent="0.3">
      <c r="A281" s="14"/>
      <c r="B281" s="17" t="s">
        <v>63</v>
      </c>
      <c r="C281" s="17"/>
      <c r="D281" s="17"/>
      <c r="E281" s="17"/>
      <c r="F281" s="17"/>
      <c r="G281" s="17"/>
      <c r="H281" s="17"/>
    </row>
    <row r="282" spans="1:8" ht="13.8" x14ac:dyDescent="0.3">
      <c r="A282" s="14"/>
      <c r="B282" s="18" t="s">
        <v>63</v>
      </c>
      <c r="C282" s="18"/>
      <c r="D282" s="18"/>
      <c r="E282" s="18"/>
      <c r="F282" s="18"/>
      <c r="G282" s="18"/>
      <c r="H282" s="18"/>
    </row>
    <row r="283" spans="1:8" ht="13.8" x14ac:dyDescent="0.3">
      <c r="A283" s="14"/>
      <c r="B283" s="17" t="s">
        <v>63</v>
      </c>
      <c r="C283" s="17"/>
      <c r="D283" s="17"/>
      <c r="E283" s="17"/>
      <c r="F283" s="17"/>
      <c r="G283" s="17"/>
      <c r="H283" s="17"/>
    </row>
    <row r="284" spans="1:8" ht="13.8" x14ac:dyDescent="0.3">
      <c r="A284" s="14"/>
      <c r="B284" s="18" t="s">
        <v>63</v>
      </c>
      <c r="C284" s="18"/>
      <c r="D284" s="18"/>
      <c r="E284" s="18"/>
      <c r="F284" s="18"/>
      <c r="G284" s="18"/>
      <c r="H284" s="18"/>
    </row>
    <row r="285" spans="1:8" ht="13.8" x14ac:dyDescent="0.3">
      <c r="A285" s="14"/>
      <c r="B285" s="17" t="s">
        <v>63</v>
      </c>
      <c r="C285" s="17"/>
      <c r="D285" s="17"/>
      <c r="E285" s="17"/>
      <c r="F285" s="17"/>
      <c r="G285" s="17"/>
      <c r="H285" s="17"/>
    </row>
    <row r="286" spans="1:8" ht="13.8" x14ac:dyDescent="0.3">
      <c r="A286" s="14"/>
      <c r="B286" s="18" t="s">
        <v>63</v>
      </c>
      <c r="C286" s="18"/>
      <c r="D286" s="18"/>
      <c r="E286" s="18"/>
      <c r="F286" s="18"/>
      <c r="G286" s="18"/>
      <c r="H286" s="18"/>
    </row>
    <row r="287" spans="1:8" ht="13.8" x14ac:dyDescent="0.3">
      <c r="A287" s="14"/>
      <c r="B287" s="17" t="s">
        <v>63</v>
      </c>
      <c r="C287" s="17"/>
      <c r="D287" s="17"/>
      <c r="E287" s="17"/>
      <c r="F287" s="17"/>
      <c r="G287" s="17"/>
      <c r="H287" s="17"/>
    </row>
    <row r="288" spans="1:8" ht="13.8" x14ac:dyDescent="0.3">
      <c r="A288" s="14"/>
      <c r="B288" s="18" t="s">
        <v>63</v>
      </c>
      <c r="C288" s="18"/>
      <c r="D288" s="18"/>
      <c r="E288" s="18"/>
      <c r="F288" s="18"/>
      <c r="G288" s="18"/>
      <c r="H288" s="18"/>
    </row>
    <row r="289" spans="1:8" ht="13.8" x14ac:dyDescent="0.3">
      <c r="A289" s="14"/>
      <c r="B289" s="17" t="s">
        <v>63</v>
      </c>
      <c r="C289" s="17"/>
      <c r="D289" s="17"/>
      <c r="E289" s="17"/>
      <c r="F289" s="17"/>
      <c r="G289" s="17"/>
      <c r="H289" s="17"/>
    </row>
    <row r="290" spans="1:8" ht="13.8" x14ac:dyDescent="0.3">
      <c r="A290" s="14"/>
      <c r="B290" s="18" t="s">
        <v>63</v>
      </c>
      <c r="C290" s="18"/>
      <c r="D290" s="18"/>
      <c r="E290" s="18"/>
      <c r="F290" s="18"/>
      <c r="G290" s="18"/>
      <c r="H290" s="18"/>
    </row>
    <row r="291" spans="1:8" ht="13.8" x14ac:dyDescent="0.3">
      <c r="A291" s="14"/>
      <c r="B291" s="17" t="s">
        <v>63</v>
      </c>
      <c r="C291" s="17"/>
      <c r="D291" s="17"/>
      <c r="E291" s="17"/>
      <c r="F291" s="17"/>
      <c r="G291" s="17"/>
      <c r="H291" s="17"/>
    </row>
    <row r="292" spans="1:8" ht="13.8" x14ac:dyDescent="0.3">
      <c r="A292" s="14"/>
      <c r="B292" s="18" t="s">
        <v>63</v>
      </c>
      <c r="C292" s="18"/>
      <c r="D292" s="18"/>
      <c r="E292" s="18"/>
      <c r="F292" s="18"/>
      <c r="G292" s="18"/>
      <c r="H292" s="18"/>
    </row>
    <row r="293" spans="1:8" ht="13.8" x14ac:dyDescent="0.3">
      <c r="A293" s="14"/>
      <c r="B293" s="17" t="s">
        <v>63</v>
      </c>
      <c r="C293" s="17"/>
      <c r="D293" s="17"/>
      <c r="E293" s="17"/>
      <c r="F293" s="17"/>
      <c r="G293" s="17"/>
      <c r="H293" s="17"/>
    </row>
    <row r="294" spans="1:8" ht="13.8" x14ac:dyDescent="0.3">
      <c r="A294" s="14"/>
      <c r="B294" s="18" t="s">
        <v>63</v>
      </c>
      <c r="C294" s="18"/>
      <c r="D294" s="18"/>
      <c r="E294" s="18"/>
      <c r="F294" s="18"/>
      <c r="G294" s="18"/>
      <c r="H294" s="18"/>
    </row>
    <row r="295" spans="1:8" ht="13.8" x14ac:dyDescent="0.3">
      <c r="A295" s="14"/>
      <c r="B295" s="17" t="s">
        <v>63</v>
      </c>
      <c r="C295" s="17"/>
      <c r="D295" s="17"/>
      <c r="E295" s="17"/>
      <c r="F295" s="17"/>
      <c r="G295" s="17"/>
      <c r="H295" s="17"/>
    </row>
    <row r="296" spans="1:8" ht="13.8" x14ac:dyDescent="0.3">
      <c r="A296" s="14"/>
      <c r="B296" s="18" t="s">
        <v>63</v>
      </c>
      <c r="C296" s="18"/>
      <c r="D296" s="18"/>
      <c r="E296" s="18"/>
      <c r="F296" s="18"/>
      <c r="G296" s="18"/>
      <c r="H296" s="18"/>
    </row>
    <row r="297" spans="1:8" ht="13.8" x14ac:dyDescent="0.3">
      <c r="A297" s="14"/>
      <c r="B297" s="17" t="s">
        <v>63</v>
      </c>
      <c r="C297" s="17"/>
      <c r="D297" s="17"/>
      <c r="E297" s="17"/>
      <c r="F297" s="17"/>
      <c r="G297" s="17"/>
      <c r="H297" s="17"/>
    </row>
    <row r="298" spans="1:8" ht="13.8" x14ac:dyDescent="0.3">
      <c r="A298" s="14"/>
      <c r="B298" s="18" t="s">
        <v>63</v>
      </c>
      <c r="C298" s="18"/>
      <c r="D298" s="18"/>
      <c r="E298" s="18"/>
      <c r="F298" s="18"/>
      <c r="G298" s="18"/>
      <c r="H298" s="18"/>
    </row>
    <row r="299" spans="1:8" ht="13.8" x14ac:dyDescent="0.3">
      <c r="A299" s="14"/>
      <c r="B299" s="17" t="s">
        <v>63</v>
      </c>
      <c r="C299" s="17"/>
      <c r="D299" s="17"/>
      <c r="E299" s="17"/>
      <c r="F299" s="17"/>
      <c r="G299" s="17"/>
      <c r="H299" s="17"/>
    </row>
    <row r="300" spans="1:8" ht="13.8" x14ac:dyDescent="0.3">
      <c r="A300" s="14"/>
      <c r="B300" s="18" t="s">
        <v>63</v>
      </c>
      <c r="C300" s="18"/>
      <c r="D300" s="18"/>
      <c r="E300" s="18"/>
      <c r="F300" s="18"/>
      <c r="G300" s="18"/>
      <c r="H300" s="18"/>
    </row>
    <row r="301" spans="1:8" ht="13.8" x14ac:dyDescent="0.3">
      <c r="A301" s="14"/>
      <c r="B301" s="17" t="s">
        <v>63</v>
      </c>
      <c r="C301" s="17"/>
      <c r="D301" s="17"/>
      <c r="E301" s="17"/>
      <c r="F301" s="17"/>
      <c r="G301" s="17"/>
      <c r="H301" s="17"/>
    </row>
    <row r="302" spans="1:8" ht="13.8" x14ac:dyDescent="0.3">
      <c r="A302" s="14"/>
      <c r="B302" s="18" t="s">
        <v>63</v>
      </c>
      <c r="C302" s="18"/>
      <c r="D302" s="18"/>
      <c r="E302" s="18"/>
      <c r="F302" s="18"/>
      <c r="G302" s="18"/>
      <c r="H302" s="18"/>
    </row>
    <row r="303" spans="1:8" ht="13.8" x14ac:dyDescent="0.3">
      <c r="A303" s="14"/>
      <c r="B303" s="17" t="s">
        <v>63</v>
      </c>
      <c r="C303" s="17"/>
      <c r="D303" s="17"/>
      <c r="E303" s="17"/>
      <c r="F303" s="17"/>
      <c r="G303" s="17"/>
      <c r="H303" s="17"/>
    </row>
    <row r="304" spans="1:8" ht="13.8" x14ac:dyDescent="0.3">
      <c r="A304" s="14"/>
      <c r="B304" s="18" t="s">
        <v>63</v>
      </c>
      <c r="C304" s="18"/>
      <c r="D304" s="18"/>
      <c r="E304" s="18"/>
      <c r="F304" s="18"/>
      <c r="G304" s="18"/>
      <c r="H304" s="18"/>
    </row>
    <row r="305" spans="1:8" ht="13.8" x14ac:dyDescent="0.3">
      <c r="A305" s="14"/>
      <c r="B305" s="17" t="s">
        <v>63</v>
      </c>
      <c r="C305" s="17"/>
      <c r="D305" s="17"/>
      <c r="E305" s="17"/>
      <c r="F305" s="17"/>
      <c r="G305" s="17"/>
      <c r="H305" s="17"/>
    </row>
    <row r="306" spans="1:8" ht="13.8" x14ac:dyDescent="0.3">
      <c r="A306" s="14"/>
      <c r="B306" s="18" t="s">
        <v>63</v>
      </c>
      <c r="C306" s="18"/>
      <c r="D306" s="18"/>
      <c r="E306" s="18"/>
      <c r="F306" s="18"/>
      <c r="G306" s="18"/>
      <c r="H306" s="18"/>
    </row>
    <row r="307" spans="1:8" ht="13.8" x14ac:dyDescent="0.3">
      <c r="A307" s="14"/>
      <c r="B307" s="17" t="s">
        <v>63</v>
      </c>
      <c r="C307" s="17"/>
      <c r="D307" s="17"/>
      <c r="E307" s="17"/>
      <c r="F307" s="17"/>
      <c r="G307" s="17"/>
      <c r="H307" s="17"/>
    </row>
    <row r="308" spans="1:8" ht="13.8" x14ac:dyDescent="0.3">
      <c r="A308" s="14"/>
      <c r="B308" s="18" t="s">
        <v>63</v>
      </c>
      <c r="C308" s="18"/>
      <c r="D308" s="18"/>
      <c r="E308" s="18"/>
      <c r="F308" s="18"/>
      <c r="G308" s="18"/>
      <c r="H308" s="18"/>
    </row>
    <row r="309" spans="1:8" ht="13.8" x14ac:dyDescent="0.3">
      <c r="A309" s="14"/>
      <c r="B309" s="17" t="s">
        <v>63</v>
      </c>
      <c r="C309" s="17"/>
      <c r="D309" s="17"/>
      <c r="E309" s="17"/>
      <c r="F309" s="17"/>
      <c r="G309" s="17"/>
      <c r="H309" s="17"/>
    </row>
    <row r="310" spans="1:8" ht="13.8" x14ac:dyDescent="0.3">
      <c r="A310" s="14"/>
      <c r="B310" s="18" t="s">
        <v>63</v>
      </c>
      <c r="C310" s="18"/>
      <c r="D310" s="18"/>
      <c r="E310" s="18"/>
      <c r="F310" s="18"/>
      <c r="G310" s="18"/>
      <c r="H310" s="18"/>
    </row>
    <row r="311" spans="1:8" ht="13.8" x14ac:dyDescent="0.3">
      <c r="A311" s="14"/>
      <c r="B311" s="17" t="s">
        <v>63</v>
      </c>
      <c r="C311" s="17"/>
      <c r="D311" s="17"/>
      <c r="E311" s="17"/>
      <c r="F311" s="17"/>
      <c r="G311" s="17"/>
      <c r="H311" s="17"/>
    </row>
    <row r="312" spans="1:8" ht="13.8" x14ac:dyDescent="0.3">
      <c r="A312" s="14"/>
      <c r="B312" s="18" t="s">
        <v>63</v>
      </c>
      <c r="C312" s="18"/>
      <c r="D312" s="18"/>
      <c r="E312" s="18"/>
      <c r="F312" s="18"/>
      <c r="G312" s="18"/>
      <c r="H312" s="18"/>
    </row>
    <row r="313" spans="1:8" ht="13.8" x14ac:dyDescent="0.3">
      <c r="A313" s="14"/>
      <c r="B313" s="17" t="s">
        <v>63</v>
      </c>
      <c r="C313" s="17"/>
      <c r="D313" s="17"/>
      <c r="E313" s="17"/>
      <c r="F313" s="17"/>
      <c r="G313" s="17"/>
      <c r="H313" s="17"/>
    </row>
    <row r="314" spans="1:8" ht="13.8" x14ac:dyDescent="0.3">
      <c r="A314" s="14"/>
      <c r="B314" s="18" t="s">
        <v>63</v>
      </c>
      <c r="C314" s="18"/>
      <c r="D314" s="18"/>
      <c r="E314" s="18"/>
      <c r="F314" s="18"/>
      <c r="G314" s="18"/>
      <c r="H314" s="18"/>
    </row>
    <row r="315" spans="1:8" ht="13.8" x14ac:dyDescent="0.3">
      <c r="A315" s="14"/>
      <c r="B315" s="17" t="s">
        <v>63</v>
      </c>
      <c r="C315" s="17"/>
      <c r="D315" s="17"/>
      <c r="E315" s="17"/>
      <c r="F315" s="17"/>
      <c r="G315" s="17"/>
      <c r="H315" s="17"/>
    </row>
    <row r="316" spans="1:8" ht="13.8" x14ac:dyDescent="0.3">
      <c r="A316" s="14"/>
      <c r="B316" s="18" t="s">
        <v>63</v>
      </c>
      <c r="C316" s="18"/>
      <c r="D316" s="18"/>
      <c r="E316" s="18"/>
      <c r="F316" s="18"/>
      <c r="G316" s="18"/>
      <c r="H316" s="18"/>
    </row>
    <row r="317" spans="1:8" ht="13.8" x14ac:dyDescent="0.3">
      <c r="A317" s="14"/>
      <c r="B317" s="17" t="s">
        <v>63</v>
      </c>
      <c r="C317" s="17"/>
      <c r="D317" s="17"/>
      <c r="E317" s="17"/>
      <c r="F317" s="17"/>
      <c r="G317" s="17"/>
      <c r="H317" s="17"/>
    </row>
    <row r="318" spans="1:8" ht="13.8" x14ac:dyDescent="0.3">
      <c r="A318" s="14"/>
      <c r="B318" s="18" t="s">
        <v>63</v>
      </c>
      <c r="C318" s="18"/>
      <c r="D318" s="18"/>
      <c r="E318" s="18"/>
      <c r="F318" s="18"/>
      <c r="G318" s="18"/>
      <c r="H318" s="18"/>
    </row>
    <row r="319" spans="1:8" ht="13.8" x14ac:dyDescent="0.3">
      <c r="A319" s="14"/>
      <c r="B319" s="17" t="s">
        <v>63</v>
      </c>
      <c r="C319" s="17"/>
      <c r="D319" s="17"/>
      <c r="E319" s="17"/>
      <c r="F319" s="17"/>
      <c r="G319" s="17"/>
      <c r="H319" s="17"/>
    </row>
    <row r="320" spans="1:8" ht="13.8" x14ac:dyDescent="0.3">
      <c r="A320" s="14"/>
      <c r="B320" s="18" t="s">
        <v>63</v>
      </c>
      <c r="C320" s="18"/>
      <c r="D320" s="18"/>
      <c r="E320" s="18"/>
      <c r="F320" s="18"/>
      <c r="G320" s="18"/>
      <c r="H320" s="18"/>
    </row>
    <row r="321" spans="1:8" ht="13.8" x14ac:dyDescent="0.3">
      <c r="A321" s="14"/>
      <c r="B321" s="17" t="s">
        <v>63</v>
      </c>
      <c r="C321" s="17"/>
      <c r="D321" s="17"/>
      <c r="E321" s="17"/>
      <c r="F321" s="17"/>
      <c r="G321" s="17"/>
      <c r="H321" s="17"/>
    </row>
    <row r="322" spans="1:8" ht="13.8" x14ac:dyDescent="0.3">
      <c r="A322" s="14"/>
      <c r="B322" s="18" t="s">
        <v>63</v>
      </c>
      <c r="C322" s="18"/>
      <c r="D322" s="18"/>
      <c r="E322" s="18"/>
      <c r="F322" s="18"/>
      <c r="G322" s="18"/>
      <c r="H322" s="18"/>
    </row>
    <row r="323" spans="1:8" ht="13.8" x14ac:dyDescent="0.3">
      <c r="A323" s="14"/>
      <c r="B323" s="17" t="s">
        <v>63</v>
      </c>
      <c r="C323" s="17"/>
      <c r="D323" s="17"/>
      <c r="E323" s="17"/>
      <c r="F323" s="17"/>
      <c r="G323" s="17"/>
      <c r="H323" s="17"/>
    </row>
    <row r="324" spans="1:8" ht="13.8" x14ac:dyDescent="0.3">
      <c r="A324" s="14"/>
      <c r="B324" s="18" t="s">
        <v>63</v>
      </c>
      <c r="C324" s="18"/>
      <c r="D324" s="18"/>
      <c r="E324" s="18"/>
      <c r="F324" s="18"/>
      <c r="G324" s="18"/>
      <c r="H324" s="18"/>
    </row>
    <row r="325" spans="1:8" ht="13.8" x14ac:dyDescent="0.3">
      <c r="A325" s="14"/>
      <c r="B325" s="17" t="s">
        <v>63</v>
      </c>
      <c r="C325" s="17"/>
      <c r="D325" s="17"/>
      <c r="E325" s="17"/>
      <c r="F325" s="17"/>
      <c r="G325" s="17"/>
      <c r="H325" s="17"/>
    </row>
    <row r="326" spans="1:8" ht="13.8" x14ac:dyDescent="0.3">
      <c r="A326" s="14"/>
      <c r="B326" s="18" t="s">
        <v>63</v>
      </c>
      <c r="C326" s="18"/>
      <c r="D326" s="18"/>
      <c r="E326" s="18"/>
      <c r="F326" s="18"/>
      <c r="G326" s="18"/>
      <c r="H326" s="18"/>
    </row>
    <row r="327" spans="1:8" ht="13.8" x14ac:dyDescent="0.3">
      <c r="A327" s="14"/>
      <c r="B327" s="17" t="s">
        <v>63</v>
      </c>
      <c r="C327" s="17"/>
      <c r="D327" s="17"/>
      <c r="E327" s="17"/>
      <c r="F327" s="17"/>
      <c r="G327" s="17"/>
      <c r="H327" s="17"/>
    </row>
    <row r="328" spans="1:8" ht="13.8" x14ac:dyDescent="0.3">
      <c r="A328" s="14"/>
      <c r="B328" s="18" t="s">
        <v>63</v>
      </c>
      <c r="C328" s="18"/>
      <c r="D328" s="18"/>
      <c r="E328" s="18"/>
      <c r="F328" s="18"/>
      <c r="G328" s="18"/>
      <c r="H328" s="18"/>
    </row>
    <row r="329" spans="1:8" ht="13.8" x14ac:dyDescent="0.3">
      <c r="A329" s="14"/>
      <c r="B329" s="17" t="s">
        <v>63</v>
      </c>
      <c r="C329" s="17"/>
      <c r="D329" s="17"/>
      <c r="E329" s="17"/>
      <c r="F329" s="17"/>
      <c r="G329" s="17"/>
      <c r="H329" s="17"/>
    </row>
    <row r="330" spans="1:8" ht="13.8" x14ac:dyDescent="0.3">
      <c r="A330" s="14"/>
      <c r="B330" s="18" t="s">
        <v>63</v>
      </c>
      <c r="C330" s="18"/>
      <c r="D330" s="18"/>
      <c r="E330" s="18"/>
      <c r="F330" s="18"/>
      <c r="G330" s="18"/>
      <c r="H330" s="18"/>
    </row>
    <row r="331" spans="1:8" ht="13.8" x14ac:dyDescent="0.3">
      <c r="A331" s="14"/>
      <c r="B331" s="17" t="s">
        <v>63</v>
      </c>
      <c r="C331" s="17"/>
      <c r="D331" s="17"/>
      <c r="E331" s="17"/>
      <c r="F331" s="17"/>
      <c r="G331" s="17"/>
      <c r="H331" s="17"/>
    </row>
    <row r="332" spans="1:8" ht="13.8" x14ac:dyDescent="0.3">
      <c r="A332" s="14"/>
      <c r="B332" s="18" t="s">
        <v>63</v>
      </c>
      <c r="C332" s="18"/>
      <c r="D332" s="18"/>
      <c r="E332" s="18"/>
      <c r="F332" s="18"/>
      <c r="G332" s="18"/>
      <c r="H332" s="18"/>
    </row>
    <row r="333" spans="1:8" ht="13.8" x14ac:dyDescent="0.3">
      <c r="A333" s="14"/>
      <c r="B333" s="17" t="s">
        <v>63</v>
      </c>
      <c r="C333" s="17"/>
      <c r="D333" s="17"/>
      <c r="E333" s="17"/>
      <c r="F333" s="17"/>
      <c r="G333" s="17"/>
      <c r="H333" s="17"/>
    </row>
    <row r="334" spans="1:8" ht="13.8" x14ac:dyDescent="0.3">
      <c r="A334" s="14"/>
      <c r="B334" s="18" t="s">
        <v>63</v>
      </c>
      <c r="C334" s="18"/>
      <c r="D334" s="18"/>
      <c r="E334" s="18"/>
      <c r="F334" s="18"/>
      <c r="G334" s="18"/>
      <c r="H334" s="18"/>
    </row>
    <row r="335" spans="1:8" ht="13.8" x14ac:dyDescent="0.3">
      <c r="A335" s="14"/>
      <c r="B335" s="17" t="s">
        <v>63</v>
      </c>
      <c r="C335" s="17"/>
      <c r="D335" s="17"/>
      <c r="E335" s="17"/>
      <c r="F335" s="17"/>
      <c r="G335" s="17"/>
      <c r="H335" s="17"/>
    </row>
    <row r="336" spans="1:8" ht="13.8" x14ac:dyDescent="0.3">
      <c r="A336" s="14"/>
      <c r="B336" s="18" t="s">
        <v>63</v>
      </c>
      <c r="C336" s="18"/>
      <c r="D336" s="18"/>
      <c r="E336" s="18"/>
      <c r="F336" s="18"/>
      <c r="G336" s="18"/>
      <c r="H336" s="18"/>
    </row>
    <row r="337" spans="1:8" ht="13.8" x14ac:dyDescent="0.3">
      <c r="A337" s="14"/>
      <c r="B337" s="17" t="s">
        <v>63</v>
      </c>
      <c r="C337" s="17"/>
      <c r="D337" s="17"/>
      <c r="E337" s="17"/>
      <c r="F337" s="17"/>
      <c r="G337" s="17"/>
      <c r="H337" s="17"/>
    </row>
    <row r="338" spans="1:8" ht="13.8" x14ac:dyDescent="0.3">
      <c r="A338" s="14"/>
      <c r="B338" s="18" t="s">
        <v>63</v>
      </c>
      <c r="C338" s="18"/>
      <c r="D338" s="18"/>
      <c r="E338" s="18"/>
      <c r="F338" s="18"/>
      <c r="G338" s="18"/>
      <c r="H338" s="18"/>
    </row>
    <row r="339" spans="1:8" ht="13.8" x14ac:dyDescent="0.3">
      <c r="A339" s="14"/>
      <c r="B339" s="17" t="s">
        <v>63</v>
      </c>
      <c r="C339" s="17"/>
      <c r="D339" s="17"/>
      <c r="E339" s="17"/>
      <c r="F339" s="17"/>
      <c r="G339" s="17"/>
      <c r="H339" s="17"/>
    </row>
    <row r="340" spans="1:8" ht="13.8" x14ac:dyDescent="0.3">
      <c r="A340" s="14"/>
      <c r="B340" s="18" t="s">
        <v>63</v>
      </c>
      <c r="C340" s="18"/>
      <c r="D340" s="18"/>
      <c r="E340" s="18"/>
      <c r="F340" s="18"/>
      <c r="G340" s="18"/>
      <c r="H340" s="18"/>
    </row>
    <row r="341" spans="1:8" ht="13.8" x14ac:dyDescent="0.3">
      <c r="A341" s="14"/>
      <c r="B341" s="17" t="s">
        <v>63</v>
      </c>
      <c r="C341" s="17"/>
      <c r="D341" s="17"/>
      <c r="E341" s="17"/>
      <c r="F341" s="17"/>
      <c r="G341" s="17"/>
      <c r="H341" s="17"/>
    </row>
    <row r="342" spans="1:8" ht="13.8" x14ac:dyDescent="0.3">
      <c r="A342" s="14"/>
      <c r="B342" s="18" t="s">
        <v>63</v>
      </c>
      <c r="C342" s="18"/>
      <c r="D342" s="18"/>
      <c r="E342" s="18"/>
      <c r="F342" s="18"/>
      <c r="G342" s="18"/>
      <c r="H342" s="18"/>
    </row>
    <row r="343" spans="1:8" ht="13.8" x14ac:dyDescent="0.3">
      <c r="A343" s="14"/>
      <c r="B343" s="17" t="s">
        <v>63</v>
      </c>
      <c r="C343" s="17"/>
      <c r="D343" s="17"/>
      <c r="E343" s="17"/>
      <c r="F343" s="17"/>
      <c r="G343" s="17"/>
      <c r="H343" s="17"/>
    </row>
    <row r="344" spans="1:8" ht="13.8" x14ac:dyDescent="0.3">
      <c r="A344" s="14"/>
      <c r="B344" s="18" t="s">
        <v>63</v>
      </c>
      <c r="C344" s="18"/>
      <c r="D344" s="18"/>
      <c r="E344" s="18"/>
      <c r="F344" s="18"/>
      <c r="G344" s="18"/>
      <c r="H344" s="18"/>
    </row>
    <row r="345" spans="1:8" ht="13.8" x14ac:dyDescent="0.3">
      <c r="A345" s="14"/>
      <c r="B345" s="17" t="s">
        <v>63</v>
      </c>
      <c r="C345" s="17"/>
      <c r="D345" s="17"/>
      <c r="E345" s="17"/>
      <c r="F345" s="17"/>
      <c r="G345" s="17"/>
      <c r="H345" s="17"/>
    </row>
    <row r="346" spans="1:8" ht="13.8" x14ac:dyDescent="0.3">
      <c r="A346" s="14"/>
      <c r="B346" s="18" t="s">
        <v>63</v>
      </c>
      <c r="C346" s="18"/>
      <c r="D346" s="18"/>
      <c r="E346" s="18"/>
      <c r="F346" s="18"/>
      <c r="G346" s="18"/>
      <c r="H346" s="18"/>
    </row>
    <row r="347" spans="1:8" ht="13.8" x14ac:dyDescent="0.3">
      <c r="A347" s="14"/>
      <c r="B347" s="17" t="s">
        <v>63</v>
      </c>
      <c r="C347" s="17"/>
      <c r="D347" s="17"/>
      <c r="E347" s="17"/>
      <c r="F347" s="17"/>
      <c r="G347" s="17"/>
      <c r="H347" s="17"/>
    </row>
    <row r="348" spans="1:8" ht="13.8" x14ac:dyDescent="0.3">
      <c r="A348" s="14"/>
      <c r="B348" s="18" t="s">
        <v>63</v>
      </c>
      <c r="C348" s="18"/>
      <c r="D348" s="18"/>
      <c r="E348" s="18"/>
      <c r="F348" s="18"/>
      <c r="G348" s="18"/>
      <c r="H348" s="18"/>
    </row>
    <row r="349" spans="1:8" ht="13.8" x14ac:dyDescent="0.3">
      <c r="A349" s="14"/>
      <c r="B349" s="17" t="s">
        <v>63</v>
      </c>
      <c r="C349" s="17"/>
      <c r="D349" s="17"/>
      <c r="E349" s="17"/>
      <c r="F349" s="17"/>
      <c r="G349" s="17"/>
      <c r="H349" s="17"/>
    </row>
    <row r="350" spans="1:8" ht="13.8" x14ac:dyDescent="0.3">
      <c r="A350" s="14"/>
      <c r="B350" s="18" t="s">
        <v>63</v>
      </c>
      <c r="C350" s="18"/>
      <c r="D350" s="18"/>
      <c r="E350" s="18"/>
      <c r="F350" s="18"/>
      <c r="G350" s="18"/>
      <c r="H350" s="18"/>
    </row>
    <row r="351" spans="1:8" ht="13.8" x14ac:dyDescent="0.3">
      <c r="A351" s="14"/>
      <c r="B351" s="17" t="s">
        <v>63</v>
      </c>
      <c r="C351" s="17"/>
      <c r="D351" s="17"/>
      <c r="E351" s="17"/>
      <c r="F351" s="17"/>
      <c r="G351" s="17"/>
      <c r="H351" s="17"/>
    </row>
    <row r="352" spans="1:8" ht="13.8" x14ac:dyDescent="0.3">
      <c r="A352" s="14"/>
      <c r="B352" s="18" t="s">
        <v>63</v>
      </c>
      <c r="C352" s="18"/>
      <c r="D352" s="18"/>
      <c r="E352" s="18"/>
      <c r="F352" s="18"/>
      <c r="G352" s="18"/>
      <c r="H352" s="18"/>
    </row>
    <row r="353" spans="1:8" ht="13.8" x14ac:dyDescent="0.3">
      <c r="A353" s="14"/>
      <c r="B353" s="17" t="s">
        <v>63</v>
      </c>
      <c r="C353" s="17"/>
      <c r="D353" s="17"/>
      <c r="E353" s="17"/>
      <c r="F353" s="17"/>
      <c r="G353" s="17"/>
      <c r="H353" s="17"/>
    </row>
    <row r="354" spans="1:8" ht="13.8" x14ac:dyDescent="0.3">
      <c r="A354" s="14"/>
      <c r="B354" s="18" t="s">
        <v>63</v>
      </c>
      <c r="C354" s="18"/>
      <c r="D354" s="18"/>
      <c r="E354" s="18"/>
      <c r="F354" s="18"/>
      <c r="G354" s="18"/>
      <c r="H354" s="18"/>
    </row>
    <row r="355" spans="1:8" ht="13.8" x14ac:dyDescent="0.3">
      <c r="A355" s="14"/>
      <c r="B355" s="17" t="s">
        <v>63</v>
      </c>
      <c r="C355" s="17"/>
      <c r="D355" s="17"/>
      <c r="E355" s="17"/>
      <c r="F355" s="17"/>
      <c r="G355" s="17"/>
      <c r="H355" s="17"/>
    </row>
    <row r="356" spans="1:8" ht="13.8" x14ac:dyDescent="0.3">
      <c r="A356" s="14"/>
      <c r="B356" s="18" t="s">
        <v>63</v>
      </c>
      <c r="C356" s="18"/>
      <c r="D356" s="18"/>
      <c r="E356" s="18"/>
      <c r="F356" s="18"/>
      <c r="G356" s="18"/>
      <c r="H356" s="18"/>
    </row>
    <row r="357" spans="1:8" ht="13.8" x14ac:dyDescent="0.3">
      <c r="A357" s="14"/>
      <c r="B357" s="17" t="s">
        <v>63</v>
      </c>
      <c r="C357" s="17"/>
      <c r="D357" s="17"/>
      <c r="E357" s="17"/>
      <c r="F357" s="17"/>
      <c r="G357" s="17"/>
      <c r="H357" s="17"/>
    </row>
    <row r="358" spans="1:8" ht="13.8" x14ac:dyDescent="0.3">
      <c r="A358" s="14"/>
      <c r="B358" s="18" t="s">
        <v>63</v>
      </c>
      <c r="C358" s="18"/>
      <c r="D358" s="18"/>
      <c r="E358" s="18"/>
      <c r="F358" s="18"/>
      <c r="G358" s="18"/>
      <c r="H358" s="18"/>
    </row>
    <row r="359" spans="1:8" ht="13.8" x14ac:dyDescent="0.3">
      <c r="A359" s="14"/>
      <c r="B359" s="17" t="s">
        <v>63</v>
      </c>
      <c r="C359" s="17"/>
      <c r="D359" s="17"/>
      <c r="E359" s="17"/>
      <c r="F359" s="17"/>
      <c r="G359" s="17"/>
      <c r="H359" s="17"/>
    </row>
    <row r="360" spans="1:8" ht="13.8" x14ac:dyDescent="0.3">
      <c r="A360" s="14"/>
      <c r="B360" s="18" t="s">
        <v>63</v>
      </c>
      <c r="C360" s="18"/>
      <c r="D360" s="18"/>
      <c r="E360" s="18"/>
      <c r="F360" s="18"/>
      <c r="G360" s="18"/>
      <c r="H360" s="18"/>
    </row>
    <row r="361" spans="1:8" ht="13.8" x14ac:dyDescent="0.3">
      <c r="A361" s="14"/>
      <c r="B361" s="17" t="s">
        <v>63</v>
      </c>
      <c r="C361" s="17"/>
      <c r="D361" s="17"/>
      <c r="E361" s="17"/>
      <c r="F361" s="17"/>
      <c r="G361" s="17"/>
      <c r="H361" s="17"/>
    </row>
    <row r="362" spans="1:8" ht="13.8" x14ac:dyDescent="0.3">
      <c r="A362" s="14"/>
      <c r="B362" s="18" t="s">
        <v>63</v>
      </c>
      <c r="C362" s="18"/>
      <c r="D362" s="18"/>
      <c r="E362" s="18"/>
      <c r="F362" s="18"/>
      <c r="G362" s="18"/>
      <c r="H362" s="18"/>
    </row>
    <row r="363" spans="1:8" ht="13.8" x14ac:dyDescent="0.3">
      <c r="A363" s="14"/>
      <c r="B363" s="17" t="s">
        <v>63</v>
      </c>
      <c r="C363" s="17"/>
      <c r="D363" s="17"/>
      <c r="E363" s="17"/>
      <c r="F363" s="17"/>
      <c r="G363" s="17"/>
      <c r="H363" s="17"/>
    </row>
    <row r="364" spans="1:8" ht="13.8" x14ac:dyDescent="0.3">
      <c r="A364" s="14"/>
      <c r="B364" s="18" t="s">
        <v>63</v>
      </c>
      <c r="C364" s="18"/>
      <c r="D364" s="18"/>
      <c r="E364" s="18"/>
      <c r="F364" s="18"/>
      <c r="G364" s="18"/>
      <c r="H364" s="18"/>
    </row>
    <row r="365" spans="1:8" ht="13.8" x14ac:dyDescent="0.3">
      <c r="A365" s="14"/>
      <c r="B365" s="17" t="s">
        <v>63</v>
      </c>
      <c r="C365" s="17"/>
      <c r="D365" s="17"/>
      <c r="E365" s="17"/>
      <c r="F365" s="17"/>
      <c r="G365" s="17"/>
      <c r="H365" s="17"/>
    </row>
    <row r="366" spans="1:8" ht="13.8" x14ac:dyDescent="0.3">
      <c r="A366" s="14"/>
      <c r="B366" s="18" t="s">
        <v>63</v>
      </c>
      <c r="C366" s="18"/>
      <c r="D366" s="18"/>
      <c r="E366" s="18"/>
      <c r="F366" s="18"/>
      <c r="G366" s="18"/>
      <c r="H366" s="18"/>
    </row>
    <row r="367" spans="1:8" ht="13.8" x14ac:dyDescent="0.3">
      <c r="A367" s="14"/>
      <c r="B367" s="17" t="s">
        <v>63</v>
      </c>
      <c r="C367" s="17"/>
      <c r="D367" s="17"/>
      <c r="E367" s="17"/>
      <c r="F367" s="17"/>
      <c r="G367" s="17"/>
      <c r="H367" s="17"/>
    </row>
    <row r="368" spans="1:8" ht="13.8" x14ac:dyDescent="0.3">
      <c r="A368" s="14"/>
      <c r="B368" s="18" t="s">
        <v>63</v>
      </c>
      <c r="C368" s="18"/>
      <c r="D368" s="18"/>
      <c r="E368" s="18"/>
      <c r="F368" s="18"/>
      <c r="G368" s="18"/>
      <c r="H368" s="18"/>
    </row>
    <row r="369" spans="1:8" ht="13.8" x14ac:dyDescent="0.3">
      <c r="A369" s="14"/>
      <c r="B369" s="17" t="s">
        <v>63</v>
      </c>
      <c r="C369" s="17"/>
      <c r="D369" s="17"/>
      <c r="E369" s="17"/>
      <c r="F369" s="17"/>
      <c r="G369" s="17"/>
      <c r="H369" s="17"/>
    </row>
    <row r="370" spans="1:8" ht="13.8" x14ac:dyDescent="0.3">
      <c r="A370" s="14"/>
      <c r="B370" s="18" t="s">
        <v>63</v>
      </c>
      <c r="C370" s="18"/>
      <c r="D370" s="18"/>
      <c r="E370" s="18"/>
      <c r="F370" s="18"/>
      <c r="G370" s="18"/>
      <c r="H370" s="18"/>
    </row>
    <row r="371" spans="1:8" ht="13.8" x14ac:dyDescent="0.3">
      <c r="A371" s="14"/>
      <c r="B371" s="17" t="s">
        <v>63</v>
      </c>
      <c r="C371" s="17"/>
      <c r="D371" s="17"/>
      <c r="E371" s="17"/>
      <c r="F371" s="17"/>
      <c r="G371" s="17"/>
      <c r="H371" s="17"/>
    </row>
    <row r="372" spans="1:8" ht="13.8" x14ac:dyDescent="0.3">
      <c r="A372" s="14"/>
      <c r="B372" s="18" t="s">
        <v>63</v>
      </c>
      <c r="C372" s="18"/>
      <c r="D372" s="18"/>
      <c r="E372" s="18"/>
      <c r="F372" s="18"/>
      <c r="G372" s="18"/>
      <c r="H372" s="18"/>
    </row>
    <row r="373" spans="1:8" ht="13.8" x14ac:dyDescent="0.3">
      <c r="A373" s="14"/>
      <c r="B373" s="17" t="s">
        <v>63</v>
      </c>
      <c r="C373" s="17"/>
      <c r="D373" s="17"/>
      <c r="E373" s="17"/>
      <c r="F373" s="17"/>
      <c r="G373" s="17"/>
      <c r="H373" s="17"/>
    </row>
    <row r="374" spans="1:8" ht="13.8" x14ac:dyDescent="0.3">
      <c r="A374" s="14"/>
      <c r="B374" s="18" t="s">
        <v>63</v>
      </c>
      <c r="C374" s="18"/>
      <c r="D374" s="18"/>
      <c r="E374" s="18"/>
      <c r="F374" s="18"/>
      <c r="G374" s="18"/>
      <c r="H374" s="18"/>
    </row>
    <row r="375" spans="1:8" ht="13.8" x14ac:dyDescent="0.3">
      <c r="A375" s="14"/>
      <c r="B375" s="17" t="s">
        <v>63</v>
      </c>
      <c r="C375" s="17"/>
      <c r="D375" s="17"/>
      <c r="E375" s="17"/>
      <c r="F375" s="17"/>
      <c r="G375" s="17"/>
      <c r="H375" s="17"/>
    </row>
    <row r="376" spans="1:8" ht="13.8" x14ac:dyDescent="0.3">
      <c r="A376" s="14"/>
      <c r="B376" s="18" t="s">
        <v>63</v>
      </c>
      <c r="C376" s="18"/>
      <c r="D376" s="18"/>
      <c r="E376" s="18"/>
      <c r="F376" s="18"/>
      <c r="G376" s="18"/>
      <c r="H376" s="18"/>
    </row>
    <row r="377" spans="1:8" ht="13.8" x14ac:dyDescent="0.3">
      <c r="A377" s="14"/>
      <c r="B377" s="17" t="s">
        <v>63</v>
      </c>
      <c r="C377" s="17"/>
      <c r="D377" s="17"/>
      <c r="E377" s="17"/>
      <c r="F377" s="17"/>
      <c r="G377" s="17"/>
      <c r="H377" s="17"/>
    </row>
    <row r="378" spans="1:8" ht="13.8" x14ac:dyDescent="0.3">
      <c r="A378" s="14"/>
      <c r="B378" s="18" t="s">
        <v>63</v>
      </c>
      <c r="C378" s="18"/>
      <c r="D378" s="18"/>
      <c r="E378" s="18"/>
      <c r="F378" s="18"/>
      <c r="G378" s="18"/>
      <c r="H378" s="18"/>
    </row>
    <row r="379" spans="1:8" ht="13.8" x14ac:dyDescent="0.3">
      <c r="A379" s="14"/>
      <c r="B379" s="17" t="s">
        <v>63</v>
      </c>
      <c r="C379" s="17"/>
      <c r="D379" s="17"/>
      <c r="E379" s="17"/>
      <c r="F379" s="17"/>
      <c r="G379" s="17"/>
      <c r="H379" s="17"/>
    </row>
    <row r="380" spans="1:8" ht="13.8" x14ac:dyDescent="0.3">
      <c r="A380" s="14"/>
      <c r="B380" s="18" t="s">
        <v>63</v>
      </c>
      <c r="C380" s="18"/>
      <c r="D380" s="18"/>
      <c r="E380" s="18"/>
      <c r="F380" s="18"/>
      <c r="G380" s="18"/>
      <c r="H380" s="18"/>
    </row>
    <row r="381" spans="1:8" ht="13.8" x14ac:dyDescent="0.3">
      <c r="A381" s="14"/>
      <c r="B381" s="17" t="s">
        <v>63</v>
      </c>
      <c r="C381" s="17"/>
      <c r="D381" s="17"/>
      <c r="E381" s="17"/>
      <c r="F381" s="17"/>
      <c r="G381" s="17"/>
      <c r="H381" s="17"/>
    </row>
    <row r="382" spans="1:8" ht="13.8" x14ac:dyDescent="0.3">
      <c r="A382" s="14"/>
      <c r="B382" s="18" t="s">
        <v>63</v>
      </c>
      <c r="C382" s="18"/>
      <c r="D382" s="18"/>
      <c r="E382" s="18"/>
      <c r="F382" s="18"/>
      <c r="G382" s="18"/>
      <c r="H382" s="18"/>
    </row>
    <row r="383" spans="1:8" ht="13.8" x14ac:dyDescent="0.3">
      <c r="A383" s="14"/>
      <c r="B383" s="17" t="s">
        <v>63</v>
      </c>
      <c r="C383" s="17"/>
      <c r="D383" s="17"/>
      <c r="E383" s="17"/>
      <c r="F383" s="17"/>
      <c r="G383" s="17"/>
      <c r="H383" s="17"/>
    </row>
    <row r="384" spans="1:8" ht="13.8" x14ac:dyDescent="0.3">
      <c r="A384" s="14"/>
      <c r="B384" s="18" t="s">
        <v>63</v>
      </c>
      <c r="C384" s="18"/>
      <c r="D384" s="18"/>
      <c r="E384" s="18"/>
      <c r="F384" s="18"/>
      <c r="G384" s="18"/>
      <c r="H384" s="18"/>
    </row>
    <row r="385" spans="1:8" ht="13.8" x14ac:dyDescent="0.3">
      <c r="A385" s="14"/>
      <c r="B385" s="17" t="s">
        <v>63</v>
      </c>
      <c r="C385" s="17"/>
      <c r="D385" s="17"/>
      <c r="E385" s="17"/>
      <c r="F385" s="17"/>
      <c r="G385" s="17"/>
      <c r="H385" s="17"/>
    </row>
    <row r="386" spans="1:8" ht="13.8" x14ac:dyDescent="0.3">
      <c r="A386" s="14"/>
      <c r="B386" s="18" t="s">
        <v>63</v>
      </c>
      <c r="C386" s="18"/>
      <c r="D386" s="18"/>
      <c r="E386" s="18"/>
      <c r="F386" s="18"/>
      <c r="G386" s="18"/>
      <c r="H386" s="18"/>
    </row>
    <row r="387" spans="1:8" ht="13.8" x14ac:dyDescent="0.3">
      <c r="A387" s="14"/>
      <c r="B387" s="17" t="s">
        <v>63</v>
      </c>
      <c r="C387" s="17"/>
      <c r="D387" s="17"/>
      <c r="E387" s="17"/>
      <c r="F387" s="17"/>
      <c r="G387" s="17"/>
      <c r="H387" s="17"/>
    </row>
    <row r="388" spans="1:8" ht="13.8" x14ac:dyDescent="0.3">
      <c r="A388" s="14"/>
      <c r="B388" s="18" t="s">
        <v>63</v>
      </c>
      <c r="C388" s="18"/>
      <c r="D388" s="18"/>
      <c r="E388" s="18"/>
      <c r="F388" s="18"/>
      <c r="G388" s="18"/>
      <c r="H388" s="18"/>
    </row>
    <row r="389" spans="1:8" ht="13.8" x14ac:dyDescent="0.3">
      <c r="A389" s="14"/>
      <c r="B389" s="17" t="s">
        <v>63</v>
      </c>
      <c r="C389" s="17"/>
      <c r="D389" s="17"/>
      <c r="E389" s="17"/>
      <c r="F389" s="17"/>
      <c r="G389" s="17"/>
      <c r="H389" s="17"/>
    </row>
    <row r="390" spans="1:8" ht="13.8" x14ac:dyDescent="0.3">
      <c r="A390" s="14"/>
      <c r="B390" s="18" t="s">
        <v>63</v>
      </c>
      <c r="C390" s="18"/>
      <c r="D390" s="18"/>
      <c r="E390" s="18"/>
      <c r="F390" s="18"/>
      <c r="G390" s="18"/>
      <c r="H390" s="18"/>
    </row>
    <row r="391" spans="1:8" ht="13.8" x14ac:dyDescent="0.3">
      <c r="A391" s="14"/>
      <c r="B391" s="17" t="s">
        <v>63</v>
      </c>
      <c r="C391" s="17"/>
      <c r="D391" s="17"/>
      <c r="E391" s="17"/>
      <c r="F391" s="17"/>
      <c r="G391" s="17"/>
      <c r="H391" s="17"/>
    </row>
    <row r="392" spans="1:8" ht="13.8" x14ac:dyDescent="0.3">
      <c r="A392" s="14"/>
      <c r="B392" s="18" t="s">
        <v>63</v>
      </c>
      <c r="C392" s="18"/>
      <c r="D392" s="18"/>
      <c r="E392" s="18"/>
      <c r="F392" s="18"/>
      <c r="G392" s="18"/>
      <c r="H392" s="18"/>
    </row>
    <row r="393" spans="1:8" ht="13.8" x14ac:dyDescent="0.3">
      <c r="A393" s="14"/>
      <c r="B393" s="17" t="s">
        <v>63</v>
      </c>
      <c r="C393" s="17"/>
      <c r="D393" s="17"/>
      <c r="E393" s="17"/>
      <c r="F393" s="17"/>
      <c r="G393" s="17"/>
      <c r="H393" s="17"/>
    </row>
    <row r="394" spans="1:8" ht="13.8" x14ac:dyDescent="0.3">
      <c r="A394" s="14"/>
      <c r="B394" s="18" t="s">
        <v>63</v>
      </c>
      <c r="C394" s="18"/>
      <c r="D394" s="18"/>
      <c r="E394" s="18"/>
      <c r="F394" s="18"/>
      <c r="G394" s="18"/>
      <c r="H394" s="18"/>
    </row>
    <row r="395" spans="1:8" ht="13.8" x14ac:dyDescent="0.3">
      <c r="A395" s="14"/>
      <c r="B395" s="17" t="s">
        <v>63</v>
      </c>
      <c r="C395" s="17"/>
      <c r="D395" s="17"/>
      <c r="E395" s="17"/>
      <c r="F395" s="17"/>
      <c r="G395" s="17"/>
      <c r="H395" s="17"/>
    </row>
    <row r="396" spans="1:8" ht="13.8" x14ac:dyDescent="0.3">
      <c r="A396" s="14"/>
      <c r="B396" s="18" t="s">
        <v>63</v>
      </c>
      <c r="C396" s="18"/>
      <c r="D396" s="18"/>
      <c r="E396" s="18"/>
      <c r="F396" s="18"/>
      <c r="G396" s="18"/>
      <c r="H396" s="18"/>
    </row>
    <row r="397" spans="1:8" ht="13.8" x14ac:dyDescent="0.3">
      <c r="A397" s="14"/>
      <c r="B397" s="17" t="s">
        <v>63</v>
      </c>
      <c r="C397" s="17"/>
      <c r="D397" s="17"/>
      <c r="E397" s="17"/>
      <c r="F397" s="17"/>
      <c r="G397" s="17"/>
      <c r="H397" s="17"/>
    </row>
    <row r="398" spans="1:8" ht="13.8" x14ac:dyDescent="0.3">
      <c r="A398" s="14"/>
      <c r="B398" s="18" t="s">
        <v>63</v>
      </c>
      <c r="C398" s="18"/>
      <c r="D398" s="18"/>
      <c r="E398" s="18"/>
      <c r="F398" s="18"/>
      <c r="G398" s="18"/>
      <c r="H398" s="18"/>
    </row>
    <row r="399" spans="1:8" ht="13.8" x14ac:dyDescent="0.3">
      <c r="A399" s="14"/>
      <c r="B399" s="17" t="s">
        <v>63</v>
      </c>
      <c r="C399" s="17"/>
      <c r="D399" s="17"/>
      <c r="E399" s="17"/>
      <c r="F399" s="17"/>
      <c r="G399" s="17"/>
      <c r="H399" s="17"/>
    </row>
    <row r="400" spans="1:8" ht="13.8" x14ac:dyDescent="0.3">
      <c r="A400" s="14"/>
      <c r="B400" s="18" t="s">
        <v>63</v>
      </c>
      <c r="C400" s="18"/>
      <c r="D400" s="18"/>
      <c r="E400" s="18"/>
      <c r="F400" s="18"/>
      <c r="G400" s="18"/>
      <c r="H400" s="18"/>
    </row>
    <row r="401" spans="1:8" ht="13.8" x14ac:dyDescent="0.3">
      <c r="A401" s="14"/>
      <c r="B401" s="17" t="s">
        <v>63</v>
      </c>
      <c r="C401" s="17"/>
      <c r="D401" s="17"/>
      <c r="E401" s="17"/>
      <c r="F401" s="17"/>
      <c r="G401" s="17"/>
      <c r="H401" s="17"/>
    </row>
    <row r="402" spans="1:8" ht="13.8" x14ac:dyDescent="0.3">
      <c r="A402" s="14"/>
      <c r="B402" s="18" t="s">
        <v>63</v>
      </c>
      <c r="C402" s="18"/>
      <c r="D402" s="18"/>
      <c r="E402" s="18"/>
      <c r="F402" s="18"/>
      <c r="G402" s="18"/>
      <c r="H402" s="18"/>
    </row>
    <row r="403" spans="1:8" ht="13.8" x14ac:dyDescent="0.3">
      <c r="A403" s="14"/>
      <c r="B403" s="17" t="s">
        <v>63</v>
      </c>
      <c r="C403" s="17"/>
      <c r="D403" s="17"/>
      <c r="E403" s="17"/>
      <c r="F403" s="17"/>
      <c r="G403" s="17"/>
      <c r="H403" s="17"/>
    </row>
    <row r="404" spans="1:8" ht="13.8" x14ac:dyDescent="0.3">
      <c r="A404" s="14"/>
      <c r="B404" s="18" t="s">
        <v>63</v>
      </c>
      <c r="C404" s="18"/>
      <c r="D404" s="18"/>
      <c r="E404" s="18"/>
      <c r="F404" s="18"/>
      <c r="G404" s="18"/>
      <c r="H404" s="18"/>
    </row>
    <row r="405" spans="1:8" ht="13.8" x14ac:dyDescent="0.3">
      <c r="A405" s="14"/>
      <c r="B405" s="17" t="s">
        <v>63</v>
      </c>
      <c r="C405" s="17"/>
      <c r="D405" s="17"/>
      <c r="E405" s="17"/>
      <c r="F405" s="17"/>
      <c r="G405" s="17"/>
      <c r="H405" s="17"/>
    </row>
    <row r="406" spans="1:8" ht="13.8" x14ac:dyDescent="0.3">
      <c r="A406" s="14"/>
      <c r="B406" s="18" t="s">
        <v>63</v>
      </c>
      <c r="C406" s="18"/>
      <c r="D406" s="18"/>
      <c r="E406" s="18"/>
      <c r="F406" s="18"/>
      <c r="G406" s="18"/>
      <c r="H406" s="18"/>
    </row>
    <row r="407" spans="1:8" ht="13.8" x14ac:dyDescent="0.3">
      <c r="A407" s="14"/>
      <c r="B407" s="17" t="s">
        <v>63</v>
      </c>
      <c r="C407" s="17"/>
      <c r="D407" s="17"/>
      <c r="E407" s="17"/>
      <c r="F407" s="17"/>
      <c r="G407" s="17"/>
      <c r="H407" s="17"/>
    </row>
    <row r="408" spans="1:8" ht="13.8" x14ac:dyDescent="0.3">
      <c r="A408" s="14"/>
      <c r="B408" s="18" t="s">
        <v>63</v>
      </c>
      <c r="C408" s="18"/>
      <c r="D408" s="18"/>
      <c r="E408" s="18"/>
      <c r="F408" s="18"/>
      <c r="G408" s="18"/>
      <c r="H408" s="18"/>
    </row>
    <row r="409" spans="1:8" ht="13.8" x14ac:dyDescent="0.3">
      <c r="A409" s="14"/>
      <c r="B409" s="17" t="s">
        <v>63</v>
      </c>
      <c r="C409" s="17"/>
      <c r="D409" s="17"/>
      <c r="E409" s="17"/>
      <c r="F409" s="17"/>
      <c r="G409" s="17"/>
      <c r="H409" s="17"/>
    </row>
    <row r="410" spans="1:8" ht="13.8" x14ac:dyDescent="0.3">
      <c r="A410" s="14"/>
      <c r="B410" s="18" t="s">
        <v>63</v>
      </c>
      <c r="C410" s="18"/>
      <c r="D410" s="18"/>
      <c r="E410" s="18"/>
      <c r="F410" s="18"/>
      <c r="G410" s="18"/>
      <c r="H410" s="18"/>
    </row>
    <row r="411" spans="1:8" ht="13.8" x14ac:dyDescent="0.3">
      <c r="A411" s="14"/>
      <c r="B411" s="17" t="s">
        <v>63</v>
      </c>
      <c r="C411" s="17"/>
      <c r="D411" s="17"/>
      <c r="E411" s="17"/>
      <c r="F411" s="17"/>
      <c r="G411" s="17"/>
      <c r="H411" s="17"/>
    </row>
    <row r="412" spans="1:8" ht="13.8" x14ac:dyDescent="0.3">
      <c r="A412" s="14"/>
      <c r="B412" s="18" t="s">
        <v>63</v>
      </c>
      <c r="C412" s="18"/>
      <c r="D412" s="18"/>
      <c r="E412" s="18"/>
      <c r="F412" s="18"/>
      <c r="G412" s="18"/>
      <c r="H412" s="18"/>
    </row>
    <row r="413" spans="1:8" ht="13.8" x14ac:dyDescent="0.3">
      <c r="A413" s="14"/>
      <c r="B413" s="17" t="s">
        <v>63</v>
      </c>
      <c r="C413" s="17"/>
      <c r="D413" s="17"/>
      <c r="E413" s="17"/>
      <c r="F413" s="17"/>
      <c r="G413" s="17"/>
      <c r="H413" s="17"/>
    </row>
    <row r="414" spans="1:8" ht="13.8" x14ac:dyDescent="0.3">
      <c r="A414" s="14"/>
      <c r="B414" s="18" t="s">
        <v>63</v>
      </c>
      <c r="C414" s="18"/>
      <c r="D414" s="18"/>
      <c r="E414" s="18"/>
      <c r="F414" s="18"/>
      <c r="G414" s="18"/>
      <c r="H414" s="18"/>
    </row>
    <row r="415" spans="1:8" ht="13.8" x14ac:dyDescent="0.3">
      <c r="A415" s="14"/>
      <c r="B415" s="17" t="s">
        <v>63</v>
      </c>
      <c r="C415" s="17"/>
      <c r="D415" s="17"/>
      <c r="E415" s="17"/>
      <c r="F415" s="17"/>
      <c r="G415" s="17"/>
      <c r="H415" s="17"/>
    </row>
    <row r="416" spans="1:8" ht="13.8" x14ac:dyDescent="0.3">
      <c r="A416" s="14"/>
      <c r="B416" s="18" t="s">
        <v>63</v>
      </c>
      <c r="C416" s="18"/>
      <c r="D416" s="18"/>
      <c r="E416" s="18"/>
      <c r="F416" s="18"/>
      <c r="G416" s="18"/>
      <c r="H416" s="18"/>
    </row>
    <row r="417" spans="1:8" ht="13.8" x14ac:dyDescent="0.3">
      <c r="A417" s="14"/>
      <c r="B417" s="17" t="s">
        <v>63</v>
      </c>
      <c r="C417" s="17"/>
      <c r="D417" s="17"/>
      <c r="E417" s="17"/>
      <c r="F417" s="17"/>
      <c r="G417" s="17"/>
      <c r="H417" s="17"/>
    </row>
    <row r="418" spans="1:8" ht="13.8" x14ac:dyDescent="0.3">
      <c r="A418" s="14"/>
      <c r="B418" s="18" t="s">
        <v>63</v>
      </c>
      <c r="C418" s="18"/>
      <c r="D418" s="18"/>
      <c r="E418" s="18"/>
      <c r="F418" s="18"/>
      <c r="G418" s="18"/>
      <c r="H418" s="18"/>
    </row>
    <row r="419" spans="1:8" ht="13.8" x14ac:dyDescent="0.3">
      <c r="A419" s="14"/>
      <c r="B419" s="17" t="s">
        <v>63</v>
      </c>
      <c r="C419" s="17"/>
      <c r="D419" s="17"/>
      <c r="E419" s="17"/>
      <c r="F419" s="17"/>
      <c r="G419" s="17"/>
      <c r="H419" s="17"/>
    </row>
    <row r="420" spans="1:8" ht="13.8" x14ac:dyDescent="0.3">
      <c r="A420" s="14"/>
      <c r="B420" s="18" t="s">
        <v>63</v>
      </c>
      <c r="C420" s="18"/>
      <c r="D420" s="18"/>
      <c r="E420" s="18"/>
      <c r="F420" s="18"/>
      <c r="G420" s="18"/>
      <c r="H420" s="18"/>
    </row>
    <row r="421" spans="1:8" ht="13.8" x14ac:dyDescent="0.3">
      <c r="A421" s="14"/>
      <c r="B421" s="17" t="s">
        <v>63</v>
      </c>
      <c r="C421" s="17"/>
      <c r="D421" s="17"/>
      <c r="E421" s="17"/>
      <c r="F421" s="17"/>
      <c r="G421" s="17"/>
      <c r="H421" s="17"/>
    </row>
    <row r="422" spans="1:8" ht="13.8" x14ac:dyDescent="0.3">
      <c r="A422" s="14"/>
      <c r="B422" s="18" t="s">
        <v>63</v>
      </c>
      <c r="C422" s="18"/>
      <c r="D422" s="18"/>
      <c r="E422" s="18"/>
      <c r="F422" s="18"/>
      <c r="G422" s="18"/>
      <c r="H422" s="18"/>
    </row>
    <row r="423" spans="1:8" ht="13.8" x14ac:dyDescent="0.3">
      <c r="A423" s="14"/>
      <c r="B423" s="17" t="s">
        <v>63</v>
      </c>
      <c r="C423" s="17"/>
      <c r="D423" s="17"/>
      <c r="E423" s="17"/>
      <c r="F423" s="17"/>
      <c r="G423" s="17"/>
      <c r="H423" s="17"/>
    </row>
    <row r="424" spans="1:8" ht="13.8" x14ac:dyDescent="0.3">
      <c r="A424" s="14"/>
      <c r="B424" s="18" t="s">
        <v>63</v>
      </c>
      <c r="C424" s="18"/>
      <c r="D424" s="18"/>
      <c r="E424" s="18"/>
      <c r="F424" s="18"/>
      <c r="G424" s="18"/>
      <c r="H424" s="18"/>
    </row>
    <row r="425" spans="1:8" ht="13.8" x14ac:dyDescent="0.3">
      <c r="A425" s="14"/>
      <c r="B425" s="17" t="s">
        <v>63</v>
      </c>
      <c r="C425" s="17"/>
      <c r="D425" s="17"/>
      <c r="E425" s="17"/>
      <c r="F425" s="17"/>
      <c r="G425" s="17"/>
      <c r="H425" s="17"/>
    </row>
    <row r="426" spans="1:8" ht="13.8" x14ac:dyDescent="0.3">
      <c r="A426" s="14"/>
      <c r="B426" s="18" t="s">
        <v>63</v>
      </c>
      <c r="C426" s="18"/>
      <c r="D426" s="18"/>
      <c r="E426" s="18"/>
      <c r="F426" s="18"/>
      <c r="G426" s="18"/>
      <c r="H426" s="18"/>
    </row>
    <row r="427" spans="1:8" ht="13.8" x14ac:dyDescent="0.3">
      <c r="A427" s="14"/>
      <c r="B427" s="17" t="s">
        <v>63</v>
      </c>
      <c r="C427" s="17"/>
      <c r="D427" s="17"/>
      <c r="E427" s="17"/>
      <c r="F427" s="17"/>
      <c r="G427" s="17"/>
      <c r="H427" s="17"/>
    </row>
    <row r="428" spans="1:8" ht="13.8" x14ac:dyDescent="0.3">
      <c r="A428" s="14"/>
      <c r="B428" s="18" t="s">
        <v>63</v>
      </c>
      <c r="C428" s="18"/>
      <c r="D428" s="18"/>
      <c r="E428" s="18"/>
      <c r="F428" s="18"/>
      <c r="G428" s="18"/>
      <c r="H428" s="18"/>
    </row>
    <row r="429" spans="1:8" ht="13.8" x14ac:dyDescent="0.3">
      <c r="A429" s="14"/>
      <c r="B429" s="17" t="s">
        <v>63</v>
      </c>
      <c r="C429" s="17"/>
      <c r="D429" s="17"/>
      <c r="E429" s="17"/>
      <c r="F429" s="17"/>
      <c r="G429" s="17"/>
      <c r="H429" s="17"/>
    </row>
    <row r="430" spans="1:8" ht="13.8" x14ac:dyDescent="0.3">
      <c r="A430" s="14"/>
      <c r="B430" s="18" t="s">
        <v>63</v>
      </c>
      <c r="C430" s="18"/>
      <c r="D430" s="18"/>
      <c r="E430" s="18"/>
      <c r="F430" s="18"/>
      <c r="G430" s="18"/>
      <c r="H430" s="18"/>
    </row>
    <row r="431" spans="1:8" ht="13.8" x14ac:dyDescent="0.3">
      <c r="A431" s="14"/>
      <c r="B431" s="17" t="s">
        <v>63</v>
      </c>
      <c r="C431" s="17"/>
      <c r="D431" s="17"/>
      <c r="E431" s="17"/>
      <c r="F431" s="17"/>
      <c r="G431" s="17"/>
      <c r="H431" s="17"/>
    </row>
    <row r="432" spans="1:8" ht="13.8" x14ac:dyDescent="0.3">
      <c r="A432" s="14"/>
      <c r="B432" s="18" t="s">
        <v>63</v>
      </c>
      <c r="C432" s="18"/>
      <c r="D432" s="18"/>
      <c r="E432" s="18"/>
      <c r="F432" s="18"/>
      <c r="G432" s="18"/>
      <c r="H432" s="18"/>
    </row>
    <row r="433" spans="1:8" ht="13.8" x14ac:dyDescent="0.3">
      <c r="A433" s="14"/>
      <c r="B433" s="17" t="s">
        <v>63</v>
      </c>
      <c r="C433" s="17"/>
      <c r="D433" s="17"/>
      <c r="E433" s="17"/>
      <c r="F433" s="17"/>
      <c r="G433" s="17"/>
      <c r="H433" s="17"/>
    </row>
    <row r="434" spans="1:8" ht="13.8" x14ac:dyDescent="0.3">
      <c r="A434" s="14"/>
      <c r="B434" s="18" t="s">
        <v>63</v>
      </c>
      <c r="C434" s="18"/>
      <c r="D434" s="18"/>
      <c r="E434" s="18"/>
      <c r="F434" s="18"/>
      <c r="G434" s="18"/>
      <c r="H434" s="18"/>
    </row>
    <row r="435" spans="1:8" ht="13.8" x14ac:dyDescent="0.3">
      <c r="A435" s="14"/>
      <c r="B435" s="17" t="s">
        <v>63</v>
      </c>
      <c r="C435" s="17"/>
      <c r="D435" s="17"/>
      <c r="E435" s="17"/>
      <c r="F435" s="17"/>
      <c r="G435" s="17"/>
      <c r="H435" s="17"/>
    </row>
    <row r="436" spans="1:8" ht="13.8" x14ac:dyDescent="0.3">
      <c r="A436" s="14"/>
      <c r="B436" s="18" t="s">
        <v>63</v>
      </c>
      <c r="C436" s="18"/>
      <c r="D436" s="18"/>
      <c r="E436" s="18"/>
      <c r="F436" s="18"/>
      <c r="G436" s="18"/>
      <c r="H436" s="18"/>
    </row>
    <row r="437" spans="1:8" ht="13.8" x14ac:dyDescent="0.3">
      <c r="A437" s="14"/>
      <c r="B437" s="17" t="s">
        <v>63</v>
      </c>
      <c r="C437" s="17"/>
      <c r="D437" s="17"/>
      <c r="E437" s="17"/>
      <c r="F437" s="17"/>
      <c r="G437" s="17"/>
      <c r="H437" s="17"/>
    </row>
    <row r="438" spans="1:8" ht="13.8" x14ac:dyDescent="0.3">
      <c r="A438" s="14"/>
      <c r="B438" s="18" t="s">
        <v>63</v>
      </c>
      <c r="C438" s="18"/>
      <c r="D438" s="18"/>
      <c r="E438" s="18"/>
      <c r="F438" s="18"/>
      <c r="G438" s="18"/>
      <c r="H438" s="18"/>
    </row>
    <row r="439" spans="1:8" ht="13.8" x14ac:dyDescent="0.3">
      <c r="A439" s="14"/>
      <c r="B439" s="17" t="s">
        <v>63</v>
      </c>
      <c r="C439" s="17"/>
      <c r="D439" s="17"/>
      <c r="E439" s="17"/>
      <c r="F439" s="17"/>
      <c r="G439" s="17"/>
      <c r="H439" s="17"/>
    </row>
    <row r="440" spans="1:8" ht="13.8" x14ac:dyDescent="0.3">
      <c r="A440" s="14"/>
      <c r="B440" s="18" t="s">
        <v>63</v>
      </c>
      <c r="C440" s="18"/>
      <c r="D440" s="18"/>
      <c r="E440" s="18"/>
      <c r="F440" s="18"/>
      <c r="G440" s="18"/>
      <c r="H440" s="18"/>
    </row>
    <row r="441" spans="1:8" ht="13.8" x14ac:dyDescent="0.3">
      <c r="A441" s="14"/>
      <c r="B441" s="17" t="s">
        <v>63</v>
      </c>
      <c r="C441" s="17"/>
      <c r="D441" s="17"/>
      <c r="E441" s="17"/>
      <c r="F441" s="17"/>
      <c r="G441" s="17"/>
      <c r="H441" s="17"/>
    </row>
    <row r="442" spans="1:8" ht="13.8" x14ac:dyDescent="0.3">
      <c r="A442" s="14"/>
      <c r="B442" s="18" t="s">
        <v>63</v>
      </c>
      <c r="C442" s="18"/>
      <c r="D442" s="18"/>
      <c r="E442" s="18"/>
      <c r="F442" s="18"/>
      <c r="G442" s="18"/>
      <c r="H442" s="18"/>
    </row>
    <row r="443" spans="1:8" ht="13.8" x14ac:dyDescent="0.3">
      <c r="A443" s="14"/>
      <c r="B443" s="17" t="s">
        <v>63</v>
      </c>
      <c r="C443" s="17"/>
      <c r="D443" s="17"/>
      <c r="E443" s="17"/>
      <c r="F443" s="17"/>
      <c r="G443" s="17"/>
      <c r="H443" s="17"/>
    </row>
    <row r="444" spans="1:8" ht="13.8" x14ac:dyDescent="0.3">
      <c r="A444" s="14"/>
      <c r="B444" s="18" t="s">
        <v>63</v>
      </c>
      <c r="C444" s="18"/>
      <c r="D444" s="18"/>
      <c r="E444" s="18"/>
      <c r="F444" s="18"/>
      <c r="G444" s="18"/>
      <c r="H444" s="18"/>
    </row>
    <row r="445" spans="1:8" ht="13.8" x14ac:dyDescent="0.3">
      <c r="A445" s="14"/>
      <c r="B445" s="17" t="s">
        <v>63</v>
      </c>
      <c r="C445" s="17"/>
      <c r="D445" s="17"/>
      <c r="E445" s="17"/>
      <c r="F445" s="17"/>
      <c r="G445" s="17"/>
      <c r="H445" s="17"/>
    </row>
    <row r="446" spans="1:8" ht="13.8" x14ac:dyDescent="0.3">
      <c r="A446" s="14"/>
      <c r="B446" s="18" t="s">
        <v>63</v>
      </c>
      <c r="C446" s="18"/>
      <c r="D446" s="18"/>
      <c r="E446" s="18"/>
      <c r="F446" s="18"/>
      <c r="G446" s="18"/>
      <c r="H446" s="18"/>
    </row>
    <row r="447" spans="1:8" ht="13.8" x14ac:dyDescent="0.3">
      <c r="A447" s="14"/>
      <c r="B447" s="17" t="s">
        <v>63</v>
      </c>
      <c r="C447" s="17"/>
      <c r="D447" s="17"/>
      <c r="E447" s="17"/>
      <c r="F447" s="17"/>
      <c r="G447" s="17"/>
      <c r="H447" s="17"/>
    </row>
    <row r="448" spans="1:8" ht="13.8" x14ac:dyDescent="0.3">
      <c r="A448" s="14"/>
      <c r="B448" s="18" t="s">
        <v>63</v>
      </c>
      <c r="C448" s="18"/>
      <c r="D448" s="18"/>
      <c r="E448" s="18"/>
      <c r="F448" s="18"/>
      <c r="G448" s="18"/>
      <c r="H448" s="18"/>
    </row>
    <row r="449" spans="1:8" ht="13.8" x14ac:dyDescent="0.3">
      <c r="A449" s="14"/>
      <c r="B449" s="17" t="s">
        <v>63</v>
      </c>
      <c r="C449" s="17"/>
      <c r="D449" s="17"/>
      <c r="E449" s="17"/>
      <c r="F449" s="17"/>
      <c r="G449" s="17"/>
      <c r="H449" s="17"/>
    </row>
    <row r="450" spans="1:8" ht="13.8" x14ac:dyDescent="0.3">
      <c r="A450" s="14"/>
      <c r="B450" s="18" t="s">
        <v>63</v>
      </c>
      <c r="C450" s="18"/>
      <c r="D450" s="18"/>
      <c r="E450" s="18"/>
      <c r="F450" s="18"/>
      <c r="G450" s="18"/>
      <c r="H450" s="18"/>
    </row>
    <row r="451" spans="1:8" ht="13.8" x14ac:dyDescent="0.3">
      <c r="A451" s="14"/>
      <c r="B451" s="17" t="s">
        <v>63</v>
      </c>
      <c r="C451" s="17"/>
      <c r="D451" s="17"/>
      <c r="E451" s="17"/>
      <c r="F451" s="17"/>
      <c r="G451" s="17"/>
      <c r="H451" s="17"/>
    </row>
    <row r="452" spans="1:8" ht="13.8" x14ac:dyDescent="0.3">
      <c r="A452" s="14"/>
      <c r="B452" s="18" t="s">
        <v>63</v>
      </c>
      <c r="C452" s="18"/>
      <c r="D452" s="18"/>
      <c r="E452" s="18"/>
      <c r="F452" s="18"/>
      <c r="G452" s="18"/>
      <c r="H452" s="18"/>
    </row>
    <row r="453" spans="1:8" ht="13.8" x14ac:dyDescent="0.3">
      <c r="A453" s="14"/>
      <c r="B453" s="17" t="s">
        <v>63</v>
      </c>
      <c r="C453" s="17"/>
      <c r="D453" s="17"/>
      <c r="E453" s="17"/>
      <c r="F453" s="17"/>
      <c r="G453" s="17"/>
      <c r="H453" s="17"/>
    </row>
    <row r="454" spans="1:8" ht="13.8" x14ac:dyDescent="0.3">
      <c r="A454" s="14"/>
      <c r="B454" s="18" t="s">
        <v>63</v>
      </c>
      <c r="C454" s="18"/>
      <c r="D454" s="18"/>
      <c r="E454" s="18"/>
      <c r="F454" s="18"/>
      <c r="G454" s="18"/>
      <c r="H454" s="18"/>
    </row>
    <row r="455" spans="1:8" ht="13.8" x14ac:dyDescent="0.3">
      <c r="A455" s="14"/>
      <c r="B455" s="17" t="s">
        <v>63</v>
      </c>
      <c r="C455" s="17"/>
      <c r="D455" s="17"/>
      <c r="E455" s="17"/>
      <c r="F455" s="17"/>
      <c r="G455" s="17"/>
      <c r="H455" s="17"/>
    </row>
    <row r="456" spans="1:8" ht="13.8" x14ac:dyDescent="0.3">
      <c r="A456" s="14"/>
      <c r="B456" s="18" t="s">
        <v>63</v>
      </c>
      <c r="C456" s="18"/>
      <c r="D456" s="18"/>
      <c r="E456" s="18"/>
      <c r="F456" s="18"/>
      <c r="G456" s="18"/>
      <c r="H456" s="18"/>
    </row>
    <row r="457" spans="1:8" ht="13.8" x14ac:dyDescent="0.3">
      <c r="A457" s="14"/>
      <c r="B457" s="17" t="s">
        <v>63</v>
      </c>
      <c r="C457" s="17"/>
      <c r="D457" s="17"/>
      <c r="E457" s="17"/>
      <c r="F457" s="17"/>
      <c r="G457" s="17"/>
      <c r="H457" s="17"/>
    </row>
    <row r="458" spans="1:8" ht="13.8" x14ac:dyDescent="0.3">
      <c r="A458" s="14"/>
      <c r="B458" s="18" t="s">
        <v>63</v>
      </c>
      <c r="C458" s="18"/>
      <c r="D458" s="18"/>
      <c r="E458" s="18"/>
      <c r="F458" s="18"/>
      <c r="G458" s="18"/>
      <c r="H458" s="18"/>
    </row>
    <row r="459" spans="1:8" ht="13.8" x14ac:dyDescent="0.3">
      <c r="A459" s="14"/>
      <c r="B459" s="17" t="s">
        <v>63</v>
      </c>
      <c r="C459" s="17"/>
      <c r="D459" s="17"/>
      <c r="E459" s="17"/>
      <c r="F459" s="17"/>
      <c r="G459" s="17"/>
      <c r="H459" s="17"/>
    </row>
    <row r="460" spans="1:8" ht="13.8" x14ac:dyDescent="0.3">
      <c r="A460" s="14"/>
      <c r="B460" s="18" t="s">
        <v>63</v>
      </c>
      <c r="C460" s="18"/>
      <c r="D460" s="18"/>
      <c r="E460" s="18"/>
      <c r="F460" s="18"/>
      <c r="G460" s="18"/>
      <c r="H460" s="18"/>
    </row>
    <row r="461" spans="1:8" ht="13.8" x14ac:dyDescent="0.3">
      <c r="A461" s="14"/>
      <c r="B461" s="17" t="s">
        <v>63</v>
      </c>
      <c r="C461" s="17"/>
      <c r="D461" s="17"/>
      <c r="E461" s="17"/>
      <c r="F461" s="17"/>
      <c r="G461" s="17"/>
      <c r="H461" s="17"/>
    </row>
    <row r="462" spans="1:8" ht="13.8" x14ac:dyDescent="0.3">
      <c r="A462" s="14"/>
      <c r="B462" s="18" t="s">
        <v>63</v>
      </c>
      <c r="C462" s="18"/>
      <c r="D462" s="18"/>
      <c r="E462" s="18"/>
      <c r="F462" s="18"/>
      <c r="G462" s="18"/>
      <c r="H462" s="18"/>
    </row>
    <row r="463" spans="1:8" ht="13.8" x14ac:dyDescent="0.3">
      <c r="A463" s="14"/>
      <c r="B463" s="17" t="s">
        <v>63</v>
      </c>
      <c r="C463" s="17"/>
      <c r="D463" s="17"/>
      <c r="E463" s="17"/>
      <c r="F463" s="17"/>
      <c r="G463" s="17"/>
      <c r="H463" s="17"/>
    </row>
    <row r="464" spans="1:8" ht="13.8" x14ac:dyDescent="0.3">
      <c r="A464" s="14"/>
      <c r="B464" s="18" t="s">
        <v>63</v>
      </c>
      <c r="C464" s="18"/>
      <c r="D464" s="18"/>
      <c r="E464" s="18"/>
      <c r="F464" s="18"/>
      <c r="G464" s="18"/>
      <c r="H464" s="18"/>
    </row>
    <row r="465" spans="1:8" ht="13.8" x14ac:dyDescent="0.3">
      <c r="A465" s="14"/>
      <c r="B465" s="17" t="s">
        <v>63</v>
      </c>
      <c r="C465" s="17"/>
      <c r="D465" s="17"/>
      <c r="E465" s="17"/>
      <c r="F465" s="17"/>
      <c r="G465" s="17"/>
      <c r="H465" s="17"/>
    </row>
    <row r="466" spans="1:8" ht="13.8" x14ac:dyDescent="0.3">
      <c r="A466" s="14"/>
      <c r="B466" s="18" t="s">
        <v>63</v>
      </c>
      <c r="C466" s="18"/>
      <c r="D466" s="18"/>
      <c r="E466" s="18"/>
      <c r="F466" s="18"/>
      <c r="G466" s="18"/>
      <c r="H466" s="18"/>
    </row>
    <row r="467" spans="1:8" ht="13.8" x14ac:dyDescent="0.3">
      <c r="A467" s="14"/>
      <c r="B467" s="17" t="s">
        <v>63</v>
      </c>
      <c r="C467" s="17"/>
      <c r="D467" s="17"/>
      <c r="E467" s="17"/>
      <c r="F467" s="17"/>
      <c r="G467" s="17"/>
      <c r="H467" s="17"/>
    </row>
    <row r="468" spans="1:8" ht="13.8" x14ac:dyDescent="0.3">
      <c r="A468" s="14"/>
      <c r="B468" s="18" t="s">
        <v>63</v>
      </c>
      <c r="C468" s="18"/>
      <c r="D468" s="18"/>
      <c r="E468" s="18"/>
      <c r="F468" s="18"/>
      <c r="G468" s="18"/>
      <c r="H468" s="18"/>
    </row>
    <row r="469" spans="1:8" ht="13.8" x14ac:dyDescent="0.3">
      <c r="A469" s="14"/>
      <c r="B469" s="17" t="s">
        <v>63</v>
      </c>
      <c r="C469" s="17"/>
      <c r="D469" s="17"/>
      <c r="E469" s="17"/>
      <c r="F469" s="17"/>
      <c r="G469" s="17"/>
      <c r="H469" s="17"/>
    </row>
    <row r="470" spans="1:8" ht="13.8" x14ac:dyDescent="0.3">
      <c r="A470" s="14"/>
      <c r="B470" s="18" t="s">
        <v>63</v>
      </c>
      <c r="C470" s="18"/>
      <c r="D470" s="18"/>
      <c r="E470" s="18"/>
      <c r="F470" s="18"/>
      <c r="G470" s="18"/>
      <c r="H470" s="18"/>
    </row>
    <row r="471" spans="1:8" ht="13.8" x14ac:dyDescent="0.3">
      <c r="A471" s="14"/>
      <c r="B471" s="17" t="s">
        <v>63</v>
      </c>
      <c r="C471" s="17"/>
      <c r="D471" s="17"/>
      <c r="E471" s="17"/>
      <c r="F471" s="17"/>
      <c r="G471" s="17"/>
      <c r="H471" s="17"/>
    </row>
    <row r="472" spans="1:8" ht="13.8" x14ac:dyDescent="0.3">
      <c r="A472" s="14"/>
      <c r="B472" s="18" t="s">
        <v>63</v>
      </c>
      <c r="C472" s="18"/>
      <c r="D472" s="18"/>
      <c r="E472" s="18"/>
      <c r="F472" s="18"/>
      <c r="G472" s="18"/>
      <c r="H472" s="18"/>
    </row>
    <row r="473" spans="1:8" ht="13.8" x14ac:dyDescent="0.3">
      <c r="A473" s="14"/>
      <c r="B473" s="17" t="s">
        <v>63</v>
      </c>
      <c r="C473" s="17"/>
      <c r="D473" s="17"/>
      <c r="E473" s="17"/>
      <c r="F473" s="17"/>
      <c r="G473" s="17"/>
      <c r="H473" s="17"/>
    </row>
    <row r="474" spans="1:8" ht="13.8" x14ac:dyDescent="0.3">
      <c r="A474" s="14"/>
      <c r="B474" s="18" t="s">
        <v>63</v>
      </c>
      <c r="C474" s="18"/>
      <c r="D474" s="18"/>
      <c r="E474" s="18"/>
      <c r="F474" s="18"/>
      <c r="G474" s="18"/>
      <c r="H474" s="18"/>
    </row>
    <row r="475" spans="1:8" ht="13.8" x14ac:dyDescent="0.3">
      <c r="A475" s="14"/>
      <c r="B475" s="17" t="s">
        <v>63</v>
      </c>
      <c r="C475" s="17"/>
      <c r="D475" s="17"/>
      <c r="E475" s="17"/>
      <c r="F475" s="17"/>
      <c r="G475" s="17"/>
      <c r="H475" s="17"/>
    </row>
    <row r="476" spans="1:8" ht="13.8" x14ac:dyDescent="0.3">
      <c r="A476" s="14"/>
      <c r="B476" s="18" t="s">
        <v>63</v>
      </c>
      <c r="C476" s="18"/>
      <c r="D476" s="18"/>
      <c r="E476" s="18"/>
      <c r="F476" s="18"/>
      <c r="G476" s="18"/>
      <c r="H476" s="18"/>
    </row>
    <row r="477" spans="1:8" ht="13.8" x14ac:dyDescent="0.3">
      <c r="A477" s="14"/>
      <c r="B477" s="17" t="s">
        <v>63</v>
      </c>
      <c r="C477" s="17"/>
      <c r="D477" s="17"/>
      <c r="E477" s="17"/>
      <c r="F477" s="17"/>
      <c r="G477" s="17"/>
      <c r="H477" s="17"/>
    </row>
    <row r="478" spans="1:8" ht="13.8" x14ac:dyDescent="0.3">
      <c r="A478" s="14"/>
      <c r="B478" s="18" t="s">
        <v>63</v>
      </c>
      <c r="C478" s="18"/>
      <c r="D478" s="18"/>
      <c r="E478" s="18"/>
      <c r="F478" s="18"/>
      <c r="G478" s="18"/>
      <c r="H478" s="18"/>
    </row>
    <row r="479" spans="1:8" ht="13.8" x14ac:dyDescent="0.3">
      <c r="A479" s="14"/>
      <c r="B479" s="17" t="s">
        <v>63</v>
      </c>
      <c r="C479" s="17"/>
      <c r="D479" s="17"/>
      <c r="E479" s="17"/>
      <c r="F479" s="17"/>
      <c r="G479" s="17"/>
      <c r="H479" s="17"/>
    </row>
    <row r="480" spans="1:8" ht="13.8" x14ac:dyDescent="0.3">
      <c r="A480" s="14"/>
      <c r="B480" s="18" t="s">
        <v>63</v>
      </c>
      <c r="C480" s="18"/>
      <c r="D480" s="18"/>
      <c r="E480" s="18"/>
      <c r="F480" s="18"/>
      <c r="G480" s="18"/>
      <c r="H480" s="18"/>
    </row>
    <row r="481" spans="1:8" ht="13.8" x14ac:dyDescent="0.3">
      <c r="A481" s="14"/>
      <c r="B481" s="17" t="s">
        <v>63</v>
      </c>
      <c r="C481" s="17"/>
      <c r="D481" s="17"/>
      <c r="E481" s="17"/>
      <c r="F481" s="17"/>
      <c r="G481" s="17"/>
      <c r="H481" s="17"/>
    </row>
    <row r="482" spans="1:8" ht="13.8" x14ac:dyDescent="0.3">
      <c r="A482" s="14"/>
      <c r="B482" s="18" t="s">
        <v>63</v>
      </c>
      <c r="C482" s="18"/>
      <c r="D482" s="18"/>
      <c r="E482" s="18"/>
      <c r="F482" s="18"/>
      <c r="G482" s="18"/>
      <c r="H482" s="18"/>
    </row>
    <row r="483" spans="1:8" ht="13.8" x14ac:dyDescent="0.3">
      <c r="A483" s="14"/>
      <c r="B483" s="17" t="s">
        <v>63</v>
      </c>
      <c r="C483" s="17"/>
      <c r="D483" s="17"/>
      <c r="E483" s="17"/>
      <c r="F483" s="17"/>
      <c r="G483" s="17"/>
      <c r="H483" s="17"/>
    </row>
    <row r="484" spans="1:8" ht="13.8" x14ac:dyDescent="0.3">
      <c r="A484" s="14"/>
      <c r="B484" s="18" t="s">
        <v>63</v>
      </c>
      <c r="C484" s="18"/>
      <c r="D484" s="18"/>
      <c r="E484" s="18"/>
      <c r="F484" s="18"/>
      <c r="G484" s="18"/>
      <c r="H484" s="18"/>
    </row>
    <row r="485" spans="1:8" ht="13.8" x14ac:dyDescent="0.3">
      <c r="A485" s="14"/>
      <c r="B485" s="17" t="s">
        <v>63</v>
      </c>
      <c r="C485" s="17"/>
      <c r="D485" s="17"/>
      <c r="E485" s="17"/>
      <c r="F485" s="17"/>
      <c r="G485" s="17"/>
      <c r="H485" s="17"/>
    </row>
    <row r="486" spans="1:8" ht="13.8" x14ac:dyDescent="0.3">
      <c r="A486" s="14"/>
      <c r="B486" s="18" t="s">
        <v>63</v>
      </c>
      <c r="C486" s="18"/>
      <c r="D486" s="18"/>
      <c r="E486" s="18"/>
      <c r="F486" s="18"/>
      <c r="G486" s="18"/>
      <c r="H486" s="18"/>
    </row>
    <row r="487" spans="1:8" ht="13.8" x14ac:dyDescent="0.3">
      <c r="A487" s="14"/>
      <c r="B487" s="17" t="s">
        <v>63</v>
      </c>
      <c r="C487" s="17"/>
      <c r="D487" s="17"/>
      <c r="E487" s="17"/>
      <c r="F487" s="17"/>
      <c r="G487" s="17"/>
      <c r="H487" s="17"/>
    </row>
    <row r="488" spans="1:8" ht="13.8" x14ac:dyDescent="0.3">
      <c r="A488" s="14"/>
      <c r="B488" s="18" t="s">
        <v>63</v>
      </c>
      <c r="C488" s="18"/>
      <c r="D488" s="18"/>
      <c r="E488" s="18"/>
      <c r="F488" s="18"/>
      <c r="G488" s="18"/>
      <c r="H488" s="18"/>
    </row>
    <row r="489" spans="1:8" ht="13.8" x14ac:dyDescent="0.3">
      <c r="A489" s="14"/>
      <c r="B489" s="17" t="s">
        <v>63</v>
      </c>
      <c r="C489" s="17"/>
      <c r="D489" s="17"/>
      <c r="E489" s="17"/>
      <c r="F489" s="17"/>
      <c r="G489" s="17"/>
      <c r="H489" s="17"/>
    </row>
    <row r="490" spans="1:8" ht="13.8" x14ac:dyDescent="0.3">
      <c r="A490" s="14"/>
      <c r="B490" s="18" t="s">
        <v>63</v>
      </c>
      <c r="C490" s="18"/>
      <c r="D490" s="18"/>
      <c r="E490" s="18"/>
      <c r="F490" s="18"/>
      <c r="G490" s="18"/>
      <c r="H490" s="18"/>
    </row>
    <row r="491" spans="1:8" ht="13.8" x14ac:dyDescent="0.3">
      <c r="A491" s="14"/>
      <c r="B491" s="17" t="s">
        <v>63</v>
      </c>
      <c r="C491" s="17"/>
      <c r="D491" s="17"/>
      <c r="E491" s="17"/>
      <c r="F491" s="17"/>
      <c r="G491" s="17"/>
      <c r="H491" s="17"/>
    </row>
    <row r="492" spans="1:8" ht="13.8" x14ac:dyDescent="0.3">
      <c r="A492" s="14"/>
      <c r="B492" s="18" t="s">
        <v>63</v>
      </c>
      <c r="C492" s="18"/>
      <c r="D492" s="18"/>
      <c r="E492" s="18"/>
      <c r="F492" s="18"/>
      <c r="G492" s="18"/>
      <c r="H492" s="18"/>
    </row>
    <row r="493" spans="1:8" ht="13.8" x14ac:dyDescent="0.3">
      <c r="A493" s="14"/>
      <c r="B493" s="17" t="s">
        <v>63</v>
      </c>
      <c r="C493" s="17"/>
      <c r="D493" s="17"/>
      <c r="E493" s="17"/>
      <c r="F493" s="17"/>
      <c r="G493" s="17"/>
      <c r="H493" s="17"/>
    </row>
    <row r="494" spans="1:8" ht="13.8" x14ac:dyDescent="0.3">
      <c r="A494" s="14"/>
      <c r="B494" s="18" t="s">
        <v>63</v>
      </c>
      <c r="C494" s="18"/>
      <c r="D494" s="18"/>
      <c r="E494" s="18"/>
      <c r="F494" s="18"/>
      <c r="G494" s="18"/>
      <c r="H494" s="18"/>
    </row>
    <row r="495" spans="1:8" ht="13.8" x14ac:dyDescent="0.3">
      <c r="A495" s="14"/>
      <c r="B495" s="17" t="s">
        <v>63</v>
      </c>
      <c r="C495" s="17"/>
      <c r="D495" s="17"/>
      <c r="E495" s="17"/>
      <c r="F495" s="17"/>
      <c r="G495" s="17"/>
      <c r="H495" s="17"/>
    </row>
    <row r="496" spans="1:8" ht="13.8" x14ac:dyDescent="0.3">
      <c r="A496" s="14"/>
      <c r="B496" s="18" t="s">
        <v>63</v>
      </c>
      <c r="C496" s="18"/>
      <c r="D496" s="18"/>
      <c r="E496" s="18"/>
      <c r="F496" s="18"/>
      <c r="G496" s="18"/>
      <c r="H496" s="18"/>
    </row>
    <row r="497" spans="1:8" ht="13.8" x14ac:dyDescent="0.3">
      <c r="A497" s="14"/>
      <c r="B497" s="17" t="s">
        <v>63</v>
      </c>
      <c r="C497" s="17"/>
      <c r="D497" s="17"/>
      <c r="E497" s="17"/>
      <c r="F497" s="17"/>
      <c r="G497" s="17"/>
      <c r="H497" s="17"/>
    </row>
    <row r="498" spans="1:8" ht="13.8" x14ac:dyDescent="0.3">
      <c r="A498" s="14"/>
      <c r="B498" s="18" t="s">
        <v>63</v>
      </c>
      <c r="C498" s="18"/>
      <c r="D498" s="18"/>
      <c r="E498" s="18"/>
      <c r="F498" s="18"/>
      <c r="G498" s="18"/>
      <c r="H498" s="18"/>
    </row>
    <row r="499" spans="1:8" ht="13.8" x14ac:dyDescent="0.3">
      <c r="A499" s="14"/>
      <c r="B499" s="17" t="s">
        <v>63</v>
      </c>
      <c r="C499" s="17"/>
      <c r="D499" s="17"/>
      <c r="E499" s="17"/>
      <c r="F499" s="17"/>
      <c r="G499" s="17"/>
      <c r="H499" s="17"/>
    </row>
    <row r="500" spans="1:8" ht="13.8" x14ac:dyDescent="0.3">
      <c r="A500" s="14"/>
      <c r="B500" s="18" t="s">
        <v>63</v>
      </c>
      <c r="C500" s="18"/>
      <c r="D500" s="18"/>
      <c r="E500" s="18"/>
      <c r="F500" s="18"/>
      <c r="G500" s="18"/>
      <c r="H500" s="18"/>
    </row>
    <row r="501" spans="1:8" ht="13.8" x14ac:dyDescent="0.3">
      <c r="A501" s="14"/>
      <c r="B501" s="17" t="s">
        <v>63</v>
      </c>
      <c r="C501" s="17"/>
      <c r="D501" s="17"/>
      <c r="E501" s="17"/>
      <c r="F501" s="17"/>
      <c r="G501" s="17"/>
      <c r="H501" s="17"/>
    </row>
    <row r="502" spans="1:8" ht="13.8" x14ac:dyDescent="0.3">
      <c r="A502" s="14"/>
      <c r="B502" s="18" t="s">
        <v>63</v>
      </c>
      <c r="C502" s="18"/>
      <c r="D502" s="18"/>
      <c r="E502" s="18"/>
      <c r="F502" s="18"/>
      <c r="G502" s="18"/>
      <c r="H502" s="18"/>
    </row>
    <row r="503" spans="1:8" ht="13.8" x14ac:dyDescent="0.3">
      <c r="A503" s="14"/>
      <c r="B503" s="17" t="s">
        <v>63</v>
      </c>
      <c r="C503" s="17"/>
      <c r="D503" s="17"/>
      <c r="E503" s="17"/>
      <c r="F503" s="17"/>
      <c r="G503" s="17"/>
      <c r="H503" s="17"/>
    </row>
    <row r="504" spans="1:8" ht="13.8" x14ac:dyDescent="0.3">
      <c r="A504" s="14"/>
      <c r="B504" s="18" t="s">
        <v>63</v>
      </c>
      <c r="C504" s="18"/>
      <c r="D504" s="18"/>
      <c r="E504" s="18"/>
      <c r="F504" s="18"/>
      <c r="G504" s="18"/>
      <c r="H504" s="18"/>
    </row>
    <row r="505" spans="1:8" ht="13.8" x14ac:dyDescent="0.3">
      <c r="A505" s="14"/>
      <c r="B505" s="17" t="s">
        <v>63</v>
      </c>
      <c r="C505" s="17"/>
      <c r="D505" s="17"/>
      <c r="E505" s="17"/>
      <c r="F505" s="17"/>
      <c r="G505" s="17"/>
      <c r="H505" s="17"/>
    </row>
    <row r="506" spans="1:8" ht="13.8" x14ac:dyDescent="0.3">
      <c r="A506" s="14"/>
      <c r="B506" s="18" t="s">
        <v>63</v>
      </c>
      <c r="C506" s="18"/>
      <c r="D506" s="18"/>
      <c r="E506" s="18"/>
      <c r="F506" s="18"/>
      <c r="G506" s="18"/>
      <c r="H506" s="18"/>
    </row>
    <row r="507" spans="1:8" ht="13.8" x14ac:dyDescent="0.3">
      <c r="A507" s="14"/>
      <c r="B507" s="17" t="s">
        <v>63</v>
      </c>
      <c r="C507" s="17"/>
      <c r="D507" s="17"/>
      <c r="E507" s="17"/>
      <c r="F507" s="17"/>
      <c r="G507" s="17"/>
      <c r="H507" s="17"/>
    </row>
    <row r="508" spans="1:8" ht="13.8" x14ac:dyDescent="0.3">
      <c r="A508" s="14"/>
      <c r="B508" s="18" t="s">
        <v>63</v>
      </c>
      <c r="C508" s="18"/>
      <c r="D508" s="18"/>
      <c r="E508" s="18"/>
      <c r="F508" s="18"/>
      <c r="G508" s="18"/>
      <c r="H508" s="18"/>
    </row>
    <row r="509" spans="1:8" ht="13.8" x14ac:dyDescent="0.3">
      <c r="A509" s="14"/>
      <c r="B509" s="17" t="s">
        <v>63</v>
      </c>
      <c r="C509" s="17"/>
      <c r="D509" s="17"/>
      <c r="E509" s="17"/>
      <c r="F509" s="17"/>
      <c r="G509" s="17"/>
      <c r="H509" s="17"/>
    </row>
    <row r="510" spans="1:8" ht="13.8" x14ac:dyDescent="0.3">
      <c r="A510" s="14"/>
      <c r="B510" s="18" t="s">
        <v>63</v>
      </c>
      <c r="C510" s="18"/>
      <c r="D510" s="18"/>
      <c r="E510" s="18"/>
      <c r="F510" s="18"/>
      <c r="G510" s="18"/>
      <c r="H510" s="18"/>
    </row>
    <row r="511" spans="1:8" ht="13.8" x14ac:dyDescent="0.3">
      <c r="A511" s="14"/>
      <c r="B511" s="17" t="s">
        <v>63</v>
      </c>
      <c r="C511" s="17"/>
      <c r="D511" s="17"/>
      <c r="E511" s="17"/>
      <c r="F511" s="17"/>
      <c r="G511" s="17"/>
      <c r="H511" s="17"/>
    </row>
    <row r="512" spans="1:8" ht="13.8" x14ac:dyDescent="0.3">
      <c r="A512" s="14"/>
      <c r="B512" s="18" t="s">
        <v>63</v>
      </c>
      <c r="C512" s="18"/>
      <c r="D512" s="18"/>
      <c r="E512" s="18"/>
      <c r="F512" s="18"/>
      <c r="G512" s="18"/>
      <c r="H512" s="18"/>
    </row>
    <row r="513" spans="1:8" ht="13.8" x14ac:dyDescent="0.3">
      <c r="A513" s="14"/>
      <c r="B513" s="17" t="s">
        <v>63</v>
      </c>
      <c r="C513" s="17"/>
      <c r="D513" s="17"/>
      <c r="E513" s="17"/>
      <c r="F513" s="17"/>
      <c r="G513" s="17"/>
      <c r="H513" s="17"/>
    </row>
    <row r="514" spans="1:8" ht="13.8" x14ac:dyDescent="0.3">
      <c r="A514" s="14"/>
      <c r="B514" s="18" t="s">
        <v>63</v>
      </c>
      <c r="C514" s="18"/>
      <c r="D514" s="18"/>
      <c r="E514" s="18"/>
      <c r="F514" s="18"/>
      <c r="G514" s="18"/>
      <c r="H514" s="18"/>
    </row>
    <row r="515" spans="1:8" ht="13.8" x14ac:dyDescent="0.3">
      <c r="A515" s="14"/>
      <c r="B515" s="17" t="s">
        <v>63</v>
      </c>
      <c r="C515" s="17"/>
      <c r="D515" s="17"/>
      <c r="E515" s="17"/>
      <c r="F515" s="17"/>
      <c r="G515" s="17"/>
      <c r="H515" s="17"/>
    </row>
    <row r="516" spans="1:8" ht="13.8" x14ac:dyDescent="0.3">
      <c r="A516" s="14"/>
      <c r="B516" s="18" t="s">
        <v>63</v>
      </c>
      <c r="C516" s="18"/>
      <c r="D516" s="18"/>
      <c r="E516" s="18"/>
      <c r="F516" s="18"/>
      <c r="G516" s="18"/>
      <c r="H516" s="18"/>
    </row>
    <row r="517" spans="1:8" ht="13.8" x14ac:dyDescent="0.3">
      <c r="A517" s="14"/>
      <c r="B517" s="17" t="s">
        <v>63</v>
      </c>
      <c r="C517" s="17"/>
      <c r="D517" s="17"/>
      <c r="E517" s="17"/>
      <c r="F517" s="17"/>
      <c r="G517" s="17"/>
      <c r="H517" s="17"/>
    </row>
    <row r="518" spans="1:8" ht="13.8" x14ac:dyDescent="0.3">
      <c r="A518" s="14"/>
      <c r="B518" s="18" t="s">
        <v>63</v>
      </c>
      <c r="C518" s="18"/>
      <c r="D518" s="18"/>
      <c r="E518" s="18"/>
      <c r="F518" s="18"/>
      <c r="G518" s="18"/>
      <c r="H518" s="18"/>
    </row>
    <row r="519" spans="1:8" ht="13.8" x14ac:dyDescent="0.3">
      <c r="A519" s="14"/>
      <c r="B519" s="17" t="s">
        <v>63</v>
      </c>
      <c r="C519" s="17"/>
      <c r="D519" s="17"/>
      <c r="E519" s="17"/>
      <c r="F519" s="17"/>
      <c r="G519" s="17"/>
      <c r="H519" s="17"/>
    </row>
    <row r="520" spans="1:8" ht="13.8" x14ac:dyDescent="0.3">
      <c r="A520" s="14"/>
      <c r="B520" s="18" t="s">
        <v>63</v>
      </c>
      <c r="C520" s="18"/>
      <c r="D520" s="18"/>
      <c r="E520" s="18"/>
      <c r="F520" s="18"/>
      <c r="G520" s="18"/>
      <c r="H520" s="18"/>
    </row>
    <row r="521" spans="1:8" ht="13.8" x14ac:dyDescent="0.3">
      <c r="A521" s="14"/>
      <c r="B521" s="17" t="s">
        <v>63</v>
      </c>
      <c r="C521" s="17"/>
      <c r="D521" s="17"/>
      <c r="E521" s="17"/>
      <c r="F521" s="17"/>
      <c r="G521" s="17"/>
      <c r="H521" s="17"/>
    </row>
    <row r="522" spans="1:8" ht="13.8" x14ac:dyDescent="0.3">
      <c r="A522" s="14"/>
      <c r="B522" s="18" t="s">
        <v>63</v>
      </c>
      <c r="C522" s="18"/>
      <c r="D522" s="18"/>
      <c r="E522" s="18"/>
      <c r="F522" s="18"/>
      <c r="G522" s="18"/>
      <c r="H522" s="18"/>
    </row>
    <row r="523" spans="1:8" ht="13.8" x14ac:dyDescent="0.3">
      <c r="A523" s="14"/>
      <c r="B523" s="17" t="s">
        <v>63</v>
      </c>
      <c r="C523" s="17"/>
      <c r="D523" s="17"/>
      <c r="E523" s="17"/>
      <c r="F523" s="17"/>
      <c r="G523" s="17"/>
      <c r="H523" s="17"/>
    </row>
    <row r="524" spans="1:8" ht="13.8" x14ac:dyDescent="0.3">
      <c r="A524" s="14"/>
      <c r="B524" s="18" t="s">
        <v>63</v>
      </c>
      <c r="C524" s="18"/>
      <c r="D524" s="18"/>
      <c r="E524" s="18"/>
      <c r="F524" s="18"/>
      <c r="G524" s="18"/>
      <c r="H524" s="18"/>
    </row>
    <row r="525" spans="1:8" ht="13.8" x14ac:dyDescent="0.3">
      <c r="A525" s="14"/>
      <c r="B525" s="17" t="s">
        <v>63</v>
      </c>
      <c r="C525" s="17"/>
      <c r="D525" s="17"/>
      <c r="E525" s="17"/>
      <c r="F525" s="17"/>
      <c r="G525" s="17"/>
      <c r="H525" s="17"/>
    </row>
    <row r="526" spans="1:8" ht="13.8" x14ac:dyDescent="0.3">
      <c r="A526" s="14"/>
      <c r="B526" s="18" t="s">
        <v>63</v>
      </c>
      <c r="C526" s="18"/>
      <c r="D526" s="18"/>
      <c r="E526" s="18"/>
      <c r="F526" s="18"/>
      <c r="G526" s="18"/>
      <c r="H526" s="18"/>
    </row>
    <row r="527" spans="1:8" ht="13.8" x14ac:dyDescent="0.3">
      <c r="A527" s="14"/>
      <c r="B527" s="17" t="s">
        <v>63</v>
      </c>
      <c r="C527" s="17"/>
      <c r="D527" s="17"/>
      <c r="E527" s="17"/>
      <c r="F527" s="17"/>
      <c r="G527" s="17"/>
      <c r="H527" s="17"/>
    </row>
    <row r="528" spans="1:8" ht="13.8" x14ac:dyDescent="0.3">
      <c r="A528" s="14"/>
      <c r="B528" s="18" t="s">
        <v>63</v>
      </c>
      <c r="C528" s="18"/>
      <c r="D528" s="18"/>
      <c r="E528" s="18"/>
      <c r="F528" s="18"/>
      <c r="G528" s="18"/>
      <c r="H528" s="18"/>
    </row>
    <row r="529" spans="1:8" ht="13.8" x14ac:dyDescent="0.3">
      <c r="A529" s="14"/>
      <c r="B529" s="17" t="s">
        <v>63</v>
      </c>
      <c r="C529" s="17"/>
      <c r="D529" s="17"/>
      <c r="E529" s="17"/>
      <c r="F529" s="17"/>
      <c r="G529" s="17"/>
      <c r="H529" s="17"/>
    </row>
    <row r="530" spans="1:8" ht="13.8" x14ac:dyDescent="0.3">
      <c r="A530" s="14"/>
      <c r="B530" s="18" t="s">
        <v>63</v>
      </c>
      <c r="C530" s="18"/>
      <c r="D530" s="18"/>
      <c r="E530" s="18"/>
      <c r="F530" s="18"/>
      <c r="G530" s="18"/>
      <c r="H530" s="18"/>
    </row>
    <row r="531" spans="1:8" ht="13.8" x14ac:dyDescent="0.3">
      <c r="A531" s="14"/>
      <c r="B531" s="17" t="s">
        <v>63</v>
      </c>
      <c r="C531" s="17"/>
      <c r="D531" s="17"/>
      <c r="E531" s="17"/>
      <c r="F531" s="17"/>
      <c r="G531" s="17"/>
      <c r="H531" s="17"/>
    </row>
    <row r="532" spans="1:8" ht="13.8" x14ac:dyDescent="0.3">
      <c r="A532" s="14"/>
      <c r="B532" s="18" t="s">
        <v>63</v>
      </c>
      <c r="C532" s="18"/>
      <c r="D532" s="18"/>
      <c r="E532" s="18"/>
      <c r="F532" s="18"/>
      <c r="G532" s="18"/>
      <c r="H532" s="18"/>
    </row>
    <row r="533" spans="1:8" ht="13.8" x14ac:dyDescent="0.3">
      <c r="A533" s="14"/>
      <c r="B533" s="17" t="s">
        <v>63</v>
      </c>
      <c r="C533" s="17"/>
      <c r="D533" s="17"/>
      <c r="E533" s="17"/>
      <c r="F533" s="17"/>
      <c r="G533" s="17"/>
      <c r="H533" s="17"/>
    </row>
    <row r="534" spans="1:8" ht="13.8" x14ac:dyDescent="0.3">
      <c r="A534" s="14"/>
      <c r="B534" s="18" t="s">
        <v>63</v>
      </c>
      <c r="C534" s="18"/>
      <c r="D534" s="18"/>
      <c r="E534" s="18"/>
      <c r="F534" s="18"/>
      <c r="G534" s="18"/>
      <c r="H534" s="18"/>
    </row>
    <row r="535" spans="1:8" ht="13.8" x14ac:dyDescent="0.3">
      <c r="A535" s="14"/>
      <c r="B535" s="17" t="s">
        <v>63</v>
      </c>
      <c r="C535" s="17"/>
      <c r="D535" s="17"/>
      <c r="E535" s="17"/>
      <c r="F535" s="17"/>
      <c r="G535" s="17"/>
      <c r="H535" s="17"/>
    </row>
    <row r="536" spans="1:8" ht="13.8" x14ac:dyDescent="0.3">
      <c r="A536" s="14"/>
      <c r="B536" s="18" t="s">
        <v>63</v>
      </c>
      <c r="C536" s="18"/>
      <c r="D536" s="18"/>
      <c r="E536" s="18"/>
      <c r="F536" s="18"/>
      <c r="G536" s="18"/>
      <c r="H536" s="18"/>
    </row>
    <row r="537" spans="1:8" ht="13.8" x14ac:dyDescent="0.3">
      <c r="A537" s="14"/>
      <c r="B537" s="17" t="s">
        <v>63</v>
      </c>
      <c r="C537" s="17"/>
      <c r="D537" s="17"/>
      <c r="E537" s="17"/>
      <c r="F537" s="17"/>
      <c r="G537" s="17"/>
      <c r="H537" s="17"/>
    </row>
    <row r="538" spans="1:8" ht="13.8" x14ac:dyDescent="0.3">
      <c r="A538" s="14"/>
      <c r="B538" s="18" t="s">
        <v>63</v>
      </c>
      <c r="C538" s="18"/>
      <c r="D538" s="18"/>
      <c r="E538" s="18"/>
      <c r="F538" s="18"/>
      <c r="G538" s="18"/>
      <c r="H538" s="18"/>
    </row>
    <row r="539" spans="1:8" ht="13.8" x14ac:dyDescent="0.3">
      <c r="A539" s="14"/>
      <c r="B539" s="17" t="s">
        <v>63</v>
      </c>
      <c r="C539" s="17"/>
      <c r="D539" s="17"/>
      <c r="E539" s="17"/>
      <c r="F539" s="17"/>
      <c r="G539" s="17"/>
      <c r="H539" s="17"/>
    </row>
    <row r="540" spans="1:8" ht="13.8" x14ac:dyDescent="0.3">
      <c r="A540" s="14"/>
      <c r="B540" s="18" t="s">
        <v>63</v>
      </c>
      <c r="C540" s="18"/>
      <c r="D540" s="18"/>
      <c r="E540" s="18"/>
      <c r="F540" s="18"/>
      <c r="G540" s="18"/>
      <c r="H540" s="18"/>
    </row>
    <row r="541" spans="1:8" ht="13.8" x14ac:dyDescent="0.3">
      <c r="A541" s="14"/>
      <c r="B541" s="17" t="s">
        <v>63</v>
      </c>
      <c r="C541" s="17"/>
      <c r="D541" s="17"/>
      <c r="E541" s="17"/>
      <c r="F541" s="17"/>
      <c r="G541" s="17"/>
      <c r="H541" s="17"/>
    </row>
    <row r="542" spans="1:8" ht="13.8" x14ac:dyDescent="0.3">
      <c r="A542" s="14"/>
      <c r="B542" s="18" t="s">
        <v>63</v>
      </c>
      <c r="C542" s="18"/>
      <c r="D542" s="18"/>
      <c r="E542" s="18"/>
      <c r="F542" s="18"/>
      <c r="G542" s="18"/>
      <c r="H542" s="18"/>
    </row>
    <row r="543" spans="1:8" ht="13.8" x14ac:dyDescent="0.3">
      <c r="A543" s="14"/>
      <c r="B543" s="17" t="s">
        <v>63</v>
      </c>
      <c r="C543" s="17"/>
      <c r="D543" s="17"/>
      <c r="E543" s="17"/>
      <c r="F543" s="17"/>
      <c r="G543" s="17"/>
      <c r="H543" s="17"/>
    </row>
    <row r="544" spans="1:8" ht="13.8" x14ac:dyDescent="0.3">
      <c r="A544" s="14"/>
      <c r="B544" s="18" t="s">
        <v>63</v>
      </c>
      <c r="C544" s="18"/>
      <c r="D544" s="18"/>
      <c r="E544" s="18"/>
      <c r="F544" s="18"/>
      <c r="G544" s="18"/>
      <c r="H544" s="18"/>
    </row>
    <row r="545" spans="1:8" ht="13.8" x14ac:dyDescent="0.3">
      <c r="A545" s="14"/>
      <c r="B545" s="17" t="s">
        <v>63</v>
      </c>
      <c r="C545" s="17"/>
      <c r="D545" s="17"/>
      <c r="E545" s="17"/>
      <c r="F545" s="17"/>
      <c r="G545" s="17"/>
      <c r="H545" s="17"/>
    </row>
    <row r="546" spans="1:8" ht="13.8" x14ac:dyDescent="0.3">
      <c r="A546" s="14"/>
      <c r="B546" s="18" t="s">
        <v>63</v>
      </c>
      <c r="C546" s="18"/>
      <c r="D546" s="18"/>
      <c r="E546" s="18"/>
      <c r="F546" s="18"/>
      <c r="G546" s="18"/>
      <c r="H546" s="18"/>
    </row>
    <row r="547" spans="1:8" ht="13.8" x14ac:dyDescent="0.3">
      <c r="A547" s="14"/>
      <c r="B547" s="17" t="s">
        <v>63</v>
      </c>
      <c r="C547" s="17"/>
      <c r="D547" s="17"/>
      <c r="E547" s="17"/>
      <c r="F547" s="17"/>
      <c r="G547" s="17"/>
      <c r="H547" s="17"/>
    </row>
    <row r="548" spans="1:8" ht="13.8" x14ac:dyDescent="0.3">
      <c r="A548" s="14"/>
      <c r="B548" s="18" t="s">
        <v>63</v>
      </c>
      <c r="C548" s="18"/>
      <c r="D548" s="18"/>
      <c r="E548" s="18"/>
      <c r="F548" s="18"/>
      <c r="G548" s="18"/>
      <c r="H548" s="18"/>
    </row>
    <row r="549" spans="1:8" ht="13.8" x14ac:dyDescent="0.3">
      <c r="A549" s="14"/>
      <c r="B549" s="17" t="s">
        <v>63</v>
      </c>
      <c r="C549" s="17"/>
      <c r="D549" s="17"/>
      <c r="E549" s="17"/>
      <c r="F549" s="17"/>
      <c r="G549" s="17"/>
      <c r="H549" s="17"/>
    </row>
    <row r="550" spans="1:8" ht="13.8" x14ac:dyDescent="0.3">
      <c r="A550" s="14"/>
      <c r="B550" s="18" t="s">
        <v>63</v>
      </c>
      <c r="C550" s="18"/>
      <c r="D550" s="18"/>
      <c r="E550" s="18"/>
      <c r="F550" s="18"/>
      <c r="G550" s="18"/>
      <c r="H550" s="18"/>
    </row>
    <row r="551" spans="1:8" ht="13.8" x14ac:dyDescent="0.3">
      <c r="A551" s="14"/>
      <c r="B551" s="17" t="s">
        <v>63</v>
      </c>
      <c r="C551" s="17"/>
      <c r="D551" s="17"/>
      <c r="E551" s="17"/>
      <c r="F551" s="17"/>
      <c r="G551" s="17"/>
      <c r="H551" s="17"/>
    </row>
    <row r="552" spans="1:8" ht="13.8" x14ac:dyDescent="0.3">
      <c r="A552" s="14"/>
      <c r="B552" s="18" t="s">
        <v>63</v>
      </c>
      <c r="C552" s="18"/>
      <c r="D552" s="18"/>
      <c r="E552" s="18"/>
      <c r="F552" s="18"/>
      <c r="G552" s="18"/>
      <c r="H552" s="18"/>
    </row>
    <row r="553" spans="1:8" ht="13.8" x14ac:dyDescent="0.3">
      <c r="A553" s="14"/>
      <c r="B553" s="17" t="s">
        <v>63</v>
      </c>
      <c r="C553" s="17"/>
      <c r="D553" s="17"/>
      <c r="E553" s="17"/>
      <c r="F553" s="17"/>
      <c r="G553" s="17"/>
      <c r="H553" s="17"/>
    </row>
    <row r="554" spans="1:8" ht="13.8" x14ac:dyDescent="0.3">
      <c r="A554" s="14"/>
      <c r="B554" s="18" t="s">
        <v>63</v>
      </c>
      <c r="C554" s="18"/>
      <c r="D554" s="18"/>
      <c r="E554" s="18"/>
      <c r="F554" s="18"/>
      <c r="G554" s="18"/>
      <c r="H554" s="18"/>
    </row>
    <row r="555" spans="1:8" ht="13.8" x14ac:dyDescent="0.3">
      <c r="A555" s="14"/>
      <c r="B555" s="17" t="s">
        <v>63</v>
      </c>
      <c r="C555" s="17"/>
      <c r="D555" s="17"/>
      <c r="E555" s="17"/>
      <c r="F555" s="17"/>
      <c r="G555" s="17"/>
      <c r="H555" s="17"/>
    </row>
    <row r="556" spans="1:8" ht="13.8" x14ac:dyDescent="0.3">
      <c r="A556" s="14"/>
      <c r="B556" s="18" t="s">
        <v>63</v>
      </c>
      <c r="C556" s="18"/>
      <c r="D556" s="18"/>
      <c r="E556" s="18"/>
      <c r="F556" s="18"/>
      <c r="G556" s="18"/>
      <c r="H556" s="18"/>
    </row>
    <row r="557" spans="1:8" ht="13.8" x14ac:dyDescent="0.3">
      <c r="A557" s="14"/>
      <c r="B557" s="17" t="s">
        <v>63</v>
      </c>
      <c r="C557" s="17"/>
      <c r="D557" s="17"/>
      <c r="E557" s="17"/>
      <c r="F557" s="17"/>
      <c r="G557" s="17"/>
      <c r="H557" s="17"/>
    </row>
    <row r="558" spans="1:8" ht="13.8" x14ac:dyDescent="0.3">
      <c r="A558" s="14"/>
      <c r="B558" s="18" t="s">
        <v>63</v>
      </c>
      <c r="C558" s="18"/>
      <c r="D558" s="18"/>
      <c r="E558" s="18"/>
      <c r="F558" s="18"/>
      <c r="G558" s="18"/>
      <c r="H558" s="18"/>
    </row>
    <row r="559" spans="1:8" ht="13.8" x14ac:dyDescent="0.3">
      <c r="A559" s="14"/>
      <c r="B559" s="17" t="s">
        <v>63</v>
      </c>
      <c r="C559" s="17"/>
      <c r="D559" s="17"/>
      <c r="E559" s="17"/>
      <c r="F559" s="17"/>
      <c r="G559" s="17"/>
      <c r="H559" s="17"/>
    </row>
    <row r="560" spans="1:8" ht="13.8" x14ac:dyDescent="0.3">
      <c r="A560" s="14"/>
      <c r="B560" s="18" t="s">
        <v>63</v>
      </c>
      <c r="C560" s="18"/>
      <c r="D560" s="18"/>
      <c r="E560" s="18"/>
      <c r="F560" s="18"/>
      <c r="G560" s="18"/>
      <c r="H560" s="18"/>
    </row>
    <row r="561" spans="1:8" ht="13.8" x14ac:dyDescent="0.3">
      <c r="A561" s="14"/>
      <c r="B561" s="17" t="s">
        <v>63</v>
      </c>
      <c r="C561" s="17"/>
      <c r="D561" s="17"/>
      <c r="E561" s="17"/>
      <c r="F561" s="17"/>
      <c r="G561" s="17"/>
      <c r="H561" s="17"/>
    </row>
    <row r="562" spans="1:8" ht="13.8" x14ac:dyDescent="0.3">
      <c r="A562" s="14"/>
      <c r="B562" s="18" t="s">
        <v>63</v>
      </c>
      <c r="C562" s="18"/>
      <c r="D562" s="18"/>
      <c r="E562" s="18"/>
      <c r="F562" s="18"/>
      <c r="G562" s="18"/>
      <c r="H562" s="18"/>
    </row>
    <row r="563" spans="1:8" ht="13.8" x14ac:dyDescent="0.3">
      <c r="A563" s="14"/>
      <c r="B563" s="17" t="s">
        <v>63</v>
      </c>
      <c r="C563" s="17"/>
      <c r="D563" s="17"/>
      <c r="E563" s="17"/>
      <c r="F563" s="17"/>
      <c r="G563" s="17"/>
      <c r="H563" s="17"/>
    </row>
    <row r="564" spans="1:8" ht="13.8" x14ac:dyDescent="0.3">
      <c r="A564" s="14"/>
      <c r="B564" s="18" t="s">
        <v>63</v>
      </c>
      <c r="C564" s="18"/>
      <c r="D564" s="18"/>
      <c r="E564" s="18"/>
      <c r="F564" s="18"/>
      <c r="G564" s="18"/>
      <c r="H564" s="18"/>
    </row>
    <row r="565" spans="1:8" ht="13.8" x14ac:dyDescent="0.3">
      <c r="A565" s="14"/>
      <c r="B565" s="17" t="s">
        <v>63</v>
      </c>
      <c r="C565" s="17"/>
      <c r="D565" s="17"/>
      <c r="E565" s="17"/>
      <c r="F565" s="17"/>
      <c r="G565" s="17"/>
      <c r="H565" s="17"/>
    </row>
    <row r="566" spans="1:8" ht="13.8" x14ac:dyDescent="0.3">
      <c r="A566" s="14"/>
      <c r="B566" s="18" t="s">
        <v>63</v>
      </c>
      <c r="C566" s="18"/>
      <c r="D566" s="18"/>
      <c r="E566" s="18"/>
      <c r="F566" s="18"/>
      <c r="G566" s="18"/>
      <c r="H566" s="18"/>
    </row>
    <row r="567" spans="1:8" ht="13.8" x14ac:dyDescent="0.3">
      <c r="A567" s="14"/>
      <c r="B567" s="17" t="s">
        <v>63</v>
      </c>
      <c r="C567" s="17"/>
      <c r="D567" s="17"/>
      <c r="E567" s="17"/>
      <c r="F567" s="17"/>
      <c r="G567" s="17"/>
      <c r="H567" s="17"/>
    </row>
    <row r="568" spans="1:8" ht="13.8" x14ac:dyDescent="0.3">
      <c r="A568" s="14"/>
      <c r="B568" s="18" t="s">
        <v>63</v>
      </c>
      <c r="C568" s="18"/>
      <c r="D568" s="18"/>
      <c r="E568" s="18"/>
      <c r="F568" s="18"/>
      <c r="G568" s="18"/>
      <c r="H568" s="18"/>
    </row>
    <row r="569" spans="1:8" ht="13.8" x14ac:dyDescent="0.3">
      <c r="A569" s="14"/>
      <c r="B569" s="17" t="s">
        <v>63</v>
      </c>
      <c r="C569" s="17"/>
      <c r="D569" s="17"/>
      <c r="E569" s="17"/>
      <c r="F569" s="17"/>
      <c r="G569" s="17"/>
      <c r="H569" s="17"/>
    </row>
    <row r="570" spans="1:8" ht="13.8" x14ac:dyDescent="0.3">
      <c r="A570" s="14"/>
      <c r="B570" s="18" t="s">
        <v>63</v>
      </c>
      <c r="C570" s="18"/>
      <c r="D570" s="18"/>
      <c r="E570" s="18"/>
      <c r="F570" s="18"/>
      <c r="G570" s="18"/>
      <c r="H570" s="18"/>
    </row>
    <row r="571" spans="1:8" ht="13.8" x14ac:dyDescent="0.3">
      <c r="A571" s="14"/>
      <c r="B571" s="17" t="s">
        <v>63</v>
      </c>
      <c r="C571" s="17"/>
      <c r="D571" s="17"/>
      <c r="E571" s="17"/>
      <c r="F571" s="17"/>
      <c r="G571" s="17"/>
      <c r="H571" s="17"/>
    </row>
    <row r="572" spans="1:8" ht="13.8" x14ac:dyDescent="0.3">
      <c r="A572" s="14"/>
      <c r="B572" s="18" t="s">
        <v>63</v>
      </c>
      <c r="C572" s="18"/>
      <c r="D572" s="18"/>
      <c r="E572" s="18"/>
      <c r="F572" s="18"/>
      <c r="G572" s="18"/>
      <c r="H572" s="18"/>
    </row>
    <row r="573" spans="1:8" ht="13.8" x14ac:dyDescent="0.3">
      <c r="A573" s="14"/>
      <c r="B573" s="17" t="s">
        <v>63</v>
      </c>
      <c r="C573" s="17"/>
      <c r="D573" s="17"/>
      <c r="E573" s="17"/>
      <c r="F573" s="17"/>
      <c r="G573" s="17"/>
      <c r="H573" s="17"/>
    </row>
    <row r="574" spans="1:8" ht="13.8" x14ac:dyDescent="0.3">
      <c r="A574" s="14"/>
      <c r="B574" s="18" t="s">
        <v>63</v>
      </c>
      <c r="C574" s="18"/>
      <c r="D574" s="18"/>
      <c r="E574" s="18"/>
      <c r="F574" s="18"/>
      <c r="G574" s="18"/>
      <c r="H574" s="18"/>
    </row>
    <row r="575" spans="1:8" ht="13.8" x14ac:dyDescent="0.3">
      <c r="A575" s="14"/>
      <c r="B575" s="17" t="s">
        <v>63</v>
      </c>
      <c r="C575" s="17"/>
      <c r="D575" s="17"/>
      <c r="E575" s="17"/>
      <c r="F575" s="17"/>
      <c r="G575" s="17"/>
      <c r="H575" s="17"/>
    </row>
    <row r="576" spans="1:8" ht="13.8" x14ac:dyDescent="0.3">
      <c r="A576" s="14"/>
      <c r="B576" s="18" t="s">
        <v>63</v>
      </c>
      <c r="C576" s="18"/>
      <c r="D576" s="18"/>
      <c r="E576" s="18"/>
      <c r="F576" s="18"/>
      <c r="G576" s="18"/>
      <c r="H576" s="18"/>
    </row>
    <row r="577" spans="1:8" ht="13.8" x14ac:dyDescent="0.3">
      <c r="A577" s="14"/>
      <c r="B577" s="17" t="s">
        <v>63</v>
      </c>
      <c r="C577" s="17"/>
      <c r="D577" s="17"/>
      <c r="E577" s="17"/>
      <c r="F577" s="17"/>
      <c r="G577" s="17"/>
      <c r="H577" s="17"/>
    </row>
    <row r="578" spans="1:8" ht="13.8" x14ac:dyDescent="0.3">
      <c r="A578" s="14"/>
      <c r="B578" s="18" t="s">
        <v>63</v>
      </c>
      <c r="C578" s="18"/>
      <c r="D578" s="18"/>
      <c r="E578" s="18"/>
      <c r="F578" s="18"/>
      <c r="G578" s="18"/>
      <c r="H578" s="18"/>
    </row>
    <row r="579" spans="1:8" ht="13.8" x14ac:dyDescent="0.3">
      <c r="A579" s="14"/>
      <c r="B579" s="17" t="s">
        <v>63</v>
      </c>
      <c r="C579" s="17"/>
      <c r="D579" s="17"/>
      <c r="E579" s="17"/>
      <c r="F579" s="17"/>
      <c r="G579" s="17"/>
      <c r="H579" s="17"/>
    </row>
    <row r="580" spans="1:8" ht="13.8" x14ac:dyDescent="0.3">
      <c r="A580" s="14"/>
      <c r="B580" s="18" t="s">
        <v>63</v>
      </c>
      <c r="C580" s="18"/>
      <c r="D580" s="18"/>
      <c r="E580" s="18"/>
      <c r="F580" s="18"/>
      <c r="G580" s="18"/>
      <c r="H580" s="18"/>
    </row>
    <row r="581" spans="1:8" ht="13.8" x14ac:dyDescent="0.3">
      <c r="A581" s="14"/>
      <c r="B581" s="17" t="s">
        <v>63</v>
      </c>
      <c r="C581" s="17"/>
      <c r="D581" s="17"/>
      <c r="E581" s="17"/>
      <c r="F581" s="17"/>
      <c r="G581" s="17"/>
      <c r="H581" s="17"/>
    </row>
    <row r="582" spans="1:8" ht="13.8" x14ac:dyDescent="0.3">
      <c r="A582" s="14"/>
      <c r="B582" s="18" t="s">
        <v>63</v>
      </c>
      <c r="C582" s="18"/>
      <c r="D582" s="18"/>
      <c r="E582" s="18"/>
      <c r="F582" s="18"/>
      <c r="G582" s="18"/>
      <c r="H582" s="18"/>
    </row>
    <row r="583" spans="1:8" ht="13.8" x14ac:dyDescent="0.3">
      <c r="A583" s="14"/>
      <c r="B583" s="17" t="s">
        <v>63</v>
      </c>
      <c r="C583" s="17"/>
      <c r="D583" s="17"/>
      <c r="E583" s="17"/>
      <c r="F583" s="17"/>
      <c r="G583" s="17"/>
      <c r="H583" s="17"/>
    </row>
    <row r="584" spans="1:8" ht="13.8" x14ac:dyDescent="0.3">
      <c r="A584" s="14"/>
      <c r="B584" s="18" t="s">
        <v>63</v>
      </c>
      <c r="C584" s="18"/>
      <c r="D584" s="18"/>
      <c r="E584" s="18"/>
      <c r="F584" s="18"/>
      <c r="G584" s="18"/>
      <c r="H584" s="18"/>
    </row>
    <row r="585" spans="1:8" ht="13.8" x14ac:dyDescent="0.3">
      <c r="A585" s="14"/>
      <c r="B585" s="17" t="s">
        <v>63</v>
      </c>
      <c r="C585" s="17"/>
      <c r="D585" s="17"/>
      <c r="E585" s="17"/>
      <c r="F585" s="17"/>
      <c r="G585" s="17"/>
      <c r="H585" s="17"/>
    </row>
    <row r="586" spans="1:8" ht="13.8" x14ac:dyDescent="0.3">
      <c r="A586" s="14"/>
      <c r="B586" s="18" t="s">
        <v>63</v>
      </c>
      <c r="C586" s="18"/>
      <c r="D586" s="18"/>
      <c r="E586" s="18"/>
      <c r="F586" s="18"/>
      <c r="G586" s="18"/>
      <c r="H586" s="18"/>
    </row>
    <row r="587" spans="1:8" ht="13.8" x14ac:dyDescent="0.3">
      <c r="A587" s="14"/>
      <c r="B587" s="17" t="s">
        <v>63</v>
      </c>
      <c r="C587" s="17"/>
      <c r="D587" s="17"/>
      <c r="E587" s="17"/>
      <c r="F587" s="17"/>
      <c r="G587" s="17"/>
      <c r="H587" s="17"/>
    </row>
    <row r="588" spans="1:8" ht="13.8" x14ac:dyDescent="0.3">
      <c r="A588" s="14"/>
      <c r="B588" s="18" t="s">
        <v>63</v>
      </c>
      <c r="C588" s="18"/>
      <c r="D588" s="18"/>
      <c r="E588" s="18"/>
      <c r="F588" s="18"/>
      <c r="G588" s="18"/>
      <c r="H588" s="18"/>
    </row>
    <row r="589" spans="1:8" ht="13.8" x14ac:dyDescent="0.3">
      <c r="A589" s="14"/>
      <c r="B589" s="17" t="s">
        <v>63</v>
      </c>
      <c r="C589" s="17"/>
      <c r="D589" s="17"/>
      <c r="E589" s="17"/>
      <c r="F589" s="17"/>
      <c r="G589" s="17"/>
      <c r="H589" s="17"/>
    </row>
    <row r="590" spans="1:8" ht="13.8" x14ac:dyDescent="0.3">
      <c r="A590" s="14"/>
      <c r="B590" s="18" t="s">
        <v>63</v>
      </c>
      <c r="C590" s="18"/>
      <c r="D590" s="18"/>
      <c r="E590" s="18"/>
      <c r="F590" s="18"/>
      <c r="G590" s="18"/>
      <c r="H590" s="18"/>
    </row>
    <row r="591" spans="1:8" ht="13.8" x14ac:dyDescent="0.3">
      <c r="A591" s="14"/>
      <c r="B591" s="17" t="s">
        <v>63</v>
      </c>
      <c r="C591" s="17"/>
      <c r="D591" s="17"/>
      <c r="E591" s="17"/>
      <c r="F591" s="17"/>
      <c r="G591" s="17"/>
      <c r="H591" s="17"/>
    </row>
    <row r="592" spans="1:8" ht="13.8" x14ac:dyDescent="0.3">
      <c r="A592" s="14"/>
      <c r="B592" s="18" t="s">
        <v>63</v>
      </c>
      <c r="C592" s="18"/>
      <c r="D592" s="18"/>
      <c r="E592" s="18"/>
      <c r="F592" s="18"/>
      <c r="G592" s="18"/>
      <c r="H592" s="18"/>
    </row>
    <row r="593" spans="1:8" ht="13.8" x14ac:dyDescent="0.3">
      <c r="A593" s="14"/>
      <c r="B593" s="17" t="s">
        <v>63</v>
      </c>
      <c r="C593" s="17"/>
      <c r="D593" s="17"/>
      <c r="E593" s="17"/>
      <c r="F593" s="17"/>
      <c r="G593" s="17"/>
      <c r="H593" s="17"/>
    </row>
    <row r="594" spans="1:8" ht="13.8" x14ac:dyDescent="0.3">
      <c r="A594" s="14"/>
      <c r="B594" s="18" t="s">
        <v>63</v>
      </c>
      <c r="C594" s="18"/>
      <c r="D594" s="18"/>
      <c r="E594" s="18"/>
      <c r="F594" s="18"/>
      <c r="G594" s="18"/>
      <c r="H594" s="18"/>
    </row>
    <row r="595" spans="1:8" ht="13.8" x14ac:dyDescent="0.3">
      <c r="A595" s="14"/>
      <c r="B595" s="17" t="s">
        <v>63</v>
      </c>
      <c r="C595" s="17"/>
      <c r="D595" s="17"/>
      <c r="E595" s="17"/>
      <c r="F595" s="17"/>
      <c r="G595" s="17"/>
      <c r="H595" s="17"/>
    </row>
    <row r="596" spans="1:8" ht="13.8" x14ac:dyDescent="0.3">
      <c r="A596" s="14"/>
      <c r="B596" s="18" t="s">
        <v>63</v>
      </c>
      <c r="C596" s="18"/>
      <c r="D596" s="18"/>
      <c r="E596" s="18"/>
      <c r="F596" s="18"/>
      <c r="G596" s="18"/>
      <c r="H596" s="18"/>
    </row>
    <row r="597" spans="1:8" ht="13.8" x14ac:dyDescent="0.3">
      <c r="A597" s="14"/>
      <c r="B597" s="17" t="s">
        <v>63</v>
      </c>
      <c r="C597" s="17"/>
      <c r="D597" s="17"/>
      <c r="E597" s="17"/>
      <c r="F597" s="17"/>
      <c r="G597" s="17"/>
      <c r="H597" s="17"/>
    </row>
    <row r="598" spans="1:8" ht="13.8" x14ac:dyDescent="0.3">
      <c r="A598" s="14"/>
      <c r="B598" s="18" t="s">
        <v>63</v>
      </c>
      <c r="C598" s="18"/>
      <c r="D598" s="18"/>
      <c r="E598" s="18"/>
      <c r="F598" s="18"/>
      <c r="G598" s="18"/>
      <c r="H598" s="18"/>
    </row>
    <row r="599" spans="1:8" ht="13.8" x14ac:dyDescent="0.3">
      <c r="A599" s="14"/>
      <c r="B599" s="17" t="s">
        <v>63</v>
      </c>
      <c r="C599" s="17"/>
      <c r="D599" s="17"/>
      <c r="E599" s="17"/>
      <c r="F599" s="17"/>
      <c r="G599" s="17"/>
      <c r="H599" s="17"/>
    </row>
    <row r="600" spans="1:8" ht="13.8" x14ac:dyDescent="0.3">
      <c r="A600" s="14"/>
      <c r="B600" s="18" t="s">
        <v>63</v>
      </c>
      <c r="C600" s="18"/>
      <c r="D600" s="18"/>
      <c r="E600" s="18"/>
      <c r="F600" s="18"/>
      <c r="G600" s="18"/>
      <c r="H600" s="18"/>
    </row>
    <row r="601" spans="1:8" ht="13.8" x14ac:dyDescent="0.3">
      <c r="A601" s="14"/>
      <c r="B601" s="17" t="s">
        <v>63</v>
      </c>
      <c r="C601" s="17"/>
      <c r="D601" s="17"/>
      <c r="E601" s="17"/>
      <c r="F601" s="17"/>
      <c r="G601" s="17"/>
      <c r="H601" s="17"/>
    </row>
    <row r="602" spans="1:8" ht="13.8" x14ac:dyDescent="0.3">
      <c r="A602" s="14"/>
      <c r="B602" s="18" t="s">
        <v>63</v>
      </c>
      <c r="C602" s="18"/>
      <c r="D602" s="18"/>
      <c r="E602" s="18"/>
      <c r="F602" s="18"/>
      <c r="G602" s="18"/>
      <c r="H602" s="18"/>
    </row>
    <row r="603" spans="1:8" ht="13.8" x14ac:dyDescent="0.3">
      <c r="A603" s="14"/>
      <c r="B603" s="17" t="s">
        <v>63</v>
      </c>
      <c r="C603" s="17"/>
      <c r="D603" s="17"/>
      <c r="E603" s="17"/>
      <c r="F603" s="17"/>
      <c r="G603" s="17"/>
      <c r="H603" s="17"/>
    </row>
    <row r="604" spans="1:8" ht="13.8" x14ac:dyDescent="0.3">
      <c r="A604" s="14"/>
      <c r="B604" s="18" t="s">
        <v>63</v>
      </c>
      <c r="C604" s="18"/>
      <c r="D604" s="18"/>
      <c r="E604" s="18"/>
      <c r="F604" s="18"/>
      <c r="G604" s="18"/>
      <c r="H604" s="18"/>
    </row>
    <row r="605" spans="1:8" ht="13.8" x14ac:dyDescent="0.3">
      <c r="A605" s="14"/>
      <c r="B605" s="17" t="s">
        <v>63</v>
      </c>
      <c r="C605" s="17"/>
      <c r="D605" s="17"/>
      <c r="E605" s="17"/>
      <c r="F605" s="17"/>
      <c r="G605" s="17"/>
      <c r="H605" s="17"/>
    </row>
    <row r="606" spans="1:8" ht="13.8" x14ac:dyDescent="0.3">
      <c r="A606" s="14"/>
      <c r="B606" s="18" t="s">
        <v>63</v>
      </c>
      <c r="C606" s="18"/>
      <c r="D606" s="18"/>
      <c r="E606" s="18"/>
      <c r="F606" s="18"/>
      <c r="G606" s="18"/>
      <c r="H606" s="18"/>
    </row>
    <row r="607" spans="1:8" ht="13.8" x14ac:dyDescent="0.3">
      <c r="A607" s="14"/>
      <c r="B607" s="17" t="s">
        <v>63</v>
      </c>
      <c r="C607" s="17"/>
      <c r="D607" s="17"/>
      <c r="E607" s="17"/>
      <c r="F607" s="17"/>
      <c r="G607" s="17"/>
      <c r="H607" s="17"/>
    </row>
    <row r="608" spans="1:8" ht="13.8" x14ac:dyDescent="0.3">
      <c r="A608" s="14"/>
      <c r="B608" s="18" t="s">
        <v>63</v>
      </c>
      <c r="C608" s="18"/>
      <c r="D608" s="18"/>
      <c r="E608" s="18"/>
      <c r="F608" s="18"/>
      <c r="G608" s="18"/>
      <c r="H608" s="18"/>
    </row>
    <row r="609" spans="1:8" ht="13.8" x14ac:dyDescent="0.3">
      <c r="A609" s="14"/>
      <c r="B609" s="17" t="s">
        <v>63</v>
      </c>
      <c r="C609" s="17"/>
      <c r="D609" s="17"/>
      <c r="E609" s="17"/>
      <c r="F609" s="17"/>
      <c r="G609" s="17"/>
      <c r="H609" s="17"/>
    </row>
    <row r="610" spans="1:8" ht="13.8" x14ac:dyDescent="0.3">
      <c r="A610" s="14"/>
      <c r="B610" s="18" t="s">
        <v>63</v>
      </c>
      <c r="C610" s="18"/>
      <c r="D610" s="18"/>
      <c r="E610" s="18"/>
      <c r="F610" s="18"/>
      <c r="G610" s="18"/>
      <c r="H610" s="18"/>
    </row>
    <row r="611" spans="1:8" ht="13.8" x14ac:dyDescent="0.3">
      <c r="A611" s="14"/>
      <c r="B611" s="17" t="s">
        <v>63</v>
      </c>
      <c r="C611" s="17"/>
      <c r="D611" s="17"/>
      <c r="E611" s="17"/>
      <c r="F611" s="17"/>
      <c r="G611" s="17"/>
      <c r="H611" s="17"/>
    </row>
    <row r="612" spans="1:8" ht="13.8" x14ac:dyDescent="0.3">
      <c r="A612" s="14"/>
      <c r="B612" s="18" t="s">
        <v>63</v>
      </c>
      <c r="C612" s="18"/>
      <c r="D612" s="18"/>
      <c r="E612" s="18"/>
      <c r="F612" s="18"/>
      <c r="G612" s="18"/>
      <c r="H612" s="18"/>
    </row>
    <row r="613" spans="1:8" ht="13.8" x14ac:dyDescent="0.3">
      <c r="A613" s="14"/>
      <c r="B613" s="17" t="s">
        <v>63</v>
      </c>
      <c r="C613" s="17"/>
      <c r="D613" s="17"/>
      <c r="E613" s="17"/>
      <c r="F613" s="17"/>
      <c r="G613" s="17"/>
      <c r="H613" s="17"/>
    </row>
    <row r="614" spans="1:8" ht="13.8" x14ac:dyDescent="0.3">
      <c r="A614" s="14"/>
      <c r="B614" s="18" t="s">
        <v>63</v>
      </c>
      <c r="C614" s="18"/>
      <c r="D614" s="18"/>
      <c r="E614" s="18"/>
      <c r="F614" s="18"/>
      <c r="G614" s="18"/>
      <c r="H614" s="18"/>
    </row>
    <row r="615" spans="1:8" ht="13.8" x14ac:dyDescent="0.3">
      <c r="A615" s="14"/>
      <c r="B615" s="17" t="s">
        <v>63</v>
      </c>
      <c r="C615" s="17"/>
      <c r="D615" s="17"/>
      <c r="E615" s="17"/>
      <c r="F615" s="17"/>
      <c r="G615" s="17"/>
      <c r="H615" s="17"/>
    </row>
    <row r="616" spans="1:8" ht="13.8" x14ac:dyDescent="0.3">
      <c r="A616" s="14"/>
      <c r="B616" s="18" t="s">
        <v>63</v>
      </c>
      <c r="C616" s="18"/>
      <c r="D616" s="18"/>
      <c r="E616" s="18"/>
      <c r="F616" s="18"/>
      <c r="G616" s="18"/>
      <c r="H616" s="18"/>
    </row>
    <row r="617" spans="1:8" ht="13.8" x14ac:dyDescent="0.3">
      <c r="A617" s="14"/>
      <c r="B617" s="17" t="s">
        <v>63</v>
      </c>
      <c r="C617" s="17"/>
      <c r="D617" s="17"/>
      <c r="E617" s="17"/>
      <c r="F617" s="17"/>
      <c r="G617" s="17"/>
      <c r="H617" s="17"/>
    </row>
    <row r="618" spans="1:8" ht="13.8" x14ac:dyDescent="0.3">
      <c r="A618" s="14"/>
      <c r="B618" s="18" t="s">
        <v>63</v>
      </c>
      <c r="C618" s="18"/>
      <c r="D618" s="18"/>
      <c r="E618" s="18"/>
      <c r="F618" s="18"/>
      <c r="G618" s="18"/>
      <c r="H618" s="18"/>
    </row>
    <row r="619" spans="1:8" ht="13.8" x14ac:dyDescent="0.3">
      <c r="A619" s="14"/>
      <c r="B619" s="17" t="s">
        <v>63</v>
      </c>
      <c r="C619" s="17"/>
      <c r="D619" s="17"/>
      <c r="E619" s="17"/>
      <c r="F619" s="17"/>
      <c r="G619" s="17"/>
      <c r="H619" s="17"/>
    </row>
    <row r="620" spans="1:8" ht="13.8" x14ac:dyDescent="0.3">
      <c r="A620" s="14"/>
      <c r="B620" s="18" t="s">
        <v>63</v>
      </c>
      <c r="C620" s="18"/>
      <c r="D620" s="18"/>
      <c r="E620" s="18"/>
      <c r="F620" s="18"/>
      <c r="G620" s="18"/>
      <c r="H620" s="18"/>
    </row>
    <row r="621" spans="1:8" ht="13.8" x14ac:dyDescent="0.3">
      <c r="A621" s="14"/>
      <c r="B621" s="17" t="s">
        <v>63</v>
      </c>
      <c r="C621" s="17"/>
      <c r="D621" s="17"/>
      <c r="E621" s="17"/>
      <c r="F621" s="17"/>
      <c r="G621" s="17"/>
      <c r="H621" s="17"/>
    </row>
    <row r="622" spans="1:8" ht="13.8" x14ac:dyDescent="0.3">
      <c r="A622" s="14"/>
      <c r="B622" s="18" t="s">
        <v>63</v>
      </c>
      <c r="C622" s="18"/>
      <c r="D622" s="18"/>
      <c r="E622" s="18"/>
      <c r="F622" s="18"/>
      <c r="G622" s="18"/>
      <c r="H622" s="18"/>
    </row>
    <row r="623" spans="1:8" ht="13.8" x14ac:dyDescent="0.3">
      <c r="A623" s="14"/>
      <c r="B623" s="17" t="s">
        <v>63</v>
      </c>
      <c r="C623" s="17"/>
      <c r="D623" s="17"/>
      <c r="E623" s="17"/>
      <c r="F623" s="17"/>
      <c r="G623" s="17"/>
      <c r="H623" s="17"/>
    </row>
    <row r="624" spans="1:8" ht="13.8" x14ac:dyDescent="0.3">
      <c r="A624" s="14"/>
      <c r="B624" s="18" t="s">
        <v>63</v>
      </c>
      <c r="C624" s="18"/>
      <c r="D624" s="18"/>
      <c r="E624" s="18"/>
      <c r="F624" s="18"/>
      <c r="G624" s="18"/>
      <c r="H624" s="18"/>
    </row>
    <row r="625" spans="1:8" ht="13.8" x14ac:dyDescent="0.3">
      <c r="A625" s="14"/>
      <c r="B625" s="17" t="s">
        <v>63</v>
      </c>
      <c r="C625" s="17"/>
      <c r="D625" s="17"/>
      <c r="E625" s="17"/>
      <c r="F625" s="17"/>
      <c r="G625" s="17"/>
      <c r="H625" s="17"/>
    </row>
    <row r="626" spans="1:8" ht="13.8" x14ac:dyDescent="0.3">
      <c r="A626" s="14"/>
      <c r="B626" s="18" t="s">
        <v>63</v>
      </c>
      <c r="C626" s="18"/>
      <c r="D626" s="18"/>
      <c r="E626" s="18"/>
      <c r="F626" s="18"/>
      <c r="G626" s="18"/>
      <c r="H626" s="18"/>
    </row>
    <row r="627" spans="1:8" ht="13.8" x14ac:dyDescent="0.3">
      <c r="A627" s="14"/>
      <c r="B627" s="17" t="s">
        <v>63</v>
      </c>
      <c r="C627" s="17"/>
      <c r="D627" s="17"/>
      <c r="E627" s="17"/>
      <c r="F627" s="17"/>
      <c r="G627" s="17"/>
      <c r="H627" s="17"/>
    </row>
    <row r="628" spans="1:8" ht="13.8" x14ac:dyDescent="0.3">
      <c r="A628" s="14"/>
      <c r="B628" s="18" t="s">
        <v>63</v>
      </c>
      <c r="C628" s="18"/>
      <c r="D628" s="18"/>
      <c r="E628" s="18"/>
      <c r="F628" s="18"/>
      <c r="G628" s="18"/>
      <c r="H628" s="18"/>
    </row>
    <row r="629" spans="1:8" ht="13.8" x14ac:dyDescent="0.3">
      <c r="A629" s="14"/>
      <c r="B629" s="17" t="s">
        <v>63</v>
      </c>
      <c r="C629" s="17"/>
      <c r="D629" s="17"/>
      <c r="E629" s="17"/>
      <c r="F629" s="17"/>
      <c r="G629" s="17"/>
      <c r="H629" s="17"/>
    </row>
    <row r="630" spans="1:8" ht="13.8" x14ac:dyDescent="0.3">
      <c r="A630" s="14"/>
      <c r="B630" s="18" t="s">
        <v>63</v>
      </c>
      <c r="C630" s="18"/>
      <c r="D630" s="18"/>
      <c r="E630" s="18"/>
      <c r="F630" s="18"/>
      <c r="G630" s="18"/>
      <c r="H630" s="18"/>
    </row>
    <row r="631" spans="1:8" ht="13.8" x14ac:dyDescent="0.3">
      <c r="A631" s="14"/>
      <c r="B631" s="17" t="s">
        <v>63</v>
      </c>
      <c r="C631" s="17"/>
      <c r="D631" s="17"/>
      <c r="E631" s="17"/>
      <c r="F631" s="17"/>
      <c r="G631" s="17"/>
      <c r="H631" s="17"/>
    </row>
    <row r="632" spans="1:8" ht="13.8" x14ac:dyDescent="0.3">
      <c r="A632" s="14"/>
      <c r="B632" s="18" t="s">
        <v>63</v>
      </c>
      <c r="C632" s="18"/>
      <c r="D632" s="18"/>
      <c r="E632" s="18"/>
      <c r="F632" s="18"/>
      <c r="G632" s="18"/>
      <c r="H632" s="18"/>
    </row>
    <row r="633" spans="1:8" ht="13.8" x14ac:dyDescent="0.3">
      <c r="A633" s="14"/>
      <c r="B633" s="17" t="s">
        <v>63</v>
      </c>
      <c r="C633" s="17"/>
      <c r="D633" s="17"/>
      <c r="E633" s="17"/>
      <c r="F633" s="17"/>
      <c r="G633" s="17"/>
      <c r="H633" s="17"/>
    </row>
    <row r="634" spans="1:8" ht="13.8" x14ac:dyDescent="0.3">
      <c r="A634" s="14"/>
      <c r="B634" s="18" t="s">
        <v>63</v>
      </c>
      <c r="C634" s="18"/>
      <c r="D634" s="18"/>
      <c r="E634" s="18"/>
      <c r="F634" s="18"/>
      <c r="G634" s="18"/>
      <c r="H634" s="18"/>
    </row>
    <row r="635" spans="1:8" ht="13.8" x14ac:dyDescent="0.3">
      <c r="A635" s="14"/>
      <c r="B635" s="17" t="s">
        <v>63</v>
      </c>
      <c r="C635" s="17"/>
      <c r="D635" s="17"/>
      <c r="E635" s="17"/>
      <c r="F635" s="17"/>
      <c r="G635" s="17"/>
      <c r="H635" s="17"/>
    </row>
    <row r="636" spans="1:8" ht="13.8" x14ac:dyDescent="0.3">
      <c r="A636" s="14"/>
      <c r="B636" s="18" t="s">
        <v>63</v>
      </c>
      <c r="C636" s="18"/>
      <c r="D636" s="18"/>
      <c r="E636" s="18"/>
      <c r="F636" s="18"/>
      <c r="G636" s="18"/>
      <c r="H636" s="18"/>
    </row>
    <row r="637" spans="1:8" ht="13.8" x14ac:dyDescent="0.3">
      <c r="A637" s="14"/>
      <c r="B637" s="17" t="s">
        <v>63</v>
      </c>
      <c r="C637" s="17"/>
      <c r="D637" s="17"/>
      <c r="E637" s="17"/>
      <c r="F637" s="17"/>
      <c r="G637" s="17"/>
      <c r="H637" s="17"/>
    </row>
    <row r="638" spans="1:8" ht="13.8" x14ac:dyDescent="0.3">
      <c r="A638" s="14"/>
      <c r="B638" s="18" t="s">
        <v>63</v>
      </c>
      <c r="C638" s="18"/>
      <c r="D638" s="18"/>
      <c r="E638" s="18"/>
      <c r="F638" s="18"/>
      <c r="G638" s="18"/>
      <c r="H638" s="18"/>
    </row>
    <row r="639" spans="1:8" ht="13.8" x14ac:dyDescent="0.3">
      <c r="A639" s="14"/>
      <c r="B639" s="17" t="s">
        <v>63</v>
      </c>
      <c r="C639" s="17"/>
      <c r="D639" s="17"/>
      <c r="E639" s="17"/>
      <c r="F639" s="17"/>
      <c r="G639" s="17"/>
      <c r="H639" s="17"/>
    </row>
    <row r="640" spans="1:8" ht="13.8" x14ac:dyDescent="0.3">
      <c r="A640" s="14"/>
      <c r="B640" s="18" t="s">
        <v>63</v>
      </c>
      <c r="C640" s="18"/>
      <c r="D640" s="18"/>
      <c r="E640" s="18"/>
      <c r="F640" s="18"/>
      <c r="G640" s="18"/>
      <c r="H640" s="18"/>
    </row>
    <row r="641" spans="1:8" ht="13.8" x14ac:dyDescent="0.3">
      <c r="A641" s="14"/>
      <c r="B641" s="17" t="s">
        <v>63</v>
      </c>
      <c r="C641" s="17"/>
      <c r="D641" s="17"/>
      <c r="E641" s="17"/>
      <c r="F641" s="17"/>
      <c r="G641" s="17"/>
      <c r="H641" s="17"/>
    </row>
    <row r="642" spans="1:8" ht="13.8" x14ac:dyDescent="0.3">
      <c r="A642" s="14"/>
      <c r="B642" s="18" t="s">
        <v>63</v>
      </c>
      <c r="C642" s="18"/>
      <c r="D642" s="18"/>
      <c r="E642" s="18"/>
      <c r="F642" s="18"/>
      <c r="G642" s="18"/>
      <c r="H642" s="18"/>
    </row>
    <row r="643" spans="1:8" ht="13.8" x14ac:dyDescent="0.3">
      <c r="A643" s="14"/>
      <c r="B643" s="17" t="s">
        <v>63</v>
      </c>
      <c r="C643" s="17"/>
      <c r="D643" s="17"/>
      <c r="E643" s="17"/>
      <c r="F643" s="17"/>
      <c r="G643" s="17"/>
      <c r="H643" s="17"/>
    </row>
    <row r="644" spans="1:8" ht="13.8" x14ac:dyDescent="0.3">
      <c r="A644" s="14"/>
      <c r="B644" s="18" t="s">
        <v>63</v>
      </c>
      <c r="C644" s="18"/>
      <c r="D644" s="18"/>
      <c r="E644" s="18"/>
      <c r="F644" s="18"/>
      <c r="G644" s="18"/>
      <c r="H644" s="18"/>
    </row>
    <row r="645" spans="1:8" ht="13.8" x14ac:dyDescent="0.3">
      <c r="A645" s="14"/>
      <c r="B645" s="17" t="s">
        <v>63</v>
      </c>
      <c r="C645" s="17"/>
      <c r="D645" s="17"/>
      <c r="E645" s="17"/>
      <c r="F645" s="17"/>
      <c r="G645" s="17"/>
      <c r="H645" s="17"/>
    </row>
    <row r="646" spans="1:8" ht="13.8" x14ac:dyDescent="0.3">
      <c r="A646" s="14"/>
      <c r="B646" s="18" t="s">
        <v>63</v>
      </c>
      <c r="C646" s="18"/>
      <c r="D646" s="18"/>
      <c r="E646" s="18"/>
      <c r="F646" s="18"/>
      <c r="G646" s="18"/>
      <c r="H646" s="18"/>
    </row>
    <row r="647" spans="1:8" ht="13.8" x14ac:dyDescent="0.3">
      <c r="A647" s="14"/>
      <c r="B647" s="17" t="s">
        <v>63</v>
      </c>
      <c r="C647" s="17"/>
      <c r="D647" s="17"/>
      <c r="E647" s="17"/>
      <c r="F647" s="17"/>
      <c r="G647" s="17"/>
      <c r="H647" s="17"/>
    </row>
    <row r="648" spans="1:8" ht="13.8" x14ac:dyDescent="0.3">
      <c r="A648" s="14"/>
      <c r="B648" s="18" t="s">
        <v>63</v>
      </c>
      <c r="C648" s="18"/>
      <c r="D648" s="18"/>
      <c r="E648" s="18"/>
      <c r="F648" s="18"/>
      <c r="G648" s="18"/>
      <c r="H648" s="18"/>
    </row>
    <row r="649" spans="1:8" ht="13.8" x14ac:dyDescent="0.3">
      <c r="A649" s="14"/>
      <c r="B649" s="17" t="s">
        <v>63</v>
      </c>
      <c r="C649" s="17"/>
      <c r="D649" s="17"/>
      <c r="E649" s="17"/>
      <c r="F649" s="17"/>
      <c r="G649" s="17"/>
      <c r="H649" s="17"/>
    </row>
    <row r="650" spans="1:8" ht="13.8" x14ac:dyDescent="0.3">
      <c r="A650" s="14"/>
      <c r="B650" s="18" t="s">
        <v>63</v>
      </c>
      <c r="C650" s="18"/>
      <c r="D650" s="18"/>
      <c r="E650" s="18"/>
      <c r="F650" s="18"/>
      <c r="G650" s="18"/>
      <c r="H650" s="18"/>
    </row>
    <row r="651" spans="1:8" ht="13.8" x14ac:dyDescent="0.3">
      <c r="A651" s="14"/>
      <c r="B651" s="17" t="s">
        <v>63</v>
      </c>
      <c r="C651" s="17"/>
      <c r="D651" s="17"/>
      <c r="E651" s="17"/>
      <c r="F651" s="17"/>
      <c r="G651" s="17"/>
      <c r="H651" s="17"/>
    </row>
    <row r="652" spans="1:8" ht="13.8" x14ac:dyDescent="0.3">
      <c r="A652" s="14"/>
      <c r="B652" s="18" t="s">
        <v>63</v>
      </c>
      <c r="C652" s="18"/>
      <c r="D652" s="18"/>
      <c r="E652" s="18"/>
      <c r="F652" s="18"/>
      <c r="G652" s="18"/>
      <c r="H652" s="18"/>
    </row>
    <row r="653" spans="1:8" ht="13.8" x14ac:dyDescent="0.3">
      <c r="A653" s="14"/>
      <c r="B653" s="17" t="s">
        <v>63</v>
      </c>
      <c r="C653" s="17"/>
      <c r="D653" s="17"/>
      <c r="E653" s="17"/>
      <c r="F653" s="17"/>
      <c r="G653" s="17"/>
      <c r="H653" s="17"/>
    </row>
    <row r="654" spans="1:8" ht="13.8" x14ac:dyDescent="0.3">
      <c r="A654" s="14"/>
      <c r="B654" s="18" t="s">
        <v>63</v>
      </c>
      <c r="C654" s="18"/>
      <c r="D654" s="18"/>
      <c r="E654" s="18"/>
      <c r="F654" s="18"/>
      <c r="G654" s="18"/>
      <c r="H654" s="18"/>
    </row>
    <row r="655" spans="1:8" ht="13.8" x14ac:dyDescent="0.3">
      <c r="A655" s="14"/>
      <c r="B655" s="17" t="s">
        <v>63</v>
      </c>
      <c r="C655" s="17"/>
      <c r="D655" s="17"/>
      <c r="E655" s="17"/>
      <c r="F655" s="17"/>
      <c r="G655" s="17"/>
      <c r="H655" s="17"/>
    </row>
    <row r="656" spans="1:8" ht="13.8" x14ac:dyDescent="0.3">
      <c r="A656" s="14"/>
      <c r="B656" s="18" t="s">
        <v>63</v>
      </c>
      <c r="C656" s="18"/>
      <c r="D656" s="18"/>
      <c r="E656" s="18"/>
      <c r="F656" s="18"/>
      <c r="G656" s="18"/>
      <c r="H656" s="18"/>
    </row>
    <row r="657" spans="1:8" ht="13.8" x14ac:dyDescent="0.3">
      <c r="A657" s="14"/>
      <c r="B657" s="17" t="s">
        <v>63</v>
      </c>
      <c r="C657" s="17"/>
      <c r="D657" s="17"/>
      <c r="E657" s="17"/>
      <c r="F657" s="17"/>
      <c r="G657" s="17"/>
      <c r="H657" s="17"/>
    </row>
    <row r="658" spans="1:8" ht="13.8" x14ac:dyDescent="0.3">
      <c r="A658" s="14"/>
      <c r="B658" s="18" t="s">
        <v>63</v>
      </c>
      <c r="C658" s="18"/>
      <c r="D658" s="18"/>
      <c r="E658" s="18"/>
      <c r="F658" s="18"/>
      <c r="G658" s="18"/>
      <c r="H658" s="18"/>
    </row>
    <row r="659" spans="1:8" ht="13.8" x14ac:dyDescent="0.3">
      <c r="A659" s="14"/>
      <c r="B659" s="17" t="s">
        <v>63</v>
      </c>
      <c r="C659" s="17"/>
      <c r="D659" s="17"/>
      <c r="E659" s="17"/>
      <c r="F659" s="17"/>
      <c r="G659" s="17"/>
      <c r="H659" s="17"/>
    </row>
    <row r="660" spans="1:8" ht="13.8" x14ac:dyDescent="0.3">
      <c r="A660" s="14"/>
      <c r="B660" s="18" t="s">
        <v>63</v>
      </c>
      <c r="C660" s="18"/>
      <c r="D660" s="18"/>
      <c r="E660" s="18"/>
      <c r="F660" s="18"/>
      <c r="G660" s="18"/>
      <c r="H660" s="18"/>
    </row>
    <row r="661" spans="1:8" ht="13.8" x14ac:dyDescent="0.3">
      <c r="A661" s="14"/>
      <c r="B661" s="17" t="s">
        <v>63</v>
      </c>
      <c r="C661" s="17"/>
      <c r="D661" s="17"/>
      <c r="E661" s="17"/>
      <c r="F661" s="17"/>
      <c r="G661" s="17"/>
      <c r="H661" s="17"/>
    </row>
    <row r="662" spans="1:8" ht="13.8" x14ac:dyDescent="0.3">
      <c r="A662" s="14"/>
      <c r="B662" s="18" t="s">
        <v>63</v>
      </c>
      <c r="C662" s="18"/>
      <c r="D662" s="18"/>
      <c r="E662" s="18"/>
      <c r="F662" s="18"/>
      <c r="G662" s="18"/>
      <c r="H662" s="18"/>
    </row>
    <row r="663" spans="1:8" ht="13.8" x14ac:dyDescent="0.3">
      <c r="A663" s="14"/>
      <c r="B663" s="17" t="s">
        <v>63</v>
      </c>
      <c r="C663" s="17"/>
      <c r="D663" s="17"/>
      <c r="E663" s="17"/>
      <c r="F663" s="17"/>
      <c r="G663" s="17"/>
      <c r="H663" s="17"/>
    </row>
    <row r="664" spans="1:8" ht="13.8" x14ac:dyDescent="0.3">
      <c r="A664" s="14"/>
      <c r="B664" s="18" t="s">
        <v>63</v>
      </c>
      <c r="C664" s="18"/>
      <c r="D664" s="18"/>
      <c r="E664" s="18"/>
      <c r="F664" s="18"/>
      <c r="G664" s="18"/>
      <c r="H664" s="18"/>
    </row>
    <row r="665" spans="1:8" ht="13.8" x14ac:dyDescent="0.3">
      <c r="A665" s="14"/>
      <c r="B665" s="17" t="s">
        <v>63</v>
      </c>
      <c r="C665" s="17"/>
      <c r="D665" s="17"/>
      <c r="E665" s="17"/>
      <c r="F665" s="17"/>
      <c r="G665" s="17"/>
      <c r="H665" s="17"/>
    </row>
    <row r="666" spans="1:8" ht="13.8" x14ac:dyDescent="0.3">
      <c r="A666" s="14"/>
      <c r="B666" s="18" t="s">
        <v>63</v>
      </c>
      <c r="C666" s="18"/>
      <c r="D666" s="18"/>
      <c r="E666" s="18"/>
      <c r="F666" s="18"/>
      <c r="G666" s="18"/>
      <c r="H666" s="18"/>
    </row>
    <row r="667" spans="1:8" ht="13.8" x14ac:dyDescent="0.3">
      <c r="A667" s="14"/>
      <c r="B667" s="17" t="s">
        <v>63</v>
      </c>
      <c r="C667" s="17"/>
      <c r="D667" s="17"/>
      <c r="E667" s="17"/>
      <c r="F667" s="17"/>
      <c r="G667" s="17"/>
      <c r="H667" s="17"/>
    </row>
    <row r="668" spans="1:8" ht="13.8" x14ac:dyDescent="0.3">
      <c r="A668" s="14"/>
      <c r="B668" s="18" t="s">
        <v>63</v>
      </c>
      <c r="C668" s="18"/>
      <c r="D668" s="18"/>
      <c r="E668" s="18"/>
      <c r="F668" s="18"/>
      <c r="G668" s="18"/>
      <c r="H668" s="18"/>
    </row>
    <row r="669" spans="1:8" ht="13.8" x14ac:dyDescent="0.3">
      <c r="A669" s="14"/>
      <c r="B669" s="17" t="s">
        <v>63</v>
      </c>
      <c r="C669" s="17"/>
      <c r="D669" s="17"/>
      <c r="E669" s="17"/>
      <c r="F669" s="17"/>
      <c r="G669" s="17"/>
      <c r="H669" s="17"/>
    </row>
    <row r="670" spans="1:8" ht="13.8" x14ac:dyDescent="0.3">
      <c r="A670" s="14"/>
      <c r="B670" s="18" t="s">
        <v>63</v>
      </c>
      <c r="C670" s="18"/>
      <c r="D670" s="18"/>
      <c r="E670" s="18"/>
      <c r="F670" s="18"/>
      <c r="G670" s="18"/>
      <c r="H670" s="18"/>
    </row>
    <row r="671" spans="1:8" ht="13.8" x14ac:dyDescent="0.3">
      <c r="A671" s="14"/>
      <c r="B671" s="17" t="s">
        <v>63</v>
      </c>
      <c r="C671" s="17"/>
      <c r="D671" s="17"/>
      <c r="E671" s="17"/>
      <c r="F671" s="17"/>
      <c r="G671" s="17"/>
      <c r="H671" s="17"/>
    </row>
    <row r="672" spans="1:8" ht="13.8" x14ac:dyDescent="0.3">
      <c r="A672" s="14"/>
      <c r="B672" s="18" t="s">
        <v>63</v>
      </c>
      <c r="C672" s="18"/>
      <c r="D672" s="18"/>
      <c r="E672" s="18"/>
      <c r="F672" s="18"/>
      <c r="G672" s="18"/>
      <c r="H672" s="18"/>
    </row>
    <row r="673" spans="1:8" ht="13.8" x14ac:dyDescent="0.3">
      <c r="A673" s="14"/>
      <c r="B673" s="17" t="s">
        <v>63</v>
      </c>
      <c r="C673" s="17"/>
      <c r="D673" s="17"/>
      <c r="E673" s="17"/>
      <c r="F673" s="17"/>
      <c r="G673" s="17"/>
      <c r="H673" s="17"/>
    </row>
    <row r="674" spans="1:8" ht="13.8" x14ac:dyDescent="0.3">
      <c r="A674" s="14"/>
      <c r="B674" s="18" t="s">
        <v>63</v>
      </c>
      <c r="C674" s="18"/>
      <c r="D674" s="18"/>
      <c r="E674" s="18"/>
      <c r="F674" s="18"/>
      <c r="G674" s="18"/>
      <c r="H674" s="18"/>
    </row>
    <row r="675" spans="1:8" ht="13.8" x14ac:dyDescent="0.3">
      <c r="A675" s="14"/>
      <c r="B675" s="17" t="s">
        <v>63</v>
      </c>
      <c r="C675" s="17"/>
      <c r="D675" s="17"/>
      <c r="E675" s="17"/>
      <c r="F675" s="17"/>
      <c r="G675" s="17"/>
      <c r="H675" s="17"/>
    </row>
    <row r="676" spans="1:8" ht="13.8" x14ac:dyDescent="0.3">
      <c r="A676" s="14"/>
      <c r="B676" s="18" t="s">
        <v>63</v>
      </c>
      <c r="C676" s="18"/>
      <c r="D676" s="18"/>
      <c r="E676" s="18"/>
      <c r="F676" s="18"/>
      <c r="G676" s="18"/>
      <c r="H676" s="18"/>
    </row>
    <row r="677" spans="1:8" ht="13.8" x14ac:dyDescent="0.3">
      <c r="A677" s="14"/>
      <c r="B677" s="17" t="s">
        <v>63</v>
      </c>
      <c r="C677" s="17"/>
      <c r="D677" s="17"/>
      <c r="E677" s="17"/>
      <c r="F677" s="17"/>
      <c r="G677" s="17"/>
      <c r="H677" s="17"/>
    </row>
    <row r="678" spans="1:8" ht="13.8" x14ac:dyDescent="0.3">
      <c r="A678" s="14"/>
      <c r="B678" s="18" t="s">
        <v>63</v>
      </c>
      <c r="C678" s="18"/>
      <c r="D678" s="18"/>
      <c r="E678" s="18"/>
      <c r="F678" s="18"/>
      <c r="G678" s="18"/>
      <c r="H678" s="18"/>
    </row>
    <row r="679" spans="1:8" ht="13.8" x14ac:dyDescent="0.3">
      <c r="A679" s="14"/>
      <c r="B679" s="17" t="s">
        <v>63</v>
      </c>
      <c r="C679" s="17"/>
      <c r="D679" s="17"/>
      <c r="E679" s="17"/>
      <c r="F679" s="17"/>
      <c r="G679" s="17"/>
      <c r="H679" s="17"/>
    </row>
    <row r="680" spans="1:8" ht="13.8" x14ac:dyDescent="0.3">
      <c r="A680" s="14"/>
      <c r="B680" s="18" t="s">
        <v>63</v>
      </c>
      <c r="C680" s="18"/>
      <c r="D680" s="18"/>
      <c r="E680" s="18"/>
      <c r="F680" s="18"/>
      <c r="G680" s="18"/>
      <c r="H680" s="18"/>
    </row>
    <row r="681" spans="1:8" ht="13.8" x14ac:dyDescent="0.3">
      <c r="A681" s="14"/>
      <c r="B681" s="17" t="s">
        <v>63</v>
      </c>
      <c r="C681" s="17"/>
      <c r="D681" s="17"/>
      <c r="E681" s="17"/>
      <c r="F681" s="17"/>
      <c r="G681" s="17"/>
      <c r="H681" s="17"/>
    </row>
    <row r="682" spans="1:8" ht="13.8" x14ac:dyDescent="0.3">
      <c r="A682" s="14"/>
      <c r="B682" s="18" t="s">
        <v>63</v>
      </c>
      <c r="C682" s="18"/>
      <c r="D682" s="18"/>
      <c r="E682" s="18"/>
      <c r="F682" s="18"/>
      <c r="G682" s="18"/>
      <c r="H682" s="18"/>
    </row>
    <row r="683" spans="1:8" ht="13.8" x14ac:dyDescent="0.3">
      <c r="A683" s="14"/>
      <c r="B683" s="17" t="s">
        <v>63</v>
      </c>
      <c r="C683" s="17"/>
      <c r="D683" s="17"/>
      <c r="E683" s="17"/>
      <c r="F683" s="17"/>
      <c r="G683" s="17"/>
      <c r="H683" s="17"/>
    </row>
    <row r="684" spans="1:8" ht="13.8" x14ac:dyDescent="0.3">
      <c r="A684" s="14"/>
      <c r="B684" s="18" t="s">
        <v>63</v>
      </c>
      <c r="C684" s="18"/>
      <c r="D684" s="18"/>
      <c r="E684" s="18"/>
      <c r="F684" s="18"/>
      <c r="G684" s="18"/>
      <c r="H684" s="18"/>
    </row>
    <row r="685" spans="1:8" ht="13.8" x14ac:dyDescent="0.3">
      <c r="A685" s="14"/>
      <c r="B685" s="17" t="s">
        <v>63</v>
      </c>
      <c r="C685" s="17"/>
      <c r="D685" s="17"/>
      <c r="E685" s="17"/>
      <c r="F685" s="17"/>
      <c r="G685" s="17"/>
      <c r="H685" s="17"/>
    </row>
    <row r="686" spans="1:8" ht="13.8" x14ac:dyDescent="0.3">
      <c r="A686" s="14"/>
      <c r="B686" s="18" t="s">
        <v>63</v>
      </c>
      <c r="C686" s="18"/>
      <c r="D686" s="18"/>
      <c r="E686" s="18"/>
      <c r="F686" s="18"/>
      <c r="G686" s="18"/>
      <c r="H686" s="18"/>
    </row>
    <row r="687" spans="1:8" ht="13.8" x14ac:dyDescent="0.3">
      <c r="A687" s="14"/>
      <c r="B687" s="17" t="s">
        <v>63</v>
      </c>
      <c r="C687" s="17"/>
      <c r="D687" s="17"/>
      <c r="E687" s="17"/>
      <c r="F687" s="17"/>
      <c r="G687" s="17"/>
      <c r="H687" s="17"/>
    </row>
    <row r="688" spans="1:8" ht="13.8" x14ac:dyDescent="0.3">
      <c r="A688" s="14"/>
      <c r="B688" s="18" t="s">
        <v>63</v>
      </c>
      <c r="C688" s="18"/>
      <c r="D688" s="18"/>
      <c r="E688" s="18"/>
      <c r="F688" s="18"/>
      <c r="G688" s="18"/>
      <c r="H688" s="18"/>
    </row>
    <row r="689" spans="1:8" ht="13.8" x14ac:dyDescent="0.3">
      <c r="A689" s="14"/>
      <c r="B689" s="17" t="s">
        <v>63</v>
      </c>
      <c r="C689" s="17"/>
      <c r="D689" s="17"/>
      <c r="E689" s="17"/>
      <c r="F689" s="17"/>
      <c r="G689" s="17"/>
      <c r="H689" s="17"/>
    </row>
    <row r="690" spans="1:8" ht="13.8" x14ac:dyDescent="0.3">
      <c r="A690" s="14"/>
      <c r="B690" s="18" t="s">
        <v>63</v>
      </c>
      <c r="C690" s="18"/>
      <c r="D690" s="18"/>
      <c r="E690" s="18"/>
      <c r="F690" s="18"/>
      <c r="G690" s="18"/>
      <c r="H690" s="18"/>
    </row>
    <row r="691" spans="1:8" ht="13.8" x14ac:dyDescent="0.3">
      <c r="A691" s="14"/>
      <c r="B691" s="17" t="s">
        <v>63</v>
      </c>
      <c r="C691" s="17"/>
      <c r="D691" s="17"/>
      <c r="E691" s="17"/>
      <c r="F691" s="17"/>
      <c r="G691" s="17"/>
      <c r="H691" s="17"/>
    </row>
    <row r="692" spans="1:8" ht="13.8" x14ac:dyDescent="0.3">
      <c r="A692" s="14"/>
      <c r="B692" s="18" t="s">
        <v>63</v>
      </c>
      <c r="C692" s="18"/>
      <c r="D692" s="18"/>
      <c r="E692" s="18"/>
      <c r="F692" s="18"/>
      <c r="G692" s="18"/>
      <c r="H692" s="18"/>
    </row>
    <row r="693" spans="1:8" ht="13.8" x14ac:dyDescent="0.3">
      <c r="A693" s="14"/>
      <c r="B693" s="17" t="s">
        <v>63</v>
      </c>
      <c r="C693" s="17"/>
      <c r="D693" s="17"/>
      <c r="E693" s="17"/>
      <c r="F693" s="17"/>
      <c r="G693" s="17"/>
      <c r="H693" s="17"/>
    </row>
    <row r="694" spans="1:8" ht="13.8" x14ac:dyDescent="0.3">
      <c r="A694" s="14"/>
      <c r="B694" s="18" t="s">
        <v>63</v>
      </c>
      <c r="C694" s="18"/>
      <c r="D694" s="18"/>
      <c r="E694" s="18"/>
      <c r="F694" s="18"/>
      <c r="G694" s="18"/>
      <c r="H694" s="18"/>
    </row>
    <row r="695" spans="1:8" ht="13.8" x14ac:dyDescent="0.3">
      <c r="A695" s="14"/>
      <c r="B695" s="17" t="s">
        <v>63</v>
      </c>
      <c r="C695" s="17"/>
      <c r="D695" s="17"/>
      <c r="E695" s="17"/>
      <c r="F695" s="17"/>
      <c r="G695" s="17"/>
      <c r="H695" s="17"/>
    </row>
    <row r="696" spans="1:8" ht="13.8" x14ac:dyDescent="0.3">
      <c r="A696" s="14"/>
      <c r="B696" s="18" t="s">
        <v>63</v>
      </c>
      <c r="C696" s="18"/>
      <c r="D696" s="18"/>
      <c r="E696" s="18"/>
      <c r="F696" s="18"/>
      <c r="G696" s="18"/>
      <c r="H696" s="18"/>
    </row>
    <row r="697" spans="1:8" ht="13.8" x14ac:dyDescent="0.3">
      <c r="A697" s="14"/>
      <c r="B697" s="17" t="s">
        <v>63</v>
      </c>
      <c r="C697" s="17"/>
      <c r="D697" s="17"/>
      <c r="E697" s="17"/>
      <c r="F697" s="17"/>
      <c r="G697" s="17"/>
      <c r="H697" s="17"/>
    </row>
    <row r="698" spans="1:8" ht="13.8" x14ac:dyDescent="0.3">
      <c r="A698" s="14"/>
      <c r="B698" s="18" t="s">
        <v>63</v>
      </c>
      <c r="C698" s="18"/>
      <c r="D698" s="18"/>
      <c r="E698" s="18"/>
      <c r="F698" s="18"/>
      <c r="G698" s="18"/>
      <c r="H698" s="18"/>
    </row>
    <row r="699" spans="1:8" ht="13.8" x14ac:dyDescent="0.3">
      <c r="A699" s="14"/>
      <c r="B699" s="17" t="s">
        <v>63</v>
      </c>
      <c r="C699" s="17"/>
      <c r="D699" s="17"/>
      <c r="E699" s="17"/>
      <c r="F699" s="17"/>
      <c r="G699" s="17"/>
      <c r="H699" s="17"/>
    </row>
    <row r="700" spans="1:8" ht="13.8" x14ac:dyDescent="0.3">
      <c r="A700" s="14"/>
      <c r="B700" s="18" t="s">
        <v>63</v>
      </c>
      <c r="C700" s="18"/>
      <c r="D700" s="18"/>
      <c r="E700" s="18"/>
      <c r="F700" s="18"/>
      <c r="G700" s="18"/>
      <c r="H700" s="18"/>
    </row>
    <row r="701" spans="1:8" ht="13.8" x14ac:dyDescent="0.3">
      <c r="A701" s="14"/>
      <c r="B701" s="17" t="s">
        <v>63</v>
      </c>
      <c r="C701" s="17"/>
      <c r="D701" s="17"/>
      <c r="E701" s="17"/>
      <c r="F701" s="17"/>
      <c r="G701" s="17"/>
      <c r="H701" s="17"/>
    </row>
    <row r="702" spans="1:8" ht="13.8" x14ac:dyDescent="0.3">
      <c r="A702" s="14"/>
      <c r="B702" s="18" t="s">
        <v>63</v>
      </c>
      <c r="C702" s="18"/>
      <c r="D702" s="18"/>
      <c r="E702" s="18"/>
      <c r="F702" s="18"/>
      <c r="G702" s="18"/>
      <c r="H702" s="18"/>
    </row>
    <row r="703" spans="1:8" ht="13.8" x14ac:dyDescent="0.3">
      <c r="A703" s="14"/>
      <c r="B703" s="17" t="s">
        <v>63</v>
      </c>
      <c r="C703" s="17"/>
      <c r="D703" s="17"/>
      <c r="E703" s="17"/>
      <c r="F703" s="17"/>
      <c r="G703" s="17"/>
      <c r="H703" s="17"/>
    </row>
    <row r="704" spans="1:8" ht="13.8" x14ac:dyDescent="0.3">
      <c r="A704" s="14"/>
      <c r="B704" s="18" t="s">
        <v>63</v>
      </c>
      <c r="C704" s="18"/>
      <c r="D704" s="18"/>
      <c r="E704" s="18"/>
      <c r="F704" s="18"/>
      <c r="G704" s="18"/>
      <c r="H704" s="18"/>
    </row>
    <row r="705" spans="1:8" ht="13.8" x14ac:dyDescent="0.3">
      <c r="A705" s="14"/>
      <c r="B705" s="17" t="s">
        <v>63</v>
      </c>
      <c r="C705" s="17"/>
      <c r="D705" s="17"/>
      <c r="E705" s="17"/>
      <c r="F705" s="17"/>
      <c r="G705" s="17"/>
      <c r="H705" s="17"/>
    </row>
    <row r="706" spans="1:8" ht="13.8" x14ac:dyDescent="0.3">
      <c r="A706" s="14"/>
      <c r="B706" s="18" t="s">
        <v>63</v>
      </c>
      <c r="C706" s="18"/>
      <c r="D706" s="18"/>
      <c r="E706" s="18"/>
      <c r="F706" s="18"/>
      <c r="G706" s="18"/>
      <c r="H706" s="18"/>
    </row>
    <row r="707" spans="1:8" ht="13.8" x14ac:dyDescent="0.3">
      <c r="A707" s="14"/>
      <c r="B707" s="17" t="s">
        <v>63</v>
      </c>
      <c r="C707" s="17"/>
      <c r="D707" s="17"/>
      <c r="E707" s="17"/>
      <c r="F707" s="17"/>
      <c r="G707" s="17"/>
      <c r="H707" s="17"/>
    </row>
    <row r="708" spans="1:8" ht="13.8" x14ac:dyDescent="0.3">
      <c r="A708" s="14"/>
      <c r="B708" s="18" t="s">
        <v>63</v>
      </c>
      <c r="C708" s="18"/>
      <c r="D708" s="18"/>
      <c r="E708" s="18"/>
      <c r="F708" s="18"/>
      <c r="G708" s="18"/>
      <c r="H708" s="18"/>
    </row>
    <row r="709" spans="1:8" ht="13.8" x14ac:dyDescent="0.3">
      <c r="A709" s="14"/>
      <c r="B709" s="17" t="s">
        <v>63</v>
      </c>
      <c r="C709" s="17"/>
      <c r="D709" s="17"/>
      <c r="E709" s="17"/>
      <c r="F709" s="17"/>
      <c r="G709" s="17"/>
      <c r="H709" s="17"/>
    </row>
    <row r="710" spans="1:8" ht="13.8" x14ac:dyDescent="0.3">
      <c r="A710" s="14"/>
      <c r="B710" s="18" t="s">
        <v>63</v>
      </c>
      <c r="C710" s="18"/>
      <c r="D710" s="18"/>
      <c r="E710" s="18"/>
      <c r="F710" s="18"/>
      <c r="G710" s="18"/>
      <c r="H710" s="18"/>
    </row>
    <row r="711" spans="1:8" ht="13.8" x14ac:dyDescent="0.3">
      <c r="A711" s="14"/>
      <c r="B711" s="17" t="s">
        <v>63</v>
      </c>
      <c r="C711" s="17"/>
      <c r="D711" s="17"/>
      <c r="E711" s="17"/>
      <c r="F711" s="17"/>
      <c r="G711" s="17"/>
      <c r="H711" s="17"/>
    </row>
    <row r="712" spans="1:8" ht="13.8" x14ac:dyDescent="0.3">
      <c r="A712" s="14"/>
      <c r="B712" s="18" t="s">
        <v>63</v>
      </c>
      <c r="C712" s="18"/>
      <c r="D712" s="18"/>
      <c r="E712" s="18"/>
      <c r="F712" s="18"/>
      <c r="G712" s="18"/>
      <c r="H712" s="18"/>
    </row>
    <row r="713" spans="1:8" ht="13.8" x14ac:dyDescent="0.3">
      <c r="A713" s="14"/>
      <c r="B713" s="17" t="s">
        <v>63</v>
      </c>
      <c r="C713" s="17"/>
      <c r="D713" s="17"/>
      <c r="E713" s="17"/>
      <c r="F713" s="17"/>
      <c r="G713" s="17"/>
      <c r="H713" s="17"/>
    </row>
    <row r="714" spans="1:8" ht="13.8" x14ac:dyDescent="0.3">
      <c r="A714" s="14"/>
      <c r="B714" s="18" t="s">
        <v>63</v>
      </c>
      <c r="C714" s="18"/>
      <c r="D714" s="18"/>
      <c r="E714" s="18"/>
      <c r="F714" s="18"/>
      <c r="G714" s="18"/>
      <c r="H714" s="18"/>
    </row>
    <row r="715" spans="1:8" ht="13.8" x14ac:dyDescent="0.3">
      <c r="A715" s="14"/>
      <c r="B715" s="17" t="s">
        <v>63</v>
      </c>
      <c r="C715" s="17"/>
      <c r="D715" s="17"/>
      <c r="E715" s="17"/>
      <c r="F715" s="17"/>
      <c r="G715" s="17"/>
      <c r="H715" s="17"/>
    </row>
    <row r="716" spans="1:8" ht="13.8" x14ac:dyDescent="0.3">
      <c r="A716" s="14"/>
      <c r="B716" s="18" t="s">
        <v>63</v>
      </c>
      <c r="C716" s="18"/>
      <c r="D716" s="18"/>
      <c r="E716" s="18"/>
      <c r="F716" s="18"/>
      <c r="G716" s="18"/>
      <c r="H716" s="18"/>
    </row>
    <row r="717" spans="1:8" ht="13.8" x14ac:dyDescent="0.3">
      <c r="A717" s="14"/>
      <c r="B717" s="17" t="s">
        <v>63</v>
      </c>
      <c r="C717" s="17"/>
      <c r="D717" s="17"/>
      <c r="E717" s="17"/>
      <c r="F717" s="17"/>
      <c r="G717" s="17"/>
      <c r="H717" s="17"/>
    </row>
    <row r="718" spans="1:8" ht="13.8" x14ac:dyDescent="0.3">
      <c r="A718" s="14"/>
      <c r="B718" s="18" t="s">
        <v>63</v>
      </c>
      <c r="C718" s="18"/>
      <c r="D718" s="18"/>
      <c r="E718" s="18"/>
      <c r="F718" s="18"/>
      <c r="G718" s="18"/>
      <c r="H718" s="18"/>
    </row>
    <row r="719" spans="1:8" ht="13.8" x14ac:dyDescent="0.3">
      <c r="A719" s="14"/>
      <c r="B719" s="17" t="s">
        <v>63</v>
      </c>
      <c r="C719" s="17"/>
      <c r="D719" s="17"/>
      <c r="E719" s="17"/>
      <c r="F719" s="17"/>
      <c r="G719" s="17"/>
      <c r="H719" s="17"/>
    </row>
    <row r="720" spans="1:8" ht="13.8" x14ac:dyDescent="0.3">
      <c r="A720" s="14"/>
      <c r="B720" s="18" t="s">
        <v>63</v>
      </c>
      <c r="C720" s="18"/>
      <c r="D720" s="18"/>
      <c r="E720" s="18"/>
      <c r="F720" s="18"/>
      <c r="G720" s="18"/>
      <c r="H720" s="18"/>
    </row>
    <row r="721" spans="1:8" ht="13.8" x14ac:dyDescent="0.3">
      <c r="A721" s="14"/>
      <c r="B721" s="17" t="s">
        <v>63</v>
      </c>
      <c r="C721" s="17"/>
      <c r="D721" s="17"/>
      <c r="E721" s="17"/>
      <c r="F721" s="17"/>
      <c r="G721" s="17"/>
      <c r="H721" s="17"/>
    </row>
    <row r="722" spans="1:8" ht="13.8" x14ac:dyDescent="0.3">
      <c r="A722" s="14"/>
      <c r="B722" s="18" t="s">
        <v>63</v>
      </c>
      <c r="C722" s="18"/>
      <c r="D722" s="18"/>
      <c r="E722" s="18"/>
      <c r="F722" s="18"/>
      <c r="G722" s="18"/>
      <c r="H722" s="18"/>
    </row>
    <row r="723" spans="1:8" ht="13.8" x14ac:dyDescent="0.3">
      <c r="A723" s="14"/>
      <c r="B723" s="17" t="s">
        <v>63</v>
      </c>
      <c r="C723" s="17"/>
      <c r="D723" s="17"/>
      <c r="E723" s="17"/>
      <c r="F723" s="17"/>
      <c r="G723" s="17"/>
      <c r="H723" s="17"/>
    </row>
    <row r="724" spans="1:8" ht="13.8" x14ac:dyDescent="0.3">
      <c r="A724" s="14"/>
      <c r="B724" s="18" t="s">
        <v>63</v>
      </c>
      <c r="C724" s="18"/>
      <c r="D724" s="18"/>
      <c r="E724" s="18"/>
      <c r="F724" s="18"/>
      <c r="G724" s="18"/>
      <c r="H724" s="18"/>
    </row>
    <row r="725" spans="1:8" ht="13.8" x14ac:dyDescent="0.3">
      <c r="A725" s="14"/>
      <c r="B725" s="17" t="s">
        <v>63</v>
      </c>
      <c r="C725" s="17"/>
      <c r="D725" s="17"/>
      <c r="E725" s="17"/>
      <c r="F725" s="17"/>
      <c r="G725" s="17"/>
      <c r="H725" s="17"/>
    </row>
    <row r="726" spans="1:8" ht="13.8" x14ac:dyDescent="0.3">
      <c r="A726" s="14"/>
      <c r="B726" s="18" t="s">
        <v>63</v>
      </c>
      <c r="C726" s="18"/>
      <c r="D726" s="18"/>
      <c r="E726" s="18"/>
      <c r="F726" s="18"/>
      <c r="G726" s="18"/>
      <c r="H726" s="18"/>
    </row>
    <row r="727" spans="1:8" ht="13.8" x14ac:dyDescent="0.3">
      <c r="A727" s="14"/>
      <c r="B727" s="17" t="s">
        <v>63</v>
      </c>
      <c r="C727" s="17"/>
      <c r="D727" s="17"/>
      <c r="E727" s="17"/>
      <c r="F727" s="17"/>
      <c r="G727" s="17"/>
      <c r="H727" s="17"/>
    </row>
    <row r="728" spans="1:8" ht="13.8" x14ac:dyDescent="0.3">
      <c r="A728" s="14"/>
      <c r="B728" s="18" t="s">
        <v>63</v>
      </c>
      <c r="C728" s="18"/>
      <c r="D728" s="18"/>
      <c r="E728" s="18"/>
      <c r="F728" s="18"/>
      <c r="G728" s="18"/>
      <c r="H728" s="18"/>
    </row>
    <row r="729" spans="1:8" ht="13.8" x14ac:dyDescent="0.3">
      <c r="A729" s="14"/>
      <c r="B729" s="17" t="s">
        <v>63</v>
      </c>
      <c r="C729" s="17"/>
      <c r="D729" s="17"/>
      <c r="E729" s="17"/>
      <c r="F729" s="17"/>
      <c r="G729" s="17"/>
      <c r="H729" s="17"/>
    </row>
    <row r="730" spans="1:8" ht="13.8" x14ac:dyDescent="0.3">
      <c r="A730" s="14"/>
      <c r="B730" s="18" t="s">
        <v>63</v>
      </c>
      <c r="C730" s="18"/>
      <c r="D730" s="18"/>
      <c r="E730" s="18"/>
      <c r="F730" s="18"/>
      <c r="G730" s="18"/>
      <c r="H730" s="18"/>
    </row>
    <row r="731" spans="1:8" ht="13.8" x14ac:dyDescent="0.3">
      <c r="A731" s="14"/>
      <c r="B731" s="17" t="s">
        <v>63</v>
      </c>
      <c r="C731" s="17"/>
      <c r="D731" s="17"/>
      <c r="E731" s="17"/>
      <c r="F731" s="17"/>
      <c r="G731" s="17"/>
      <c r="H731" s="17"/>
    </row>
    <row r="732" spans="1:8" ht="13.8" x14ac:dyDescent="0.3">
      <c r="A732" s="14"/>
      <c r="B732" s="18" t="s">
        <v>63</v>
      </c>
      <c r="C732" s="18"/>
      <c r="D732" s="18"/>
      <c r="E732" s="18"/>
      <c r="F732" s="18"/>
      <c r="G732" s="18"/>
      <c r="H732" s="18"/>
    </row>
    <row r="733" spans="1:8" ht="13.8" x14ac:dyDescent="0.3">
      <c r="A733" s="14"/>
      <c r="B733" s="17" t="s">
        <v>63</v>
      </c>
      <c r="C733" s="17"/>
      <c r="D733" s="17"/>
      <c r="E733" s="17"/>
      <c r="F733" s="17"/>
      <c r="G733" s="17"/>
      <c r="H733" s="17"/>
    </row>
    <row r="734" spans="1:8" ht="13.8" x14ac:dyDescent="0.3">
      <c r="A734" s="14"/>
      <c r="B734" s="18" t="s">
        <v>63</v>
      </c>
      <c r="C734" s="18"/>
      <c r="D734" s="18"/>
      <c r="E734" s="18"/>
      <c r="F734" s="18"/>
      <c r="G734" s="18"/>
      <c r="H734" s="18"/>
    </row>
    <row r="735" spans="1:8" ht="13.8" x14ac:dyDescent="0.3">
      <c r="A735" s="14"/>
      <c r="B735" s="17" t="s">
        <v>63</v>
      </c>
      <c r="C735" s="17"/>
      <c r="D735" s="17"/>
      <c r="E735" s="17"/>
      <c r="F735" s="17"/>
      <c r="G735" s="17"/>
      <c r="H735" s="17"/>
    </row>
    <row r="736" spans="1:8" ht="13.8" x14ac:dyDescent="0.3">
      <c r="A736" s="14"/>
      <c r="B736" s="18" t="s">
        <v>63</v>
      </c>
      <c r="C736" s="18"/>
      <c r="D736" s="18"/>
      <c r="E736" s="18"/>
      <c r="F736" s="18"/>
      <c r="G736" s="18"/>
      <c r="H736" s="18"/>
    </row>
    <row r="737" spans="1:8" ht="13.8" x14ac:dyDescent="0.3">
      <c r="A737" s="14"/>
      <c r="B737" s="17" t="s">
        <v>63</v>
      </c>
      <c r="C737" s="17"/>
      <c r="D737" s="17"/>
      <c r="E737" s="17"/>
      <c r="F737" s="17"/>
      <c r="G737" s="17"/>
      <c r="H737" s="17"/>
    </row>
    <row r="738" spans="1:8" ht="13.8" x14ac:dyDescent="0.3">
      <c r="A738" s="14"/>
      <c r="B738" s="18" t="s">
        <v>63</v>
      </c>
      <c r="C738" s="18"/>
      <c r="D738" s="18"/>
      <c r="E738" s="18"/>
      <c r="F738" s="18"/>
      <c r="G738" s="18"/>
      <c r="H738" s="18"/>
    </row>
    <row r="739" spans="1:8" ht="13.8" x14ac:dyDescent="0.3">
      <c r="A739" s="14"/>
      <c r="B739" s="17" t="s">
        <v>63</v>
      </c>
      <c r="C739" s="17"/>
      <c r="D739" s="17"/>
      <c r="E739" s="17"/>
      <c r="F739" s="17"/>
      <c r="G739" s="17"/>
      <c r="H739" s="17"/>
    </row>
    <row r="740" spans="1:8" ht="13.8" x14ac:dyDescent="0.3">
      <c r="A740" s="14"/>
      <c r="B740" s="18" t="s">
        <v>63</v>
      </c>
      <c r="C740" s="18"/>
      <c r="D740" s="18"/>
      <c r="E740" s="18"/>
      <c r="F740" s="18"/>
      <c r="G740" s="18"/>
      <c r="H740" s="18"/>
    </row>
    <row r="741" spans="1:8" ht="13.8" x14ac:dyDescent="0.3">
      <c r="A741" s="14"/>
      <c r="B741" s="17" t="s">
        <v>63</v>
      </c>
      <c r="C741" s="17"/>
      <c r="D741" s="17"/>
      <c r="E741" s="17"/>
      <c r="F741" s="17"/>
      <c r="G741" s="17"/>
      <c r="H741" s="17"/>
    </row>
    <row r="742" spans="1:8" ht="13.8" x14ac:dyDescent="0.3">
      <c r="A742" s="14"/>
      <c r="B742" s="18" t="s">
        <v>63</v>
      </c>
      <c r="C742" s="18"/>
      <c r="D742" s="18"/>
      <c r="E742" s="18"/>
      <c r="F742" s="18"/>
      <c r="G742" s="18"/>
      <c r="H742" s="18"/>
    </row>
    <row r="743" spans="1:8" ht="13.8" x14ac:dyDescent="0.3">
      <c r="A743" s="14"/>
      <c r="B743" s="17" t="s">
        <v>63</v>
      </c>
      <c r="C743" s="17"/>
      <c r="D743" s="17"/>
      <c r="E743" s="17"/>
      <c r="F743" s="17"/>
      <c r="G743" s="17"/>
      <c r="H743" s="17"/>
    </row>
    <row r="744" spans="1:8" ht="13.8" x14ac:dyDescent="0.3">
      <c r="A744" s="14"/>
      <c r="B744" s="18" t="s">
        <v>63</v>
      </c>
      <c r="C744" s="18"/>
      <c r="D744" s="18"/>
      <c r="E744" s="18"/>
      <c r="F744" s="18"/>
      <c r="G744" s="18"/>
      <c r="H744" s="18"/>
    </row>
    <row r="745" spans="1:8" ht="13.8" x14ac:dyDescent="0.3">
      <c r="A745" s="14"/>
      <c r="B745" s="17" t="s">
        <v>63</v>
      </c>
      <c r="C745" s="17"/>
      <c r="D745" s="17"/>
      <c r="E745" s="17"/>
      <c r="F745" s="17"/>
      <c r="G745" s="17"/>
      <c r="H745" s="17"/>
    </row>
    <row r="746" spans="1:8" ht="13.8" x14ac:dyDescent="0.3">
      <c r="A746" s="14"/>
      <c r="B746" s="18" t="s">
        <v>63</v>
      </c>
      <c r="C746" s="18"/>
      <c r="D746" s="18"/>
      <c r="E746" s="18"/>
      <c r="F746" s="18"/>
      <c r="G746" s="18"/>
      <c r="H746" s="18"/>
    </row>
    <row r="747" spans="1:8" ht="13.8" x14ac:dyDescent="0.3">
      <c r="A747" s="14"/>
      <c r="B747" s="17" t="s">
        <v>63</v>
      </c>
      <c r="C747" s="17"/>
      <c r="D747" s="17"/>
      <c r="E747" s="17"/>
      <c r="F747" s="17"/>
      <c r="G747" s="17"/>
      <c r="H747" s="17"/>
    </row>
    <row r="748" spans="1:8" ht="13.8" x14ac:dyDescent="0.3">
      <c r="A748" s="14"/>
      <c r="B748" s="18" t="s">
        <v>63</v>
      </c>
      <c r="C748" s="18"/>
      <c r="D748" s="18"/>
      <c r="E748" s="18"/>
      <c r="F748" s="18"/>
      <c r="G748" s="18"/>
      <c r="H748" s="18"/>
    </row>
    <row r="749" spans="1:8" ht="13.8" x14ac:dyDescent="0.3">
      <c r="A749" s="14"/>
      <c r="B749" s="17" t="s">
        <v>63</v>
      </c>
      <c r="C749" s="17"/>
      <c r="D749" s="17"/>
      <c r="E749" s="17"/>
      <c r="F749" s="17"/>
      <c r="G749" s="17"/>
      <c r="H749" s="17"/>
    </row>
    <row r="750" spans="1:8" ht="13.8" x14ac:dyDescent="0.3">
      <c r="A750" s="14"/>
      <c r="B750" s="18" t="s">
        <v>63</v>
      </c>
      <c r="C750" s="18"/>
      <c r="D750" s="18"/>
      <c r="E750" s="18"/>
      <c r="F750" s="18"/>
      <c r="G750" s="18"/>
      <c r="H750" s="18"/>
    </row>
    <row r="751" spans="1:8" ht="13.8" x14ac:dyDescent="0.3">
      <c r="A751" s="14"/>
      <c r="B751" s="17" t="s">
        <v>63</v>
      </c>
      <c r="C751" s="17"/>
      <c r="D751" s="17"/>
      <c r="E751" s="17"/>
      <c r="F751" s="17"/>
      <c r="G751" s="17"/>
      <c r="H751" s="17"/>
    </row>
    <row r="752" spans="1:8" ht="13.8" x14ac:dyDescent="0.3">
      <c r="A752" s="14"/>
      <c r="B752" s="18" t="s">
        <v>63</v>
      </c>
      <c r="C752" s="18"/>
      <c r="D752" s="18"/>
      <c r="E752" s="18"/>
      <c r="F752" s="18"/>
      <c r="G752" s="18"/>
      <c r="H752" s="18"/>
    </row>
    <row r="753" spans="1:8" ht="13.8" x14ac:dyDescent="0.3">
      <c r="A753" s="14"/>
      <c r="B753" s="17" t="s">
        <v>63</v>
      </c>
      <c r="C753" s="17"/>
      <c r="D753" s="17"/>
      <c r="E753" s="17"/>
      <c r="F753" s="17"/>
      <c r="G753" s="17"/>
      <c r="H753" s="17"/>
    </row>
    <row r="754" spans="1:8" ht="13.8" x14ac:dyDescent="0.3">
      <c r="A754" s="14"/>
      <c r="B754" s="18" t="s">
        <v>63</v>
      </c>
      <c r="C754" s="18"/>
      <c r="D754" s="18"/>
      <c r="E754" s="18"/>
      <c r="F754" s="18"/>
      <c r="G754" s="18"/>
      <c r="H754" s="18"/>
    </row>
    <row r="755" spans="1:8" ht="13.8" x14ac:dyDescent="0.3">
      <c r="A755" s="14"/>
      <c r="B755" s="17" t="s">
        <v>63</v>
      </c>
      <c r="C755" s="17"/>
      <c r="D755" s="17"/>
      <c r="E755" s="17"/>
      <c r="F755" s="17"/>
      <c r="G755" s="17"/>
      <c r="H755" s="17"/>
    </row>
    <row r="756" spans="1:8" ht="13.8" x14ac:dyDescent="0.3">
      <c r="A756" s="14"/>
      <c r="B756" s="18" t="s">
        <v>63</v>
      </c>
      <c r="C756" s="18"/>
      <c r="D756" s="18"/>
      <c r="E756" s="18"/>
      <c r="F756" s="18"/>
      <c r="G756" s="18"/>
      <c r="H756" s="18"/>
    </row>
    <row r="757" spans="1:8" ht="13.8" x14ac:dyDescent="0.3">
      <c r="A757" s="14"/>
      <c r="B757" s="17" t="s">
        <v>63</v>
      </c>
      <c r="C757" s="17"/>
      <c r="D757" s="17"/>
      <c r="E757" s="17"/>
      <c r="F757" s="17"/>
      <c r="G757" s="17"/>
      <c r="H757" s="17"/>
    </row>
    <row r="758" spans="1:8" ht="13.8" x14ac:dyDescent="0.3">
      <c r="A758" s="14"/>
      <c r="B758" s="18" t="s">
        <v>63</v>
      </c>
      <c r="C758" s="18"/>
      <c r="D758" s="18"/>
      <c r="E758" s="18"/>
      <c r="F758" s="18"/>
      <c r="G758" s="18"/>
      <c r="H758" s="18"/>
    </row>
    <row r="759" spans="1:8" ht="13.8" x14ac:dyDescent="0.3">
      <c r="A759" s="14"/>
      <c r="B759" s="17" t="s">
        <v>63</v>
      </c>
      <c r="C759" s="17"/>
      <c r="D759" s="17"/>
      <c r="E759" s="17"/>
      <c r="F759" s="17"/>
      <c r="G759" s="17"/>
      <c r="H759" s="17"/>
    </row>
    <row r="760" spans="1:8" ht="13.8" x14ac:dyDescent="0.3">
      <c r="A760" s="14"/>
      <c r="B760" s="18" t="s">
        <v>63</v>
      </c>
      <c r="C760" s="18"/>
      <c r="D760" s="18"/>
      <c r="E760" s="18"/>
      <c r="F760" s="18"/>
      <c r="G760" s="18"/>
      <c r="H760" s="18"/>
    </row>
    <row r="761" spans="1:8" ht="13.8" x14ac:dyDescent="0.3">
      <c r="A761" s="14"/>
      <c r="B761" s="17" t="s">
        <v>63</v>
      </c>
      <c r="C761" s="17"/>
      <c r="D761" s="17"/>
      <c r="E761" s="17"/>
      <c r="F761" s="17"/>
      <c r="G761" s="17"/>
      <c r="H761" s="17"/>
    </row>
    <row r="762" spans="1:8" ht="13.8" x14ac:dyDescent="0.3">
      <c r="A762" s="14"/>
      <c r="B762" s="18" t="s">
        <v>63</v>
      </c>
      <c r="C762" s="18"/>
      <c r="D762" s="18"/>
      <c r="E762" s="18"/>
      <c r="F762" s="18"/>
      <c r="G762" s="18"/>
      <c r="H762" s="18"/>
    </row>
    <row r="763" spans="1:8" ht="13.8" x14ac:dyDescent="0.3">
      <c r="A763" s="14"/>
      <c r="B763" s="17" t="s">
        <v>63</v>
      </c>
      <c r="C763" s="17"/>
      <c r="D763" s="17"/>
      <c r="E763" s="17"/>
      <c r="F763" s="17"/>
      <c r="G763" s="17"/>
      <c r="H763" s="17"/>
    </row>
    <row r="764" spans="1:8" ht="13.8" x14ac:dyDescent="0.3">
      <c r="A764" s="14"/>
      <c r="B764" s="18" t="s">
        <v>63</v>
      </c>
      <c r="C764" s="18"/>
      <c r="D764" s="18"/>
      <c r="E764" s="18"/>
      <c r="F764" s="18"/>
      <c r="G764" s="18"/>
      <c r="H764" s="18"/>
    </row>
    <row r="765" spans="1:8" ht="13.8" x14ac:dyDescent="0.3">
      <c r="A765" s="14"/>
      <c r="B765" s="17" t="s">
        <v>63</v>
      </c>
      <c r="C765" s="17"/>
      <c r="D765" s="17"/>
      <c r="E765" s="17"/>
      <c r="F765" s="17"/>
      <c r="G765" s="17"/>
      <c r="H765" s="17"/>
    </row>
    <row r="766" spans="1:8" ht="13.8" x14ac:dyDescent="0.3">
      <c r="A766" s="14"/>
      <c r="B766" s="18" t="s">
        <v>63</v>
      </c>
      <c r="C766" s="18"/>
      <c r="D766" s="18"/>
      <c r="E766" s="18"/>
      <c r="F766" s="18"/>
      <c r="G766" s="18"/>
      <c r="H766" s="18"/>
    </row>
    <row r="767" spans="1:8" ht="13.8" x14ac:dyDescent="0.3">
      <c r="A767" s="14"/>
      <c r="B767" s="17" t="s">
        <v>63</v>
      </c>
      <c r="C767" s="17"/>
      <c r="D767" s="17"/>
      <c r="E767" s="17"/>
      <c r="F767" s="17"/>
      <c r="G767" s="17"/>
      <c r="H767" s="17"/>
    </row>
    <row r="768" spans="1:8" ht="13.8" x14ac:dyDescent="0.3">
      <c r="A768" s="14"/>
      <c r="B768" s="18" t="s">
        <v>63</v>
      </c>
      <c r="C768" s="18"/>
      <c r="D768" s="18"/>
      <c r="E768" s="18"/>
      <c r="F768" s="18"/>
      <c r="G768" s="18"/>
      <c r="H768" s="18"/>
    </row>
    <row r="769" spans="1:8" ht="13.8" x14ac:dyDescent="0.3">
      <c r="A769" s="14"/>
      <c r="B769" s="17" t="s">
        <v>63</v>
      </c>
      <c r="C769" s="17"/>
      <c r="D769" s="17"/>
      <c r="E769" s="17"/>
      <c r="F769" s="17"/>
      <c r="G769" s="17"/>
      <c r="H769" s="17"/>
    </row>
    <row r="770" spans="1:8" ht="13.8" x14ac:dyDescent="0.3">
      <c r="A770" s="14"/>
      <c r="B770" s="18" t="s">
        <v>63</v>
      </c>
      <c r="C770" s="18"/>
      <c r="D770" s="18"/>
      <c r="E770" s="18"/>
      <c r="F770" s="18"/>
      <c r="G770" s="18"/>
      <c r="H770" s="18"/>
    </row>
    <row r="771" spans="1:8" ht="13.8" x14ac:dyDescent="0.3">
      <c r="A771" s="14"/>
      <c r="B771" s="17" t="s">
        <v>63</v>
      </c>
      <c r="C771" s="17"/>
      <c r="D771" s="17"/>
      <c r="E771" s="17"/>
      <c r="F771" s="17"/>
      <c r="G771" s="17"/>
      <c r="H771" s="17"/>
    </row>
    <row r="772" spans="1:8" ht="13.8" x14ac:dyDescent="0.3">
      <c r="A772" s="14"/>
      <c r="B772" s="18" t="s">
        <v>63</v>
      </c>
      <c r="C772" s="18"/>
      <c r="D772" s="18"/>
      <c r="E772" s="18"/>
      <c r="F772" s="18"/>
      <c r="G772" s="18"/>
      <c r="H772" s="18"/>
    </row>
    <row r="773" spans="1:8" ht="13.8" x14ac:dyDescent="0.3">
      <c r="A773" s="14"/>
      <c r="B773" s="17" t="s">
        <v>63</v>
      </c>
      <c r="C773" s="17"/>
      <c r="D773" s="17"/>
      <c r="E773" s="17"/>
      <c r="F773" s="17"/>
      <c r="G773" s="17"/>
      <c r="H773" s="17"/>
    </row>
    <row r="774" spans="1:8" ht="13.8" x14ac:dyDescent="0.3">
      <c r="A774" s="14"/>
      <c r="B774" s="18" t="s">
        <v>63</v>
      </c>
      <c r="C774" s="18"/>
      <c r="D774" s="18"/>
      <c r="E774" s="18"/>
      <c r="F774" s="18"/>
      <c r="G774" s="18"/>
      <c r="H774" s="18"/>
    </row>
    <row r="775" spans="1:8" ht="13.8" x14ac:dyDescent="0.3">
      <c r="A775" s="14"/>
      <c r="B775" s="17" t="s">
        <v>63</v>
      </c>
      <c r="C775" s="17"/>
      <c r="D775" s="17"/>
      <c r="E775" s="17"/>
      <c r="F775" s="17"/>
      <c r="G775" s="17"/>
      <c r="H775" s="17"/>
    </row>
    <row r="776" spans="1:8" ht="13.8" x14ac:dyDescent="0.3">
      <c r="A776" s="14"/>
      <c r="B776" s="18" t="s">
        <v>63</v>
      </c>
      <c r="C776" s="18"/>
      <c r="D776" s="18"/>
      <c r="E776" s="18"/>
      <c r="F776" s="18"/>
      <c r="G776" s="18"/>
      <c r="H776" s="18"/>
    </row>
    <row r="777" spans="1:8" ht="13.8" x14ac:dyDescent="0.3">
      <c r="A777" s="14"/>
      <c r="B777" s="17" t="s">
        <v>63</v>
      </c>
      <c r="C777" s="17"/>
      <c r="D777" s="17"/>
      <c r="E777" s="17"/>
      <c r="F777" s="17"/>
      <c r="G777" s="17"/>
      <c r="H777" s="17"/>
    </row>
    <row r="778" spans="1:8" ht="13.8" x14ac:dyDescent="0.3">
      <c r="A778" s="14"/>
      <c r="B778" s="18" t="s">
        <v>63</v>
      </c>
      <c r="C778" s="18"/>
      <c r="D778" s="18"/>
      <c r="E778" s="18"/>
      <c r="F778" s="18"/>
      <c r="G778" s="18"/>
      <c r="H778" s="18"/>
    </row>
    <row r="779" spans="1:8" ht="13.8" x14ac:dyDescent="0.3">
      <c r="A779" s="14"/>
      <c r="B779" s="17" t="s">
        <v>63</v>
      </c>
      <c r="C779" s="17"/>
      <c r="D779" s="17"/>
      <c r="E779" s="17"/>
      <c r="F779" s="17"/>
      <c r="G779" s="17"/>
      <c r="H779" s="17"/>
    </row>
    <row r="780" spans="1:8" ht="13.8" x14ac:dyDescent="0.3">
      <c r="A780" s="14"/>
      <c r="B780" s="18" t="s">
        <v>63</v>
      </c>
      <c r="C780" s="18"/>
      <c r="D780" s="18"/>
      <c r="E780" s="18"/>
      <c r="F780" s="18"/>
      <c r="G780" s="18"/>
      <c r="H780" s="18"/>
    </row>
    <row r="781" spans="1:8" ht="13.8" x14ac:dyDescent="0.3">
      <c r="A781" s="14"/>
      <c r="B781" s="17" t="s">
        <v>63</v>
      </c>
      <c r="C781" s="17"/>
      <c r="D781" s="17"/>
      <c r="E781" s="17"/>
      <c r="F781" s="17"/>
      <c r="G781" s="17"/>
      <c r="H781" s="17"/>
    </row>
    <row r="782" spans="1:8" ht="13.8" x14ac:dyDescent="0.3">
      <c r="A782" s="14"/>
      <c r="B782" s="18" t="s">
        <v>63</v>
      </c>
      <c r="C782" s="18"/>
      <c r="D782" s="18"/>
      <c r="E782" s="18"/>
      <c r="F782" s="18"/>
      <c r="G782" s="18"/>
      <c r="H782" s="18"/>
    </row>
    <row r="783" spans="1:8" ht="13.8" x14ac:dyDescent="0.3">
      <c r="A783" s="14"/>
      <c r="B783" s="17" t="s">
        <v>63</v>
      </c>
      <c r="C783" s="17"/>
      <c r="D783" s="17"/>
      <c r="E783" s="17"/>
      <c r="F783" s="17"/>
      <c r="G783" s="17"/>
      <c r="H783" s="17"/>
    </row>
    <row r="784" spans="1:8" ht="13.8" x14ac:dyDescent="0.3">
      <c r="A784" s="14"/>
      <c r="B784" s="18" t="s">
        <v>63</v>
      </c>
      <c r="C784" s="18"/>
      <c r="D784" s="18"/>
      <c r="E784" s="18"/>
      <c r="F784" s="18"/>
      <c r="G784" s="18"/>
      <c r="H784" s="18"/>
    </row>
    <row r="785" spans="1:8" ht="13.8" x14ac:dyDescent="0.3">
      <c r="A785" s="14"/>
      <c r="B785" s="17" t="s">
        <v>63</v>
      </c>
      <c r="C785" s="17"/>
      <c r="D785" s="17"/>
      <c r="E785" s="17"/>
      <c r="F785" s="17"/>
      <c r="G785" s="17"/>
      <c r="H785" s="17"/>
    </row>
    <row r="786" spans="1:8" ht="13.8" x14ac:dyDescent="0.3">
      <c r="A786" s="14"/>
      <c r="B786" s="18" t="s">
        <v>63</v>
      </c>
      <c r="C786" s="18"/>
      <c r="D786" s="18"/>
      <c r="E786" s="18"/>
      <c r="F786" s="18"/>
      <c r="G786" s="18"/>
      <c r="H786" s="18"/>
    </row>
    <row r="787" spans="1:8" ht="13.8" x14ac:dyDescent="0.3">
      <c r="A787" s="14"/>
      <c r="B787" s="17" t="s">
        <v>63</v>
      </c>
      <c r="C787" s="17"/>
      <c r="D787" s="17"/>
      <c r="E787" s="17"/>
      <c r="F787" s="17"/>
      <c r="G787" s="17"/>
      <c r="H787" s="17"/>
    </row>
    <row r="788" spans="1:8" ht="13.8" x14ac:dyDescent="0.3">
      <c r="A788" s="14"/>
      <c r="B788" s="18" t="s">
        <v>63</v>
      </c>
      <c r="C788" s="18"/>
      <c r="D788" s="18"/>
      <c r="E788" s="18"/>
      <c r="F788" s="18"/>
      <c r="G788" s="18"/>
      <c r="H788" s="18"/>
    </row>
    <row r="789" spans="1:8" ht="13.8" x14ac:dyDescent="0.3">
      <c r="A789" s="14"/>
      <c r="B789" s="17" t="s">
        <v>63</v>
      </c>
      <c r="C789" s="17"/>
      <c r="D789" s="17"/>
      <c r="E789" s="17"/>
      <c r="F789" s="17"/>
      <c r="G789" s="17"/>
      <c r="H789" s="17"/>
    </row>
    <row r="790" spans="1:8" ht="13.8" x14ac:dyDescent="0.3">
      <c r="A790" s="14"/>
      <c r="B790" s="18" t="s">
        <v>63</v>
      </c>
      <c r="C790" s="18"/>
      <c r="D790" s="18"/>
      <c r="E790" s="18"/>
      <c r="F790" s="18"/>
      <c r="G790" s="18"/>
      <c r="H790" s="18"/>
    </row>
    <row r="791" spans="1:8" ht="13.8" x14ac:dyDescent="0.3">
      <c r="A791" s="14"/>
      <c r="B791" s="17" t="s">
        <v>63</v>
      </c>
      <c r="C791" s="17"/>
      <c r="D791" s="17"/>
      <c r="E791" s="17"/>
      <c r="F791" s="17"/>
      <c r="G791" s="17"/>
      <c r="H791" s="17"/>
    </row>
    <row r="792" spans="1:8" ht="13.8" x14ac:dyDescent="0.3">
      <c r="A792" s="14"/>
      <c r="B792" s="18" t="s">
        <v>63</v>
      </c>
      <c r="C792" s="18"/>
      <c r="D792" s="18"/>
      <c r="E792" s="18"/>
      <c r="F792" s="18"/>
      <c r="G792" s="18"/>
      <c r="H792" s="18"/>
    </row>
    <row r="793" spans="1:8" ht="13.8" x14ac:dyDescent="0.3">
      <c r="A793" s="14"/>
      <c r="B793" s="17" t="s">
        <v>63</v>
      </c>
      <c r="C793" s="17"/>
      <c r="D793" s="17"/>
      <c r="E793" s="17"/>
      <c r="F793" s="17"/>
      <c r="G793" s="17"/>
      <c r="H793" s="17"/>
    </row>
    <row r="794" spans="1:8" ht="13.8" x14ac:dyDescent="0.3">
      <c r="A794" s="14"/>
      <c r="B794" s="18" t="s">
        <v>63</v>
      </c>
      <c r="C794" s="18"/>
      <c r="D794" s="18"/>
      <c r="E794" s="18"/>
      <c r="F794" s="18"/>
      <c r="G794" s="18"/>
      <c r="H794" s="18"/>
    </row>
    <row r="795" spans="1:8" ht="13.8" x14ac:dyDescent="0.3">
      <c r="A795" s="14"/>
      <c r="B795" s="17" t="s">
        <v>63</v>
      </c>
      <c r="C795" s="17"/>
      <c r="D795" s="17"/>
      <c r="E795" s="17"/>
      <c r="F795" s="17"/>
      <c r="G795" s="17"/>
      <c r="H795" s="17"/>
    </row>
    <row r="796" spans="1:8" ht="13.8" x14ac:dyDescent="0.3">
      <c r="A796" s="14"/>
      <c r="B796" s="18" t="s">
        <v>63</v>
      </c>
      <c r="C796" s="18"/>
      <c r="D796" s="18"/>
      <c r="E796" s="18"/>
      <c r="F796" s="18"/>
      <c r="G796" s="18"/>
      <c r="H796" s="18"/>
    </row>
    <row r="797" spans="1:8" ht="13.8" x14ac:dyDescent="0.3">
      <c r="A797" s="14"/>
      <c r="B797" s="17" t="s">
        <v>63</v>
      </c>
      <c r="C797" s="17"/>
      <c r="D797" s="17"/>
      <c r="E797" s="17"/>
      <c r="F797" s="17"/>
      <c r="G797" s="17"/>
      <c r="H797" s="17"/>
    </row>
    <row r="798" spans="1:8" ht="13.8" x14ac:dyDescent="0.3">
      <c r="A798" s="14"/>
      <c r="B798" s="18" t="s">
        <v>63</v>
      </c>
      <c r="C798" s="18"/>
      <c r="D798" s="18"/>
      <c r="E798" s="18"/>
      <c r="F798" s="18"/>
      <c r="G798" s="18"/>
      <c r="H798" s="18"/>
    </row>
    <row r="799" spans="1:8" ht="13.8" x14ac:dyDescent="0.3">
      <c r="A799" s="14"/>
      <c r="B799" s="17" t="s">
        <v>63</v>
      </c>
      <c r="C799" s="17"/>
      <c r="D799" s="17"/>
      <c r="E799" s="17"/>
      <c r="F799" s="17"/>
      <c r="G799" s="17"/>
      <c r="H799" s="17"/>
    </row>
    <row r="800" spans="1:8" ht="13.8" x14ac:dyDescent="0.3">
      <c r="A800" s="14"/>
      <c r="B800" s="18" t="s">
        <v>63</v>
      </c>
      <c r="C800" s="18"/>
      <c r="D800" s="18"/>
      <c r="E800" s="18"/>
      <c r="F800" s="18"/>
      <c r="G800" s="18"/>
      <c r="H800" s="18"/>
    </row>
    <row r="801" spans="1:8" ht="13.8" x14ac:dyDescent="0.3">
      <c r="A801" s="14"/>
      <c r="B801" s="17" t="s">
        <v>63</v>
      </c>
      <c r="C801" s="17"/>
      <c r="D801" s="17"/>
      <c r="E801" s="17"/>
      <c r="F801" s="17"/>
      <c r="G801" s="17"/>
      <c r="H801" s="17"/>
    </row>
    <row r="802" spans="1:8" ht="13.8" x14ac:dyDescent="0.3">
      <c r="A802" s="14"/>
      <c r="B802" s="18" t="s">
        <v>63</v>
      </c>
      <c r="C802" s="18"/>
      <c r="D802" s="18"/>
      <c r="E802" s="18"/>
      <c r="F802" s="18"/>
      <c r="G802" s="18"/>
      <c r="H802" s="18"/>
    </row>
    <row r="803" spans="1:8" ht="13.8" x14ac:dyDescent="0.3">
      <c r="A803" s="14"/>
      <c r="B803" s="17" t="s">
        <v>63</v>
      </c>
      <c r="C803" s="17"/>
      <c r="D803" s="17"/>
      <c r="E803" s="17"/>
      <c r="F803" s="17"/>
      <c r="G803" s="17"/>
      <c r="H803" s="17"/>
    </row>
    <row r="804" spans="1:8" ht="13.8" x14ac:dyDescent="0.3">
      <c r="A804" s="14"/>
      <c r="B804" s="18" t="s">
        <v>63</v>
      </c>
      <c r="C804" s="18"/>
      <c r="D804" s="18"/>
      <c r="E804" s="18"/>
      <c r="F804" s="18"/>
      <c r="G804" s="18"/>
      <c r="H804" s="18"/>
    </row>
    <row r="805" spans="1:8" ht="13.8" x14ac:dyDescent="0.3">
      <c r="A805" s="14"/>
      <c r="B805" s="17" t="s">
        <v>63</v>
      </c>
      <c r="C805" s="17"/>
      <c r="D805" s="17"/>
      <c r="E805" s="17"/>
      <c r="F805" s="17"/>
      <c r="G805" s="17"/>
      <c r="H805" s="17"/>
    </row>
    <row r="806" spans="1:8" ht="13.8" x14ac:dyDescent="0.3">
      <c r="A806" s="14"/>
      <c r="B806" s="18" t="s">
        <v>63</v>
      </c>
      <c r="C806" s="18"/>
      <c r="D806" s="18"/>
      <c r="E806" s="18"/>
      <c r="F806" s="18"/>
      <c r="G806" s="18"/>
      <c r="H806" s="18"/>
    </row>
    <row r="807" spans="1:8" ht="13.8" x14ac:dyDescent="0.3">
      <c r="A807" s="14"/>
      <c r="B807" s="17" t="s">
        <v>63</v>
      </c>
      <c r="C807" s="17"/>
      <c r="D807" s="17"/>
      <c r="E807" s="17"/>
      <c r="F807" s="17"/>
      <c r="G807" s="17"/>
      <c r="H807" s="17"/>
    </row>
    <row r="808" spans="1:8" ht="13.8" x14ac:dyDescent="0.3">
      <c r="A808" s="14"/>
      <c r="B808" s="18" t="s">
        <v>63</v>
      </c>
      <c r="C808" s="18"/>
      <c r="D808" s="18"/>
      <c r="E808" s="18"/>
      <c r="F808" s="18"/>
      <c r="G808" s="18"/>
      <c r="H808" s="18"/>
    </row>
    <row r="809" spans="1:8" ht="13.8" x14ac:dyDescent="0.3">
      <c r="A809" s="14"/>
      <c r="B809" s="17" t="s">
        <v>63</v>
      </c>
      <c r="C809" s="17"/>
      <c r="D809" s="17"/>
      <c r="E809" s="17"/>
      <c r="F809" s="17"/>
      <c r="G809" s="17"/>
      <c r="H809" s="17"/>
    </row>
    <row r="810" spans="1:8" ht="13.8" x14ac:dyDescent="0.3">
      <c r="A810" s="14"/>
      <c r="B810" s="18" t="s">
        <v>63</v>
      </c>
      <c r="C810" s="18"/>
      <c r="D810" s="18"/>
      <c r="E810" s="18"/>
      <c r="F810" s="18"/>
      <c r="G810" s="18"/>
      <c r="H810" s="18"/>
    </row>
    <row r="811" spans="1:8" ht="13.8" x14ac:dyDescent="0.3">
      <c r="A811" s="14"/>
      <c r="B811" s="17" t="s">
        <v>63</v>
      </c>
      <c r="C811" s="17"/>
      <c r="D811" s="17"/>
      <c r="E811" s="17"/>
      <c r="F811" s="17"/>
      <c r="G811" s="17"/>
      <c r="H811" s="17"/>
    </row>
    <row r="812" spans="1:8" ht="13.8" x14ac:dyDescent="0.3">
      <c r="A812" s="14"/>
      <c r="B812" s="18" t="s">
        <v>63</v>
      </c>
      <c r="C812" s="18"/>
      <c r="D812" s="18"/>
      <c r="E812" s="18"/>
      <c r="F812" s="18"/>
      <c r="G812" s="18"/>
      <c r="H812" s="18"/>
    </row>
    <row r="813" spans="1:8" ht="13.8" x14ac:dyDescent="0.3">
      <c r="A813" s="14"/>
      <c r="B813" s="17" t="s">
        <v>63</v>
      </c>
      <c r="C813" s="17"/>
      <c r="D813" s="17"/>
      <c r="E813" s="17"/>
      <c r="F813" s="17"/>
      <c r="G813" s="17"/>
      <c r="H813" s="17"/>
    </row>
    <row r="814" spans="1:8" ht="13.8" x14ac:dyDescent="0.3">
      <c r="A814" s="14"/>
      <c r="B814" s="18" t="s">
        <v>63</v>
      </c>
      <c r="C814" s="18"/>
      <c r="D814" s="18"/>
      <c r="E814" s="18"/>
      <c r="F814" s="18"/>
      <c r="G814" s="18"/>
      <c r="H814" s="18"/>
    </row>
    <row r="815" spans="1:8" ht="13.8" x14ac:dyDescent="0.3">
      <c r="A815" s="14"/>
      <c r="B815" s="17" t="s">
        <v>63</v>
      </c>
      <c r="C815" s="17"/>
      <c r="D815" s="17"/>
      <c r="E815" s="17"/>
      <c r="F815" s="17"/>
      <c r="G815" s="17"/>
      <c r="H815" s="17"/>
    </row>
    <row r="816" spans="1:8" ht="13.8" x14ac:dyDescent="0.3">
      <c r="A816" s="14"/>
      <c r="B816" s="18" t="s">
        <v>63</v>
      </c>
      <c r="C816" s="18"/>
      <c r="D816" s="18"/>
      <c r="E816" s="18"/>
      <c r="F816" s="18"/>
      <c r="G816" s="18"/>
      <c r="H816" s="18"/>
    </row>
    <row r="817" spans="1:8" ht="13.8" x14ac:dyDescent="0.3">
      <c r="A817" s="14"/>
      <c r="B817" s="17" t="s">
        <v>63</v>
      </c>
      <c r="C817" s="17"/>
      <c r="D817" s="17"/>
      <c r="E817" s="17"/>
      <c r="F817" s="17"/>
      <c r="G817" s="17"/>
      <c r="H817" s="17"/>
    </row>
    <row r="818" spans="1:8" ht="13.8" x14ac:dyDescent="0.3">
      <c r="A818" s="14"/>
      <c r="B818" s="18" t="s">
        <v>63</v>
      </c>
      <c r="C818" s="18"/>
      <c r="D818" s="18"/>
      <c r="E818" s="18"/>
      <c r="F818" s="18"/>
      <c r="G818" s="18"/>
      <c r="H818" s="18"/>
    </row>
    <row r="819" spans="1:8" ht="13.8" x14ac:dyDescent="0.3">
      <c r="A819" s="14"/>
      <c r="B819" s="17" t="s">
        <v>63</v>
      </c>
      <c r="C819" s="17"/>
      <c r="D819" s="17"/>
      <c r="E819" s="17"/>
      <c r="F819" s="17"/>
      <c r="G819" s="17"/>
      <c r="H819" s="17"/>
    </row>
    <row r="820" spans="1:8" ht="13.8" x14ac:dyDescent="0.3">
      <c r="A820" s="14"/>
      <c r="B820" s="18" t="s">
        <v>63</v>
      </c>
      <c r="C820" s="18"/>
      <c r="D820" s="18"/>
      <c r="E820" s="18"/>
      <c r="F820" s="18"/>
      <c r="G820" s="18"/>
      <c r="H820" s="18"/>
    </row>
    <row r="821" spans="1:8" ht="13.8" x14ac:dyDescent="0.3">
      <c r="A821" s="14"/>
      <c r="B821" s="17" t="s">
        <v>63</v>
      </c>
      <c r="C821" s="17"/>
      <c r="D821" s="17"/>
      <c r="E821" s="17"/>
      <c r="F821" s="17"/>
      <c r="G821" s="17"/>
      <c r="H821" s="17"/>
    </row>
    <row r="822" spans="1:8" ht="13.8" x14ac:dyDescent="0.3">
      <c r="A822" s="14"/>
      <c r="B822" s="18" t="s">
        <v>63</v>
      </c>
      <c r="C822" s="18"/>
      <c r="D822" s="18"/>
      <c r="E822" s="18"/>
      <c r="F822" s="18"/>
      <c r="G822" s="18"/>
      <c r="H822" s="18"/>
    </row>
    <row r="823" spans="1:8" ht="13.8" x14ac:dyDescent="0.3">
      <c r="A823" s="14"/>
      <c r="B823" s="17" t="s">
        <v>63</v>
      </c>
      <c r="C823" s="17"/>
      <c r="D823" s="17"/>
      <c r="E823" s="17"/>
      <c r="F823" s="17"/>
      <c r="G823" s="17"/>
      <c r="H823" s="17"/>
    </row>
    <row r="824" spans="1:8" ht="13.8" x14ac:dyDescent="0.3">
      <c r="A824" s="14"/>
      <c r="B824" s="18" t="s">
        <v>63</v>
      </c>
      <c r="C824" s="18"/>
      <c r="D824" s="18"/>
      <c r="E824" s="18"/>
      <c r="F824" s="18"/>
      <c r="G824" s="18"/>
      <c r="H824" s="18"/>
    </row>
    <row r="825" spans="1:8" ht="13.8" x14ac:dyDescent="0.3">
      <c r="A825" s="14"/>
      <c r="B825" s="17" t="s">
        <v>63</v>
      </c>
      <c r="C825" s="17"/>
      <c r="D825" s="17"/>
      <c r="E825" s="17"/>
      <c r="F825" s="17"/>
      <c r="G825" s="17"/>
      <c r="H825" s="17"/>
    </row>
    <row r="826" spans="1:8" ht="13.8" x14ac:dyDescent="0.3">
      <c r="A826" s="14"/>
      <c r="B826" s="18" t="s">
        <v>63</v>
      </c>
      <c r="C826" s="18"/>
      <c r="D826" s="18"/>
      <c r="E826" s="18"/>
      <c r="F826" s="18"/>
      <c r="G826" s="18"/>
      <c r="H826" s="18"/>
    </row>
    <row r="827" spans="1:8" ht="13.8" x14ac:dyDescent="0.3">
      <c r="A827" s="14"/>
      <c r="B827" s="17" t="s">
        <v>63</v>
      </c>
      <c r="C827" s="17"/>
      <c r="D827" s="17"/>
      <c r="E827" s="17"/>
      <c r="F827" s="17"/>
      <c r="G827" s="17"/>
      <c r="H827" s="17"/>
    </row>
    <row r="828" spans="1:8" ht="13.8" x14ac:dyDescent="0.3">
      <c r="A828" s="14"/>
      <c r="B828" s="18" t="s">
        <v>63</v>
      </c>
      <c r="C828" s="18"/>
      <c r="D828" s="18"/>
      <c r="E828" s="18"/>
      <c r="F828" s="18"/>
      <c r="G828" s="18"/>
      <c r="H828" s="18"/>
    </row>
    <row r="829" spans="1:8" ht="13.8" x14ac:dyDescent="0.3">
      <c r="A829" s="14"/>
      <c r="B829" s="17" t="s">
        <v>63</v>
      </c>
      <c r="C829" s="17"/>
      <c r="D829" s="17"/>
      <c r="E829" s="17"/>
      <c r="F829" s="17"/>
      <c r="G829" s="17"/>
      <c r="H829" s="17"/>
    </row>
    <row r="830" spans="1:8" ht="13.8" x14ac:dyDescent="0.3">
      <c r="A830" s="14"/>
      <c r="B830" s="18" t="s">
        <v>63</v>
      </c>
      <c r="C830" s="18"/>
      <c r="D830" s="18"/>
      <c r="E830" s="18"/>
      <c r="F830" s="18"/>
      <c r="G830" s="18"/>
      <c r="H830" s="18"/>
    </row>
    <row r="831" spans="1:8" ht="13.8" x14ac:dyDescent="0.3">
      <c r="A831" s="14"/>
      <c r="B831" s="17" t="s">
        <v>63</v>
      </c>
      <c r="C831" s="17"/>
      <c r="D831" s="17"/>
      <c r="E831" s="17"/>
      <c r="F831" s="17"/>
      <c r="G831" s="17"/>
      <c r="H831" s="17"/>
    </row>
    <row r="832" spans="1:8" ht="13.8" x14ac:dyDescent="0.3">
      <c r="A832" s="14"/>
      <c r="B832" s="18" t="s">
        <v>63</v>
      </c>
      <c r="C832" s="18"/>
      <c r="D832" s="18"/>
      <c r="E832" s="18"/>
      <c r="F832" s="18"/>
      <c r="G832" s="18"/>
      <c r="H832" s="18"/>
    </row>
    <row r="833" spans="1:8" ht="13.8" x14ac:dyDescent="0.3">
      <c r="A833" s="14"/>
      <c r="B833" s="17" t="s">
        <v>63</v>
      </c>
      <c r="C833" s="17"/>
      <c r="D833" s="17"/>
      <c r="E833" s="17"/>
      <c r="F833" s="17"/>
      <c r="G833" s="17"/>
      <c r="H833" s="17"/>
    </row>
    <row r="834" spans="1:8" ht="13.8" x14ac:dyDescent="0.3">
      <c r="A834" s="14"/>
      <c r="B834" s="18" t="s">
        <v>63</v>
      </c>
      <c r="C834" s="18"/>
      <c r="D834" s="18"/>
      <c r="E834" s="18"/>
      <c r="F834" s="18"/>
      <c r="G834" s="18"/>
      <c r="H834" s="18"/>
    </row>
    <row r="835" spans="1:8" ht="13.8" x14ac:dyDescent="0.3">
      <c r="A835" s="14"/>
      <c r="B835" s="17" t="s">
        <v>63</v>
      </c>
      <c r="C835" s="17"/>
      <c r="D835" s="17"/>
      <c r="E835" s="17"/>
      <c r="F835" s="17"/>
      <c r="G835" s="17"/>
      <c r="H835" s="17"/>
    </row>
    <row r="836" spans="1:8" ht="13.8" x14ac:dyDescent="0.3">
      <c r="A836" s="14"/>
      <c r="B836" s="18" t="s">
        <v>63</v>
      </c>
      <c r="C836" s="18"/>
      <c r="D836" s="18"/>
      <c r="E836" s="18"/>
      <c r="F836" s="18"/>
      <c r="G836" s="18"/>
      <c r="H836" s="18"/>
    </row>
    <row r="837" spans="1:8" ht="13.8" x14ac:dyDescent="0.3">
      <c r="A837" s="14"/>
      <c r="B837" s="17" t="s">
        <v>63</v>
      </c>
      <c r="C837" s="17"/>
      <c r="D837" s="17"/>
      <c r="E837" s="17"/>
      <c r="F837" s="17"/>
      <c r="G837" s="17"/>
      <c r="H837" s="17"/>
    </row>
    <row r="838" spans="1:8" ht="13.8" x14ac:dyDescent="0.3">
      <c r="A838" s="14"/>
      <c r="B838" s="18" t="s">
        <v>63</v>
      </c>
      <c r="C838" s="18"/>
      <c r="D838" s="18"/>
      <c r="E838" s="18"/>
      <c r="F838" s="18"/>
      <c r="G838" s="18"/>
      <c r="H838" s="18"/>
    </row>
    <row r="839" spans="1:8" ht="13.8" x14ac:dyDescent="0.3">
      <c r="A839" s="14"/>
      <c r="B839" s="17" t="s">
        <v>63</v>
      </c>
      <c r="C839" s="17"/>
      <c r="D839" s="17"/>
      <c r="E839" s="17"/>
      <c r="F839" s="17"/>
      <c r="G839" s="17"/>
      <c r="H839" s="17"/>
    </row>
    <row r="840" spans="1:8" ht="13.8" x14ac:dyDescent="0.3">
      <c r="A840" s="14"/>
      <c r="B840" s="18" t="s">
        <v>63</v>
      </c>
      <c r="C840" s="18"/>
      <c r="D840" s="18"/>
      <c r="E840" s="18"/>
      <c r="F840" s="18"/>
      <c r="G840" s="18"/>
      <c r="H840" s="18"/>
    </row>
    <row r="841" spans="1:8" ht="13.8" x14ac:dyDescent="0.3">
      <c r="A841" s="14"/>
      <c r="B841" s="17" t="s">
        <v>63</v>
      </c>
      <c r="C841" s="17"/>
      <c r="D841" s="17"/>
      <c r="E841" s="17"/>
      <c r="F841" s="17"/>
      <c r="G841" s="17"/>
      <c r="H841" s="17"/>
    </row>
    <row r="842" spans="1:8" ht="13.8" x14ac:dyDescent="0.3">
      <c r="A842" s="14"/>
      <c r="B842" s="18" t="s">
        <v>63</v>
      </c>
      <c r="C842" s="18"/>
      <c r="D842" s="18"/>
      <c r="E842" s="18"/>
      <c r="F842" s="18"/>
      <c r="G842" s="18"/>
      <c r="H842" s="18"/>
    </row>
    <row r="843" spans="1:8" ht="13.8" x14ac:dyDescent="0.3">
      <c r="A843" s="14"/>
      <c r="B843" s="17" t="s">
        <v>63</v>
      </c>
      <c r="C843" s="17"/>
      <c r="D843" s="17"/>
      <c r="E843" s="17"/>
      <c r="F843" s="17"/>
      <c r="G843" s="17"/>
      <c r="H843" s="17"/>
    </row>
    <row r="844" spans="1:8" ht="13.8" x14ac:dyDescent="0.3">
      <c r="A844" s="14"/>
      <c r="B844" s="18" t="s">
        <v>63</v>
      </c>
      <c r="C844" s="18"/>
      <c r="D844" s="18"/>
      <c r="E844" s="18"/>
      <c r="F844" s="18"/>
      <c r="G844" s="18"/>
      <c r="H844" s="18"/>
    </row>
    <row r="845" spans="1:8" ht="13.8" x14ac:dyDescent="0.3">
      <c r="A845" s="14"/>
      <c r="B845" s="17" t="s">
        <v>63</v>
      </c>
      <c r="C845" s="17"/>
      <c r="D845" s="17"/>
      <c r="E845" s="17"/>
      <c r="F845" s="17"/>
      <c r="G845" s="17"/>
      <c r="H845" s="17"/>
    </row>
    <row r="846" spans="1:8" ht="13.8" x14ac:dyDescent="0.3">
      <c r="A846" s="14"/>
      <c r="B846" s="18" t="s">
        <v>63</v>
      </c>
      <c r="C846" s="18"/>
      <c r="D846" s="18"/>
      <c r="E846" s="18"/>
      <c r="F846" s="18"/>
      <c r="G846" s="18"/>
      <c r="H846" s="18"/>
    </row>
    <row r="847" spans="1:8" ht="13.8" x14ac:dyDescent="0.3">
      <c r="A847" s="14"/>
      <c r="B847" s="17" t="s">
        <v>63</v>
      </c>
      <c r="C847" s="17"/>
      <c r="D847" s="17"/>
      <c r="E847" s="17"/>
      <c r="F847" s="17"/>
      <c r="G847" s="17"/>
      <c r="H847" s="17"/>
    </row>
    <row r="848" spans="1:8" ht="13.8" x14ac:dyDescent="0.3">
      <c r="A848" s="14"/>
      <c r="B848" s="18" t="s">
        <v>63</v>
      </c>
      <c r="C848" s="18"/>
      <c r="D848" s="18"/>
      <c r="E848" s="18"/>
      <c r="F848" s="18"/>
      <c r="G848" s="18"/>
      <c r="H848" s="18"/>
    </row>
    <row r="849" spans="1:8" ht="13.8" x14ac:dyDescent="0.3">
      <c r="A849" s="14"/>
      <c r="B849" s="17" t="s">
        <v>63</v>
      </c>
      <c r="C849" s="17"/>
      <c r="D849" s="17"/>
      <c r="E849" s="17"/>
      <c r="F849" s="17"/>
      <c r="G849" s="17"/>
      <c r="H849" s="17"/>
    </row>
    <row r="850" spans="1:8" ht="13.8" x14ac:dyDescent="0.3">
      <c r="A850" s="14"/>
      <c r="B850" s="18" t="s">
        <v>63</v>
      </c>
      <c r="C850" s="18"/>
      <c r="D850" s="18"/>
      <c r="E850" s="18"/>
      <c r="F850" s="18"/>
      <c r="G850" s="18"/>
      <c r="H850" s="18"/>
    </row>
    <row r="851" spans="1:8" ht="13.8" x14ac:dyDescent="0.3">
      <c r="A851" s="14"/>
      <c r="B851" s="17" t="s">
        <v>63</v>
      </c>
      <c r="C851" s="17"/>
      <c r="D851" s="17"/>
      <c r="E851" s="17"/>
      <c r="F851" s="17"/>
      <c r="G851" s="17"/>
      <c r="H851" s="17"/>
    </row>
    <row r="852" spans="1:8" ht="13.8" x14ac:dyDescent="0.3">
      <c r="A852" s="14"/>
      <c r="B852" s="18" t="s">
        <v>63</v>
      </c>
      <c r="C852" s="18"/>
      <c r="D852" s="18"/>
      <c r="E852" s="18"/>
      <c r="F852" s="18"/>
      <c r="G852" s="18"/>
      <c r="H852" s="18"/>
    </row>
    <row r="853" spans="1:8" ht="13.8" x14ac:dyDescent="0.3">
      <c r="A853" s="14"/>
      <c r="B853" s="17" t="s">
        <v>63</v>
      </c>
      <c r="C853" s="17"/>
      <c r="D853" s="17"/>
      <c r="E853" s="17"/>
      <c r="F853" s="17"/>
      <c r="G853" s="17"/>
      <c r="H853" s="17"/>
    </row>
    <row r="854" spans="1:8" ht="13.8" x14ac:dyDescent="0.3">
      <c r="A854" s="14"/>
      <c r="B854" s="18" t="s">
        <v>63</v>
      </c>
      <c r="C854" s="18"/>
      <c r="D854" s="18"/>
      <c r="E854" s="18"/>
      <c r="F854" s="18"/>
      <c r="G854" s="18"/>
      <c r="H854" s="18"/>
    </row>
    <row r="855" spans="1:8" ht="13.8" x14ac:dyDescent="0.3">
      <c r="A855" s="14"/>
      <c r="B855" s="17" t="s">
        <v>63</v>
      </c>
      <c r="C855" s="17"/>
      <c r="D855" s="17"/>
      <c r="E855" s="17"/>
      <c r="F855" s="17"/>
      <c r="G855" s="17"/>
      <c r="H855" s="17"/>
    </row>
    <row r="856" spans="1:8" ht="13.8" x14ac:dyDescent="0.3">
      <c r="A856" s="14"/>
      <c r="B856" s="18" t="s">
        <v>63</v>
      </c>
      <c r="C856" s="18"/>
      <c r="D856" s="18"/>
      <c r="E856" s="18"/>
      <c r="F856" s="18"/>
      <c r="G856" s="18"/>
      <c r="H856" s="18"/>
    </row>
    <row r="857" spans="1:8" ht="13.8" x14ac:dyDescent="0.3">
      <c r="A857" s="14"/>
      <c r="B857" s="17" t="s">
        <v>63</v>
      </c>
      <c r="C857" s="17"/>
      <c r="D857" s="17"/>
      <c r="E857" s="17"/>
      <c r="F857" s="17"/>
      <c r="G857" s="17"/>
      <c r="H857" s="17"/>
    </row>
    <row r="858" spans="1:8" ht="13.8" x14ac:dyDescent="0.3">
      <c r="A858" s="14"/>
      <c r="B858" s="18" t="s">
        <v>63</v>
      </c>
      <c r="C858" s="18"/>
      <c r="D858" s="18"/>
      <c r="E858" s="18"/>
      <c r="F858" s="18"/>
      <c r="G858" s="18"/>
      <c r="H858" s="18"/>
    </row>
    <row r="859" spans="1:8" ht="13.8" x14ac:dyDescent="0.3">
      <c r="A859" s="14"/>
      <c r="B859" s="17" t="s">
        <v>63</v>
      </c>
      <c r="C859" s="17"/>
      <c r="D859" s="17"/>
      <c r="E859" s="17"/>
      <c r="F859" s="17"/>
      <c r="G859" s="17"/>
      <c r="H859" s="17"/>
    </row>
    <row r="860" spans="1:8" ht="13.8" x14ac:dyDescent="0.3">
      <c r="A860" s="14"/>
      <c r="B860" s="18" t="s">
        <v>63</v>
      </c>
      <c r="C860" s="18"/>
      <c r="D860" s="18"/>
      <c r="E860" s="18"/>
      <c r="F860" s="18"/>
      <c r="G860" s="18"/>
      <c r="H860" s="18"/>
    </row>
    <row r="861" spans="1:8" ht="13.8" x14ac:dyDescent="0.3">
      <c r="A861" s="14"/>
      <c r="B861" s="17" t="s">
        <v>63</v>
      </c>
      <c r="C861" s="17"/>
      <c r="D861" s="17"/>
      <c r="E861" s="17"/>
      <c r="F861" s="17"/>
      <c r="G861" s="17"/>
      <c r="H861" s="17"/>
    </row>
    <row r="862" spans="1:8" ht="13.8" x14ac:dyDescent="0.3">
      <c r="A862" s="14"/>
      <c r="B862" s="18" t="s">
        <v>63</v>
      </c>
      <c r="C862" s="18"/>
      <c r="D862" s="18"/>
      <c r="E862" s="18"/>
      <c r="F862" s="18"/>
      <c r="G862" s="18"/>
      <c r="H862" s="18"/>
    </row>
    <row r="863" spans="1:8" ht="13.8" x14ac:dyDescent="0.3">
      <c r="A863" s="14"/>
      <c r="B863" s="17" t="s">
        <v>63</v>
      </c>
      <c r="C863" s="17"/>
      <c r="D863" s="17"/>
      <c r="E863" s="17"/>
      <c r="F863" s="17"/>
      <c r="G863" s="17"/>
      <c r="H863" s="17"/>
    </row>
    <row r="864" spans="1:8" ht="13.8" x14ac:dyDescent="0.3">
      <c r="A864" s="14"/>
      <c r="B864" s="18" t="s">
        <v>63</v>
      </c>
      <c r="C864" s="18"/>
      <c r="D864" s="18"/>
      <c r="E864" s="18"/>
      <c r="F864" s="18"/>
      <c r="G864" s="18"/>
      <c r="H864" s="18"/>
    </row>
    <row r="865" spans="1:8" ht="13.8" x14ac:dyDescent="0.3">
      <c r="A865" s="14"/>
      <c r="B865" s="17" t="s">
        <v>63</v>
      </c>
      <c r="C865" s="17"/>
      <c r="D865" s="17"/>
      <c r="E865" s="17"/>
      <c r="F865" s="17"/>
      <c r="G865" s="17"/>
      <c r="H865" s="17"/>
    </row>
    <row r="866" spans="1:8" ht="13.8" x14ac:dyDescent="0.3">
      <c r="A866" s="14"/>
      <c r="B866" s="18" t="s">
        <v>63</v>
      </c>
      <c r="C866" s="18"/>
      <c r="D866" s="18"/>
      <c r="E866" s="18"/>
      <c r="F866" s="18"/>
      <c r="G866" s="18"/>
      <c r="H866" s="18"/>
    </row>
    <row r="867" spans="1:8" ht="13.8" x14ac:dyDescent="0.3">
      <c r="A867" s="14"/>
      <c r="B867" s="17" t="s">
        <v>63</v>
      </c>
      <c r="C867" s="17"/>
      <c r="D867" s="17"/>
      <c r="E867" s="17"/>
      <c r="F867" s="17"/>
      <c r="G867" s="17"/>
      <c r="H867" s="17"/>
    </row>
    <row r="868" spans="1:8" ht="13.8" x14ac:dyDescent="0.3">
      <c r="A868" s="14"/>
      <c r="B868" s="18" t="s">
        <v>63</v>
      </c>
      <c r="C868" s="18"/>
      <c r="D868" s="18"/>
      <c r="E868" s="18"/>
      <c r="F868" s="18"/>
      <c r="G868" s="18"/>
      <c r="H868" s="18"/>
    </row>
    <row r="869" spans="1:8" ht="13.8" x14ac:dyDescent="0.3">
      <c r="A869" s="14"/>
      <c r="B869" s="17" t="s">
        <v>63</v>
      </c>
      <c r="C869" s="17"/>
      <c r="D869" s="17"/>
      <c r="E869" s="17"/>
      <c r="F869" s="17"/>
      <c r="G869" s="17"/>
      <c r="H869" s="17"/>
    </row>
    <row r="870" spans="1:8" ht="13.8" x14ac:dyDescent="0.3">
      <c r="A870" s="14"/>
      <c r="B870" s="18" t="s">
        <v>63</v>
      </c>
      <c r="C870" s="18"/>
      <c r="D870" s="18"/>
      <c r="E870" s="18"/>
      <c r="F870" s="18"/>
      <c r="G870" s="18"/>
      <c r="H870" s="18"/>
    </row>
    <row r="871" spans="1:8" ht="13.8" x14ac:dyDescent="0.3">
      <c r="A871" s="14"/>
      <c r="B871" s="17" t="s">
        <v>63</v>
      </c>
      <c r="C871" s="17"/>
      <c r="D871" s="17"/>
      <c r="E871" s="17"/>
      <c r="F871" s="17"/>
      <c r="G871" s="17"/>
      <c r="H871" s="17"/>
    </row>
    <row r="872" spans="1:8" ht="13.8" x14ac:dyDescent="0.3">
      <c r="A872" s="14"/>
      <c r="B872" s="18" t="s">
        <v>63</v>
      </c>
      <c r="C872" s="18"/>
      <c r="D872" s="18"/>
      <c r="E872" s="18"/>
      <c r="F872" s="18"/>
      <c r="G872" s="18"/>
      <c r="H872" s="18"/>
    </row>
    <row r="873" spans="1:8" ht="13.8" x14ac:dyDescent="0.3">
      <c r="A873" s="14"/>
      <c r="B873" s="17" t="s">
        <v>63</v>
      </c>
      <c r="C873" s="17"/>
      <c r="D873" s="17"/>
      <c r="E873" s="17"/>
      <c r="F873" s="17"/>
      <c r="G873" s="17"/>
      <c r="H873" s="17"/>
    </row>
    <row r="874" spans="1:8" ht="13.8" x14ac:dyDescent="0.3">
      <c r="A874" s="14"/>
      <c r="B874" s="18" t="s">
        <v>63</v>
      </c>
      <c r="C874" s="18"/>
      <c r="D874" s="18"/>
      <c r="E874" s="18"/>
      <c r="F874" s="18"/>
      <c r="G874" s="18"/>
      <c r="H874" s="18"/>
    </row>
    <row r="875" spans="1:8" ht="13.8" x14ac:dyDescent="0.3">
      <c r="A875" s="14"/>
      <c r="B875" s="17" t="s">
        <v>63</v>
      </c>
      <c r="C875" s="17"/>
      <c r="D875" s="17"/>
      <c r="E875" s="17"/>
      <c r="F875" s="17"/>
      <c r="G875" s="17"/>
      <c r="H875" s="17"/>
    </row>
    <row r="876" spans="1:8" ht="13.8" x14ac:dyDescent="0.3">
      <c r="A876" s="14"/>
      <c r="B876" s="18" t="s">
        <v>63</v>
      </c>
      <c r="C876" s="18"/>
      <c r="D876" s="18"/>
      <c r="E876" s="18"/>
      <c r="F876" s="18"/>
      <c r="G876" s="18"/>
      <c r="H876" s="18"/>
    </row>
    <row r="877" spans="1:8" ht="13.8" x14ac:dyDescent="0.3">
      <c r="A877" s="14"/>
      <c r="B877" s="17" t="s">
        <v>63</v>
      </c>
      <c r="C877" s="17"/>
      <c r="D877" s="17"/>
      <c r="E877" s="17"/>
      <c r="F877" s="17"/>
      <c r="G877" s="17"/>
      <c r="H877" s="17"/>
    </row>
    <row r="878" spans="1:8" ht="13.8" x14ac:dyDescent="0.3">
      <c r="A878" s="14"/>
      <c r="B878" s="18" t="s">
        <v>63</v>
      </c>
      <c r="C878" s="18"/>
      <c r="D878" s="18"/>
      <c r="E878" s="18"/>
      <c r="F878" s="18"/>
      <c r="G878" s="18"/>
      <c r="H878" s="18"/>
    </row>
    <row r="879" spans="1:8" ht="13.8" x14ac:dyDescent="0.3">
      <c r="A879" s="14"/>
      <c r="B879" s="17" t="s">
        <v>63</v>
      </c>
      <c r="C879" s="17"/>
      <c r="D879" s="17"/>
      <c r="E879" s="17"/>
      <c r="F879" s="17"/>
      <c r="G879" s="17"/>
      <c r="H879" s="17"/>
    </row>
    <row r="880" spans="1:8" ht="13.8" x14ac:dyDescent="0.3">
      <c r="A880" s="14"/>
      <c r="B880" s="18" t="s">
        <v>63</v>
      </c>
      <c r="C880" s="18"/>
      <c r="D880" s="18"/>
      <c r="E880" s="18"/>
      <c r="F880" s="18"/>
      <c r="G880" s="18"/>
      <c r="H880" s="18"/>
    </row>
    <row r="881" spans="1:8" ht="13.8" x14ac:dyDescent="0.3">
      <c r="A881" s="14"/>
      <c r="B881" s="17" t="s">
        <v>63</v>
      </c>
      <c r="C881" s="17"/>
      <c r="D881" s="17"/>
      <c r="E881" s="17"/>
      <c r="F881" s="17"/>
      <c r="G881" s="17"/>
      <c r="H881" s="17"/>
    </row>
    <row r="882" spans="1:8" ht="13.8" x14ac:dyDescent="0.3">
      <c r="A882" s="14"/>
      <c r="B882" s="18" t="s">
        <v>63</v>
      </c>
      <c r="C882" s="18"/>
      <c r="D882" s="18"/>
      <c r="E882" s="18"/>
      <c r="F882" s="18"/>
      <c r="G882" s="18"/>
      <c r="H882" s="18"/>
    </row>
    <row r="883" spans="1:8" ht="13.8" x14ac:dyDescent="0.3">
      <c r="A883" s="14"/>
      <c r="B883" s="17" t="s">
        <v>63</v>
      </c>
      <c r="C883" s="17"/>
      <c r="D883" s="17"/>
      <c r="E883" s="17"/>
      <c r="F883" s="17"/>
      <c r="G883" s="17"/>
      <c r="H883" s="17"/>
    </row>
    <row r="884" spans="1:8" ht="13.8" x14ac:dyDescent="0.3">
      <c r="A884" s="14"/>
      <c r="B884" s="18" t="s">
        <v>63</v>
      </c>
      <c r="C884" s="18"/>
      <c r="D884" s="18"/>
      <c r="E884" s="18"/>
      <c r="F884" s="18"/>
      <c r="G884" s="18"/>
      <c r="H884" s="18"/>
    </row>
    <row r="885" spans="1:8" ht="13.8" x14ac:dyDescent="0.3">
      <c r="A885" s="14"/>
      <c r="B885" s="17" t="s">
        <v>63</v>
      </c>
      <c r="C885" s="17"/>
      <c r="D885" s="17"/>
      <c r="E885" s="17"/>
      <c r="F885" s="17"/>
      <c r="G885" s="17"/>
      <c r="H885" s="17"/>
    </row>
    <row r="886" spans="1:8" ht="13.8" x14ac:dyDescent="0.3">
      <c r="A886" s="14"/>
      <c r="B886" s="18" t="s">
        <v>63</v>
      </c>
      <c r="C886" s="18"/>
      <c r="D886" s="18"/>
      <c r="E886" s="18"/>
      <c r="F886" s="18"/>
      <c r="G886" s="18"/>
      <c r="H886" s="18"/>
    </row>
    <row r="887" spans="1:8" ht="13.8" x14ac:dyDescent="0.3">
      <c r="A887" s="14"/>
      <c r="B887" s="17" t="s">
        <v>63</v>
      </c>
      <c r="C887" s="17"/>
      <c r="D887" s="17"/>
      <c r="E887" s="17"/>
      <c r="F887" s="17"/>
      <c r="G887" s="17"/>
      <c r="H887" s="17"/>
    </row>
    <row r="888" spans="1:8" ht="13.8" x14ac:dyDescent="0.3">
      <c r="A888" s="14"/>
      <c r="B888" s="18" t="s">
        <v>63</v>
      </c>
      <c r="C888" s="18"/>
      <c r="D888" s="18"/>
      <c r="E888" s="18"/>
      <c r="F888" s="18"/>
      <c r="G888" s="18"/>
      <c r="H888" s="18"/>
    </row>
    <row r="889" spans="1:8" ht="13.8" x14ac:dyDescent="0.3">
      <c r="A889" s="14"/>
      <c r="B889" s="17" t="s">
        <v>63</v>
      </c>
      <c r="C889" s="17"/>
      <c r="D889" s="17"/>
      <c r="E889" s="17"/>
      <c r="F889" s="17"/>
      <c r="G889" s="17"/>
      <c r="H889" s="17"/>
    </row>
    <row r="890" spans="1:8" ht="13.8" x14ac:dyDescent="0.3">
      <c r="A890" s="14"/>
      <c r="B890" s="18" t="s">
        <v>63</v>
      </c>
      <c r="C890" s="18"/>
      <c r="D890" s="18"/>
      <c r="E890" s="18"/>
      <c r="F890" s="18"/>
      <c r="G890" s="18"/>
      <c r="H890" s="18"/>
    </row>
    <row r="891" spans="1:8" ht="13.8" x14ac:dyDescent="0.3">
      <c r="A891" s="14"/>
      <c r="B891" s="17" t="s">
        <v>63</v>
      </c>
      <c r="C891" s="17"/>
      <c r="D891" s="17"/>
      <c r="E891" s="17"/>
      <c r="F891" s="17"/>
      <c r="G891" s="17"/>
      <c r="H891" s="17"/>
    </row>
    <row r="892" spans="1:8" ht="13.8" x14ac:dyDescent="0.3">
      <c r="A892" s="14"/>
      <c r="B892" s="18" t="s">
        <v>63</v>
      </c>
      <c r="C892" s="18"/>
      <c r="D892" s="18"/>
      <c r="E892" s="18"/>
      <c r="F892" s="18"/>
      <c r="G892" s="18"/>
      <c r="H892" s="18"/>
    </row>
    <row r="893" spans="1:8" ht="13.8" x14ac:dyDescent="0.3">
      <c r="A893" s="14"/>
      <c r="B893" s="17" t="s">
        <v>63</v>
      </c>
      <c r="C893" s="17"/>
      <c r="D893" s="17"/>
      <c r="E893" s="17"/>
      <c r="F893" s="17"/>
      <c r="G893" s="17"/>
      <c r="H893" s="17"/>
    </row>
    <row r="894" spans="1:8" ht="13.8" x14ac:dyDescent="0.3">
      <c r="A894" s="14"/>
      <c r="B894" s="18" t="s">
        <v>63</v>
      </c>
      <c r="C894" s="18"/>
      <c r="D894" s="18"/>
      <c r="E894" s="18"/>
      <c r="F894" s="18"/>
      <c r="G894" s="18"/>
      <c r="H894" s="18"/>
    </row>
    <row r="895" spans="1:8" ht="13.8" x14ac:dyDescent="0.3">
      <c r="A895" s="14"/>
      <c r="B895" s="17" t="s">
        <v>63</v>
      </c>
      <c r="C895" s="17"/>
      <c r="D895" s="17"/>
      <c r="E895" s="17"/>
      <c r="F895" s="17"/>
      <c r="G895" s="17"/>
      <c r="H895" s="17"/>
    </row>
    <row r="896" spans="1:8" ht="13.8" x14ac:dyDescent="0.3">
      <c r="A896" s="14"/>
      <c r="B896" s="18" t="s">
        <v>63</v>
      </c>
      <c r="C896" s="18"/>
      <c r="D896" s="18"/>
      <c r="E896" s="18"/>
      <c r="F896" s="18"/>
      <c r="G896" s="18"/>
      <c r="H896" s="18"/>
    </row>
    <row r="897" spans="1:8" ht="13.8" x14ac:dyDescent="0.3">
      <c r="A897" s="14"/>
      <c r="B897" s="17" t="s">
        <v>63</v>
      </c>
      <c r="C897" s="17"/>
      <c r="D897" s="17"/>
      <c r="E897" s="17"/>
      <c r="F897" s="17"/>
      <c r="G897" s="17"/>
      <c r="H897" s="17"/>
    </row>
    <row r="898" spans="1:8" ht="13.8" x14ac:dyDescent="0.3">
      <c r="A898" s="14"/>
      <c r="B898" s="18" t="s">
        <v>63</v>
      </c>
      <c r="C898" s="18"/>
      <c r="D898" s="18"/>
      <c r="E898" s="18"/>
      <c r="F898" s="18"/>
      <c r="G898" s="18"/>
      <c r="H898" s="18"/>
    </row>
    <row r="899" spans="1:8" ht="13.8" x14ac:dyDescent="0.3">
      <c r="A899" s="14"/>
      <c r="B899" s="17" t="s">
        <v>63</v>
      </c>
      <c r="C899" s="17"/>
      <c r="D899" s="17"/>
      <c r="E899" s="17"/>
      <c r="F899" s="17"/>
      <c r="G899" s="17"/>
      <c r="H899" s="17"/>
    </row>
    <row r="900" spans="1:8" ht="13.8" x14ac:dyDescent="0.3">
      <c r="A900" s="14"/>
      <c r="B900" s="18" t="s">
        <v>63</v>
      </c>
      <c r="C900" s="18"/>
      <c r="D900" s="18"/>
      <c r="E900" s="18"/>
      <c r="F900" s="18"/>
      <c r="G900" s="18"/>
      <c r="H900" s="18"/>
    </row>
    <row r="901" spans="1:8" ht="13.8" x14ac:dyDescent="0.3">
      <c r="A901" s="14"/>
      <c r="B901" s="17" t="s">
        <v>63</v>
      </c>
      <c r="C901" s="17"/>
      <c r="D901" s="17"/>
      <c r="E901" s="17"/>
      <c r="F901" s="17"/>
      <c r="G901" s="17"/>
      <c r="H901" s="17"/>
    </row>
    <row r="902" spans="1:8" ht="13.8" x14ac:dyDescent="0.3">
      <c r="A902" s="14"/>
      <c r="B902" s="18" t="s">
        <v>63</v>
      </c>
      <c r="C902" s="18"/>
      <c r="D902" s="18"/>
      <c r="E902" s="18"/>
      <c r="F902" s="18"/>
      <c r="G902" s="18"/>
      <c r="H902" s="18"/>
    </row>
    <row r="903" spans="1:8" ht="13.8" x14ac:dyDescent="0.3">
      <c r="A903" s="14"/>
      <c r="B903" s="17" t="s">
        <v>63</v>
      </c>
      <c r="C903" s="17"/>
      <c r="D903" s="17"/>
      <c r="E903" s="17"/>
      <c r="F903" s="17"/>
      <c r="G903" s="17"/>
      <c r="H903" s="17"/>
    </row>
    <row r="904" spans="1:8" ht="13.8" x14ac:dyDescent="0.3">
      <c r="A904" s="14"/>
      <c r="B904" s="18" t="s">
        <v>63</v>
      </c>
      <c r="C904" s="18"/>
      <c r="D904" s="18"/>
      <c r="E904" s="18"/>
      <c r="F904" s="18"/>
      <c r="G904" s="18"/>
      <c r="H904" s="18"/>
    </row>
    <row r="905" spans="1:8" ht="13.8" x14ac:dyDescent="0.3">
      <c r="A905" s="14"/>
      <c r="B905" s="17" t="s">
        <v>63</v>
      </c>
      <c r="C905" s="17"/>
      <c r="D905" s="17"/>
      <c r="E905" s="17"/>
      <c r="F905" s="17"/>
      <c r="G905" s="17"/>
      <c r="H905" s="17"/>
    </row>
    <row r="906" spans="1:8" ht="13.8" x14ac:dyDescent="0.3">
      <c r="A906" s="14"/>
      <c r="B906" s="18" t="s">
        <v>63</v>
      </c>
      <c r="C906" s="18"/>
      <c r="D906" s="18"/>
      <c r="E906" s="18"/>
      <c r="F906" s="18"/>
      <c r="G906" s="18"/>
      <c r="H906" s="18"/>
    </row>
    <row r="907" spans="1:8" ht="13.8" x14ac:dyDescent="0.3">
      <c r="A907" s="14"/>
      <c r="B907" s="17" t="s">
        <v>63</v>
      </c>
      <c r="C907" s="17"/>
      <c r="D907" s="17"/>
      <c r="E907" s="17"/>
      <c r="F907" s="17"/>
      <c r="G907" s="17"/>
      <c r="H907" s="17"/>
    </row>
    <row r="908" spans="1:8" ht="13.8" x14ac:dyDescent="0.3">
      <c r="A908" s="14"/>
      <c r="B908" s="18" t="s">
        <v>63</v>
      </c>
      <c r="C908" s="18"/>
      <c r="D908" s="18"/>
      <c r="E908" s="18"/>
      <c r="F908" s="18"/>
      <c r="G908" s="18"/>
      <c r="H908" s="18"/>
    </row>
    <row r="909" spans="1:8" ht="13.8" x14ac:dyDescent="0.3">
      <c r="A909" s="14"/>
      <c r="B909" s="17" t="s">
        <v>63</v>
      </c>
      <c r="C909" s="17"/>
      <c r="D909" s="17"/>
      <c r="E909" s="17"/>
      <c r="F909" s="17"/>
      <c r="G909" s="17"/>
      <c r="H909" s="17"/>
    </row>
    <row r="910" spans="1:8" ht="13.8" x14ac:dyDescent="0.3">
      <c r="A910" s="14"/>
      <c r="B910" s="18" t="s">
        <v>63</v>
      </c>
      <c r="C910" s="18"/>
      <c r="D910" s="18"/>
      <c r="E910" s="18"/>
      <c r="F910" s="18"/>
      <c r="G910" s="18"/>
      <c r="H910" s="18"/>
    </row>
    <row r="911" spans="1:8" ht="13.8" x14ac:dyDescent="0.3">
      <c r="A911" s="14"/>
      <c r="B911" s="17" t="s">
        <v>63</v>
      </c>
      <c r="C911" s="17"/>
      <c r="D911" s="17"/>
      <c r="E911" s="17"/>
      <c r="F911" s="17"/>
      <c r="G911" s="17"/>
      <c r="H911" s="17"/>
    </row>
    <row r="912" spans="1:8" ht="13.8" x14ac:dyDescent="0.3">
      <c r="A912" s="14"/>
      <c r="B912" s="18" t="s">
        <v>63</v>
      </c>
      <c r="C912" s="18"/>
      <c r="D912" s="18"/>
      <c r="E912" s="18"/>
      <c r="F912" s="18"/>
      <c r="G912" s="18"/>
      <c r="H912" s="18"/>
    </row>
    <row r="913" spans="1:8" ht="13.8" x14ac:dyDescent="0.3">
      <c r="A913" s="14"/>
      <c r="B913" s="17" t="s">
        <v>63</v>
      </c>
      <c r="C913" s="17"/>
      <c r="D913" s="17"/>
      <c r="E913" s="17"/>
      <c r="F913" s="17"/>
      <c r="G913" s="17"/>
      <c r="H913" s="17"/>
    </row>
    <row r="914" spans="1:8" ht="13.8" x14ac:dyDescent="0.3">
      <c r="A914" s="14"/>
      <c r="B914" s="18" t="s">
        <v>63</v>
      </c>
      <c r="C914" s="18"/>
      <c r="D914" s="18"/>
      <c r="E914" s="18"/>
      <c r="F914" s="18"/>
      <c r="G914" s="18"/>
      <c r="H914" s="18"/>
    </row>
    <row r="915" spans="1:8" ht="13.8" x14ac:dyDescent="0.3">
      <c r="A915" s="14"/>
      <c r="B915" s="17" t="s">
        <v>63</v>
      </c>
      <c r="C915" s="17"/>
      <c r="D915" s="17"/>
      <c r="E915" s="17"/>
      <c r="F915" s="17"/>
      <c r="G915" s="17"/>
      <c r="H915" s="17"/>
    </row>
    <row r="916" spans="1:8" ht="13.8" x14ac:dyDescent="0.3">
      <c r="A916" s="14"/>
      <c r="B916" s="18" t="s">
        <v>63</v>
      </c>
      <c r="C916" s="18"/>
      <c r="D916" s="18"/>
      <c r="E916" s="18"/>
      <c r="F916" s="18"/>
      <c r="G916" s="18"/>
      <c r="H916" s="18"/>
    </row>
    <row r="917" spans="1:8" ht="13.8" x14ac:dyDescent="0.3">
      <c r="A917" s="14"/>
      <c r="B917" s="17" t="s">
        <v>63</v>
      </c>
      <c r="C917" s="17"/>
      <c r="D917" s="17"/>
      <c r="E917" s="17"/>
      <c r="F917" s="17"/>
      <c r="G917" s="17"/>
      <c r="H917" s="17"/>
    </row>
    <row r="918" spans="1:8" ht="13.8" x14ac:dyDescent="0.3">
      <c r="A918" s="14"/>
      <c r="B918" s="18" t="s">
        <v>63</v>
      </c>
      <c r="C918" s="18"/>
      <c r="D918" s="18"/>
      <c r="E918" s="18"/>
      <c r="F918" s="18"/>
      <c r="G918" s="18"/>
      <c r="H918" s="18"/>
    </row>
    <row r="919" spans="1:8" ht="13.8" x14ac:dyDescent="0.3">
      <c r="A919" s="14"/>
      <c r="B919" s="17" t="s">
        <v>63</v>
      </c>
      <c r="C919" s="17"/>
      <c r="D919" s="17"/>
      <c r="E919" s="17"/>
      <c r="F919" s="17"/>
      <c r="G919" s="17"/>
      <c r="H919" s="17"/>
    </row>
    <row r="920" spans="1:8" ht="13.8" x14ac:dyDescent="0.3">
      <c r="A920" s="14"/>
      <c r="B920" s="18" t="s">
        <v>63</v>
      </c>
      <c r="C920" s="18"/>
      <c r="D920" s="18"/>
      <c r="E920" s="18"/>
      <c r="F920" s="18"/>
      <c r="G920" s="18"/>
      <c r="H920" s="18"/>
    </row>
    <row r="921" spans="1:8" ht="13.8" x14ac:dyDescent="0.3">
      <c r="A921" s="14"/>
      <c r="B921" s="17" t="s">
        <v>63</v>
      </c>
      <c r="C921" s="17"/>
      <c r="D921" s="17"/>
      <c r="E921" s="17"/>
      <c r="F921" s="17"/>
      <c r="G921" s="17"/>
      <c r="H921" s="17"/>
    </row>
    <row r="922" spans="1:8" ht="13.8" x14ac:dyDescent="0.3">
      <c r="A922" s="14"/>
      <c r="B922" s="18" t="s">
        <v>63</v>
      </c>
      <c r="C922" s="18"/>
      <c r="D922" s="18"/>
      <c r="E922" s="18"/>
      <c r="F922" s="18"/>
      <c r="G922" s="18"/>
      <c r="H922" s="18"/>
    </row>
    <row r="923" spans="1:8" ht="13.8" x14ac:dyDescent="0.3">
      <c r="A923" s="14"/>
      <c r="B923" s="17" t="s">
        <v>63</v>
      </c>
      <c r="C923" s="17"/>
      <c r="D923" s="17"/>
      <c r="E923" s="17"/>
      <c r="F923" s="17"/>
      <c r="G923" s="17"/>
      <c r="H923" s="17"/>
    </row>
    <row r="924" spans="1:8" ht="13.8" x14ac:dyDescent="0.3">
      <c r="A924" s="14"/>
      <c r="B924" s="18" t="s">
        <v>63</v>
      </c>
      <c r="C924" s="18"/>
      <c r="D924" s="18"/>
      <c r="E924" s="18"/>
      <c r="F924" s="18"/>
      <c r="G924" s="18"/>
      <c r="H924" s="18"/>
    </row>
    <row r="925" spans="1:8" ht="13.8" x14ac:dyDescent="0.3">
      <c r="A925" s="14"/>
      <c r="B925" s="17" t="s">
        <v>63</v>
      </c>
      <c r="C925" s="17"/>
      <c r="D925" s="17"/>
      <c r="E925" s="17"/>
      <c r="F925" s="17"/>
      <c r="G925" s="17"/>
      <c r="H925" s="17"/>
    </row>
    <row r="926" spans="1:8" ht="13.8" x14ac:dyDescent="0.3">
      <c r="A926" s="14"/>
      <c r="B926" s="18" t="s">
        <v>63</v>
      </c>
      <c r="C926" s="18"/>
      <c r="D926" s="18"/>
      <c r="E926" s="18"/>
      <c r="F926" s="18"/>
      <c r="G926" s="18"/>
      <c r="H926" s="18"/>
    </row>
    <row r="927" spans="1:8" ht="13.8" x14ac:dyDescent="0.3">
      <c r="A927" s="14"/>
      <c r="B927" s="17" t="s">
        <v>63</v>
      </c>
      <c r="C927" s="17"/>
      <c r="D927" s="17"/>
      <c r="E927" s="17"/>
      <c r="F927" s="17"/>
      <c r="G927" s="17"/>
      <c r="H927" s="17"/>
    </row>
    <row r="928" spans="1:8" ht="13.8" x14ac:dyDescent="0.3">
      <c r="A928" s="14"/>
      <c r="B928" s="18" t="s">
        <v>63</v>
      </c>
      <c r="C928" s="18"/>
      <c r="D928" s="18"/>
      <c r="E928" s="18"/>
      <c r="F928" s="18"/>
      <c r="G928" s="18"/>
      <c r="H928" s="18"/>
    </row>
    <row r="929" spans="1:8" ht="13.8" x14ac:dyDescent="0.3">
      <c r="A929" s="14"/>
      <c r="B929" s="17" t="s">
        <v>63</v>
      </c>
      <c r="C929" s="17"/>
      <c r="D929" s="17"/>
      <c r="E929" s="17"/>
      <c r="F929" s="17"/>
      <c r="G929" s="17"/>
      <c r="H929" s="17"/>
    </row>
    <row r="930" spans="1:8" ht="13.8" x14ac:dyDescent="0.3">
      <c r="A930" s="14"/>
      <c r="B930" s="18" t="s">
        <v>63</v>
      </c>
      <c r="C930" s="18"/>
      <c r="D930" s="18"/>
      <c r="E930" s="18"/>
      <c r="F930" s="18"/>
      <c r="G930" s="18"/>
      <c r="H930" s="18"/>
    </row>
    <row r="931" spans="1:8" ht="13.8" x14ac:dyDescent="0.3">
      <c r="A931" s="14"/>
      <c r="B931" s="17" t="s">
        <v>63</v>
      </c>
      <c r="C931" s="17"/>
      <c r="D931" s="17"/>
      <c r="E931" s="17"/>
      <c r="F931" s="17"/>
      <c r="G931" s="17"/>
      <c r="H931" s="17"/>
    </row>
    <row r="932" spans="1:8" ht="13.8" x14ac:dyDescent="0.3">
      <c r="A932" s="14"/>
      <c r="B932" s="18" t="s">
        <v>63</v>
      </c>
      <c r="C932" s="18"/>
      <c r="D932" s="18"/>
      <c r="E932" s="18"/>
      <c r="F932" s="18"/>
      <c r="G932" s="18"/>
      <c r="H932" s="18"/>
    </row>
    <row r="933" spans="1:8" ht="13.8" x14ac:dyDescent="0.3">
      <c r="A933" s="14"/>
      <c r="B933" s="17" t="s">
        <v>63</v>
      </c>
      <c r="C933" s="17"/>
      <c r="D933" s="17"/>
      <c r="E933" s="17"/>
      <c r="F933" s="17"/>
      <c r="G933" s="17"/>
      <c r="H933" s="17"/>
    </row>
    <row r="934" spans="1:8" ht="13.8" x14ac:dyDescent="0.3">
      <c r="A934" s="14"/>
      <c r="B934" s="18" t="s">
        <v>63</v>
      </c>
      <c r="C934" s="18"/>
      <c r="D934" s="18"/>
      <c r="E934" s="18"/>
      <c r="F934" s="18"/>
      <c r="G934" s="18"/>
      <c r="H934" s="18"/>
    </row>
    <row r="935" spans="1:8" ht="13.8" x14ac:dyDescent="0.3">
      <c r="A935" s="14"/>
      <c r="B935" s="17" t="s">
        <v>63</v>
      </c>
      <c r="C935" s="17"/>
      <c r="D935" s="17"/>
      <c r="E935" s="17"/>
      <c r="F935" s="17"/>
      <c r="G935" s="17"/>
      <c r="H935" s="17"/>
    </row>
    <row r="936" spans="1:8" ht="13.8" x14ac:dyDescent="0.3">
      <c r="A936" s="14"/>
      <c r="B936" s="18" t="s">
        <v>63</v>
      </c>
      <c r="C936" s="18"/>
      <c r="D936" s="18"/>
      <c r="E936" s="18"/>
      <c r="F936" s="18"/>
      <c r="G936" s="18"/>
      <c r="H936" s="18"/>
    </row>
    <row r="937" spans="1:8" ht="13.8" x14ac:dyDescent="0.3">
      <c r="A937" s="14"/>
      <c r="B937" s="17" t="s">
        <v>63</v>
      </c>
      <c r="C937" s="17"/>
      <c r="D937" s="17"/>
      <c r="E937" s="17"/>
      <c r="F937" s="17"/>
      <c r="G937" s="17"/>
      <c r="H937" s="17"/>
    </row>
    <row r="938" spans="1:8" ht="13.8" x14ac:dyDescent="0.3">
      <c r="A938" s="14"/>
      <c r="B938" s="18" t="s">
        <v>63</v>
      </c>
      <c r="C938" s="18"/>
      <c r="D938" s="18"/>
      <c r="E938" s="18"/>
      <c r="F938" s="18"/>
      <c r="G938" s="18"/>
      <c r="H938" s="18"/>
    </row>
    <row r="939" spans="1:8" ht="13.8" x14ac:dyDescent="0.3">
      <c r="A939" s="14"/>
      <c r="B939" s="17" t="s">
        <v>63</v>
      </c>
      <c r="C939" s="17"/>
      <c r="D939" s="17"/>
      <c r="E939" s="17"/>
      <c r="F939" s="17"/>
      <c r="G939" s="17"/>
      <c r="H939" s="17"/>
    </row>
    <row r="940" spans="1:8" ht="13.8" x14ac:dyDescent="0.3">
      <c r="A940" s="14"/>
      <c r="B940" s="18" t="s">
        <v>63</v>
      </c>
      <c r="C940" s="18"/>
      <c r="D940" s="18"/>
      <c r="E940" s="18"/>
      <c r="F940" s="18"/>
      <c r="G940" s="18"/>
      <c r="H940" s="18"/>
    </row>
    <row r="941" spans="1:8" ht="13.8" x14ac:dyDescent="0.3">
      <c r="A941" s="14"/>
      <c r="B941" s="17" t="s">
        <v>63</v>
      </c>
      <c r="C941" s="17"/>
      <c r="D941" s="17"/>
      <c r="E941" s="17"/>
      <c r="F941" s="17"/>
      <c r="G941" s="17"/>
      <c r="H941" s="17"/>
    </row>
    <row r="942" spans="1:8" ht="13.8" x14ac:dyDescent="0.3">
      <c r="A942" s="14"/>
      <c r="B942" s="18" t="s">
        <v>63</v>
      </c>
      <c r="C942" s="18"/>
      <c r="D942" s="18"/>
      <c r="E942" s="18"/>
      <c r="F942" s="18"/>
      <c r="G942" s="18"/>
      <c r="H942" s="18"/>
    </row>
    <row r="943" spans="1:8" ht="13.8" x14ac:dyDescent="0.3">
      <c r="A943" s="14"/>
      <c r="B943" s="17" t="s">
        <v>63</v>
      </c>
      <c r="C943" s="17"/>
      <c r="D943" s="17"/>
      <c r="E943" s="17"/>
      <c r="F943" s="17"/>
      <c r="G943" s="17"/>
      <c r="H943" s="17"/>
    </row>
    <row r="944" spans="1:8" ht="13.8" x14ac:dyDescent="0.3">
      <c r="A944" s="14"/>
      <c r="B944" s="18" t="s">
        <v>63</v>
      </c>
      <c r="C944" s="18"/>
      <c r="D944" s="18"/>
      <c r="E944" s="18"/>
      <c r="F944" s="18"/>
      <c r="G944" s="18"/>
      <c r="H944" s="18"/>
    </row>
    <row r="945" spans="1:8" ht="13.8" x14ac:dyDescent="0.3">
      <c r="A945" s="14"/>
      <c r="B945" s="17" t="s">
        <v>63</v>
      </c>
      <c r="C945" s="17"/>
      <c r="D945" s="17"/>
      <c r="E945" s="17"/>
      <c r="F945" s="17"/>
      <c r="G945" s="17"/>
      <c r="H945" s="17"/>
    </row>
    <row r="946" spans="1:8" ht="13.8" x14ac:dyDescent="0.3">
      <c r="A946" s="14"/>
      <c r="B946" s="18" t="s">
        <v>63</v>
      </c>
      <c r="C946" s="18"/>
      <c r="D946" s="18"/>
      <c r="E946" s="18"/>
      <c r="F946" s="18"/>
      <c r="G946" s="18"/>
      <c r="H946" s="18"/>
    </row>
    <row r="947" spans="1:8" ht="13.8" x14ac:dyDescent="0.3">
      <c r="A947" s="14"/>
      <c r="B947" s="17" t="s">
        <v>63</v>
      </c>
      <c r="C947" s="17"/>
      <c r="D947" s="17"/>
      <c r="E947" s="17"/>
      <c r="F947" s="17"/>
      <c r="G947" s="17"/>
      <c r="H947" s="17"/>
    </row>
    <row r="948" spans="1:8" ht="13.8" x14ac:dyDescent="0.3">
      <c r="A948" s="14"/>
      <c r="B948" s="18" t="s">
        <v>63</v>
      </c>
      <c r="C948" s="18"/>
      <c r="D948" s="18"/>
      <c r="E948" s="18"/>
      <c r="F948" s="18"/>
      <c r="G948" s="18"/>
      <c r="H948" s="18"/>
    </row>
    <row r="949" spans="1:8" ht="13.8" x14ac:dyDescent="0.3">
      <c r="A949" s="14"/>
      <c r="B949" s="17" t="s">
        <v>63</v>
      </c>
      <c r="C949" s="17"/>
      <c r="D949" s="17"/>
      <c r="E949" s="17"/>
      <c r="F949" s="17"/>
      <c r="G949" s="17"/>
      <c r="H949" s="17"/>
    </row>
    <row r="950" spans="1:8" ht="13.8" x14ac:dyDescent="0.3">
      <c r="A950" s="14"/>
      <c r="B950" s="18" t="s">
        <v>63</v>
      </c>
      <c r="C950" s="18"/>
      <c r="D950" s="18"/>
      <c r="E950" s="18"/>
      <c r="F950" s="18"/>
      <c r="G950" s="18"/>
      <c r="H950" s="18"/>
    </row>
    <row r="951" spans="1:8" ht="13.8" x14ac:dyDescent="0.3">
      <c r="A951" s="14"/>
      <c r="B951" s="17" t="s">
        <v>63</v>
      </c>
      <c r="C951" s="17"/>
      <c r="D951" s="17"/>
      <c r="E951" s="17"/>
      <c r="F951" s="17"/>
      <c r="G951" s="17"/>
      <c r="H951" s="17"/>
    </row>
    <row r="952" spans="1:8" ht="13.8" x14ac:dyDescent="0.3">
      <c r="A952" s="14"/>
      <c r="B952" s="18" t="s">
        <v>63</v>
      </c>
      <c r="C952" s="18"/>
      <c r="D952" s="18"/>
      <c r="E952" s="18"/>
      <c r="F952" s="18"/>
      <c r="G952" s="18"/>
      <c r="H952" s="18"/>
    </row>
    <row r="953" spans="1:8" ht="13.8" x14ac:dyDescent="0.3">
      <c r="A953" s="14"/>
      <c r="B953" s="17" t="s">
        <v>63</v>
      </c>
      <c r="C953" s="17"/>
      <c r="D953" s="17"/>
      <c r="E953" s="17"/>
      <c r="F953" s="17"/>
      <c r="G953" s="17"/>
      <c r="H953" s="17"/>
    </row>
    <row r="954" spans="1:8" ht="13.8" x14ac:dyDescent="0.3">
      <c r="A954" s="14"/>
      <c r="B954" s="18" t="s">
        <v>63</v>
      </c>
      <c r="C954" s="18"/>
      <c r="D954" s="18"/>
      <c r="E954" s="18"/>
      <c r="F954" s="18"/>
      <c r="G954" s="18"/>
      <c r="H954" s="18"/>
    </row>
    <row r="955" spans="1:8" ht="13.8" x14ac:dyDescent="0.3">
      <c r="A955" s="14"/>
      <c r="B955" s="17" t="s">
        <v>63</v>
      </c>
      <c r="C955" s="17"/>
      <c r="D955" s="17"/>
      <c r="E955" s="17"/>
      <c r="F955" s="17"/>
      <c r="G955" s="17"/>
      <c r="H955" s="17"/>
    </row>
    <row r="956" spans="1:8" ht="13.8" x14ac:dyDescent="0.3">
      <c r="A956" s="14"/>
      <c r="B956" s="18" t="s">
        <v>63</v>
      </c>
      <c r="C956" s="18"/>
      <c r="D956" s="18"/>
      <c r="E956" s="18"/>
      <c r="F956" s="18"/>
      <c r="G956" s="18"/>
      <c r="H956" s="18"/>
    </row>
    <row r="957" spans="1:8" ht="13.8" x14ac:dyDescent="0.3">
      <c r="A957" s="14"/>
      <c r="B957" s="17" t="s">
        <v>63</v>
      </c>
      <c r="C957" s="17"/>
      <c r="D957" s="17"/>
      <c r="E957" s="17"/>
      <c r="F957" s="17"/>
      <c r="G957" s="17"/>
      <c r="H957" s="17"/>
    </row>
    <row r="958" spans="1:8" ht="13.8" x14ac:dyDescent="0.3">
      <c r="A958" s="14"/>
      <c r="B958" s="18" t="s">
        <v>63</v>
      </c>
      <c r="C958" s="18"/>
      <c r="D958" s="18"/>
      <c r="E958" s="18"/>
      <c r="F958" s="18"/>
      <c r="G958" s="18"/>
      <c r="H958" s="18"/>
    </row>
    <row r="959" spans="1:8" ht="13.8" x14ac:dyDescent="0.3">
      <c r="A959" s="14"/>
      <c r="B959" s="17" t="s">
        <v>63</v>
      </c>
      <c r="C959" s="17"/>
      <c r="D959" s="17"/>
      <c r="E959" s="17"/>
      <c r="F959" s="17"/>
      <c r="G959" s="17"/>
      <c r="H959" s="17"/>
    </row>
    <row r="960" spans="1:8" ht="13.8" x14ac:dyDescent="0.3">
      <c r="A960" s="14"/>
      <c r="B960" s="18" t="s">
        <v>63</v>
      </c>
      <c r="C960" s="18"/>
      <c r="D960" s="18"/>
      <c r="E960" s="18"/>
      <c r="F960" s="18"/>
      <c r="G960" s="18"/>
      <c r="H960" s="18"/>
    </row>
    <row r="961" spans="1:8" ht="13.8" x14ac:dyDescent="0.3">
      <c r="A961" s="14"/>
      <c r="B961" s="17" t="s">
        <v>63</v>
      </c>
      <c r="C961" s="17"/>
      <c r="D961" s="17"/>
      <c r="E961" s="17"/>
      <c r="F961" s="17"/>
      <c r="G961" s="17"/>
      <c r="H961" s="17"/>
    </row>
    <row r="962" spans="1:8" ht="13.8" x14ac:dyDescent="0.3">
      <c r="A962" s="14"/>
      <c r="B962" s="18" t="s">
        <v>63</v>
      </c>
      <c r="C962" s="18"/>
      <c r="D962" s="18"/>
      <c r="E962" s="18"/>
      <c r="F962" s="18"/>
      <c r="G962" s="18"/>
      <c r="H962" s="18"/>
    </row>
    <row r="963" spans="1:8" ht="13.8" x14ac:dyDescent="0.3">
      <c r="A963" s="14"/>
      <c r="B963" s="17" t="s">
        <v>63</v>
      </c>
      <c r="C963" s="17"/>
      <c r="D963" s="17"/>
      <c r="E963" s="17"/>
      <c r="F963" s="17"/>
      <c r="G963" s="17"/>
      <c r="H963" s="17"/>
    </row>
    <row r="964" spans="1:8" ht="13.8" x14ac:dyDescent="0.3">
      <c r="A964" s="14"/>
      <c r="B964" s="18" t="s">
        <v>63</v>
      </c>
      <c r="C964" s="18"/>
      <c r="D964" s="18"/>
      <c r="E964" s="18"/>
      <c r="F964" s="18"/>
      <c r="G964" s="18"/>
      <c r="H964" s="18"/>
    </row>
    <row r="965" spans="1:8" ht="13.8" x14ac:dyDescent="0.3">
      <c r="A965" s="14"/>
      <c r="B965" s="17" t="s">
        <v>63</v>
      </c>
      <c r="C965" s="17"/>
      <c r="D965" s="17"/>
      <c r="E965" s="17"/>
      <c r="F965" s="17"/>
      <c r="G965" s="17"/>
      <c r="H965" s="17"/>
    </row>
    <row r="966" spans="1:8" ht="13.8" x14ac:dyDescent="0.3">
      <c r="A966" s="14"/>
      <c r="B966" s="18" t="s">
        <v>63</v>
      </c>
      <c r="C966" s="18"/>
      <c r="D966" s="18"/>
      <c r="E966" s="18"/>
      <c r="F966" s="18"/>
      <c r="G966" s="18"/>
      <c r="H966" s="18"/>
    </row>
    <row r="967" spans="1:8" ht="13.8" x14ac:dyDescent="0.3">
      <c r="A967" s="14"/>
      <c r="B967" s="17" t="s">
        <v>63</v>
      </c>
      <c r="C967" s="17"/>
      <c r="D967" s="17"/>
      <c r="E967" s="17"/>
      <c r="F967" s="17"/>
      <c r="G967" s="17"/>
      <c r="H967" s="17"/>
    </row>
    <row r="968" spans="1:8" ht="13.8" x14ac:dyDescent="0.3">
      <c r="A968" s="14"/>
      <c r="B968" s="18" t="s">
        <v>63</v>
      </c>
      <c r="C968" s="18"/>
      <c r="D968" s="18"/>
      <c r="E968" s="18"/>
      <c r="F968" s="18"/>
      <c r="G968" s="18"/>
      <c r="H968" s="18"/>
    </row>
    <row r="969" spans="1:8" ht="13.8" x14ac:dyDescent="0.3">
      <c r="A969" s="14"/>
      <c r="B969" s="17" t="s">
        <v>63</v>
      </c>
      <c r="C969" s="17"/>
      <c r="D969" s="17"/>
      <c r="E969" s="17"/>
      <c r="F969" s="17"/>
      <c r="G969" s="17"/>
      <c r="H969" s="17"/>
    </row>
    <row r="970" spans="1:8" ht="13.8" x14ac:dyDescent="0.3">
      <c r="A970" s="14"/>
      <c r="B970" s="18" t="s">
        <v>63</v>
      </c>
      <c r="C970" s="18"/>
      <c r="D970" s="18"/>
      <c r="E970" s="18"/>
      <c r="F970" s="18"/>
      <c r="G970" s="18"/>
      <c r="H970" s="18"/>
    </row>
    <row r="971" spans="1:8" ht="13.8" x14ac:dyDescent="0.3">
      <c r="A971" s="14"/>
      <c r="B971" s="17" t="s">
        <v>63</v>
      </c>
      <c r="C971" s="17"/>
      <c r="D971" s="17"/>
      <c r="E971" s="17"/>
      <c r="F971" s="17"/>
      <c r="G971" s="17"/>
      <c r="H971" s="17"/>
    </row>
    <row r="972" spans="1:8" ht="13.8" x14ac:dyDescent="0.3">
      <c r="A972" s="14"/>
      <c r="B972" s="18" t="s">
        <v>63</v>
      </c>
      <c r="C972" s="18"/>
      <c r="D972" s="18"/>
      <c r="E972" s="18"/>
      <c r="F972" s="18"/>
      <c r="G972" s="18"/>
      <c r="H972" s="18"/>
    </row>
    <row r="973" spans="1:8" ht="13.8" x14ac:dyDescent="0.3">
      <c r="A973" s="14"/>
      <c r="B973" s="17" t="s">
        <v>63</v>
      </c>
      <c r="C973" s="17"/>
      <c r="D973" s="17"/>
      <c r="E973" s="17"/>
      <c r="F973" s="17"/>
      <c r="G973" s="17"/>
      <c r="H973" s="17"/>
    </row>
    <row r="974" spans="1:8" ht="13.8" x14ac:dyDescent="0.3">
      <c r="A974" s="14"/>
      <c r="B974" s="18" t="s">
        <v>63</v>
      </c>
      <c r="C974" s="18"/>
      <c r="D974" s="18"/>
      <c r="E974" s="18"/>
      <c r="F974" s="18"/>
      <c r="G974" s="18"/>
      <c r="H974" s="18"/>
    </row>
    <row r="975" spans="1:8" ht="13.8" x14ac:dyDescent="0.3">
      <c r="A975" s="14"/>
      <c r="B975" s="17" t="s">
        <v>63</v>
      </c>
      <c r="C975" s="17"/>
      <c r="D975" s="17"/>
      <c r="E975" s="17"/>
      <c r="F975" s="17"/>
      <c r="G975" s="17"/>
      <c r="H975" s="17"/>
    </row>
    <row r="976" spans="1:8" ht="13.8" x14ac:dyDescent="0.3">
      <c r="A976" s="14"/>
      <c r="B976" s="18" t="s">
        <v>63</v>
      </c>
      <c r="C976" s="18"/>
      <c r="D976" s="18"/>
      <c r="E976" s="18"/>
      <c r="F976" s="18"/>
      <c r="G976" s="18"/>
      <c r="H976" s="18"/>
    </row>
    <row r="977" spans="1:8" ht="13.8" x14ac:dyDescent="0.3">
      <c r="A977" s="14"/>
      <c r="B977" s="17" t="s">
        <v>63</v>
      </c>
      <c r="C977" s="17"/>
      <c r="D977" s="17"/>
      <c r="E977" s="17"/>
      <c r="F977" s="17"/>
      <c r="G977" s="17"/>
      <c r="H977" s="17"/>
    </row>
    <row r="978" spans="1:8" ht="13.8" x14ac:dyDescent="0.3">
      <c r="A978" s="14"/>
      <c r="B978" s="18" t="s">
        <v>63</v>
      </c>
      <c r="C978" s="18"/>
      <c r="D978" s="18"/>
      <c r="E978" s="18"/>
      <c r="F978" s="18"/>
      <c r="G978" s="18"/>
      <c r="H978" s="18"/>
    </row>
    <row r="979" spans="1:8" ht="13.8" x14ac:dyDescent="0.3">
      <c r="A979" s="14"/>
      <c r="B979" s="17" t="s">
        <v>63</v>
      </c>
      <c r="C979" s="17"/>
      <c r="D979" s="17"/>
      <c r="E979" s="17"/>
      <c r="F979" s="17"/>
      <c r="G979" s="17"/>
      <c r="H979" s="17"/>
    </row>
    <row r="980" spans="1:8" ht="13.8" x14ac:dyDescent="0.3">
      <c r="A980" s="14"/>
      <c r="B980" s="18" t="s">
        <v>63</v>
      </c>
      <c r="C980" s="18"/>
      <c r="D980" s="18"/>
      <c r="E980" s="18"/>
      <c r="F980" s="18"/>
      <c r="G980" s="18"/>
      <c r="H980" s="18"/>
    </row>
    <row r="981" spans="1:8" ht="13.8" x14ac:dyDescent="0.3">
      <c r="A981" s="14"/>
      <c r="B981" s="17" t="s">
        <v>63</v>
      </c>
      <c r="C981" s="17"/>
      <c r="D981" s="17"/>
      <c r="E981" s="17"/>
      <c r="F981" s="17"/>
      <c r="G981" s="17"/>
      <c r="H981" s="17"/>
    </row>
    <row r="982" spans="1:8" ht="13.8" x14ac:dyDescent="0.3">
      <c r="A982" s="14"/>
      <c r="B982" s="18" t="s">
        <v>63</v>
      </c>
      <c r="C982" s="18"/>
      <c r="D982" s="18"/>
      <c r="E982" s="18"/>
      <c r="F982" s="18"/>
      <c r="G982" s="18"/>
      <c r="H982" s="18"/>
    </row>
    <row r="983" spans="1:8" ht="13.8" x14ac:dyDescent="0.3">
      <c r="A983" s="14"/>
      <c r="B983" s="17" t="s">
        <v>63</v>
      </c>
      <c r="C983" s="17"/>
      <c r="D983" s="17"/>
      <c r="E983" s="17"/>
      <c r="F983" s="17"/>
      <c r="G983" s="17"/>
      <c r="H983" s="17"/>
    </row>
    <row r="984" spans="1:8" ht="13.8" x14ac:dyDescent="0.3">
      <c r="A984" s="14"/>
      <c r="B984" s="18" t="s">
        <v>63</v>
      </c>
      <c r="C984" s="18"/>
      <c r="D984" s="18"/>
      <c r="E984" s="18"/>
      <c r="F984" s="18"/>
      <c r="G984" s="18"/>
      <c r="H984" s="18"/>
    </row>
    <row r="985" spans="1:8" ht="13.8" x14ac:dyDescent="0.3">
      <c r="A985" s="14"/>
      <c r="B985" s="17" t="s">
        <v>63</v>
      </c>
      <c r="C985" s="17"/>
      <c r="D985" s="17"/>
      <c r="E985" s="17"/>
      <c r="F985" s="17"/>
      <c r="G985" s="17"/>
      <c r="H985" s="17"/>
    </row>
    <row r="986" spans="1:8" ht="13.8" x14ac:dyDescent="0.3">
      <c r="A986" s="14"/>
      <c r="B986" s="18" t="s">
        <v>63</v>
      </c>
      <c r="C986" s="18"/>
      <c r="D986" s="18"/>
      <c r="E986" s="18"/>
      <c r="F986" s="18"/>
      <c r="G986" s="18"/>
      <c r="H986" s="18"/>
    </row>
    <row r="987" spans="1:8" ht="13.8" x14ac:dyDescent="0.3">
      <c r="A987" s="14"/>
      <c r="B987" s="17" t="s">
        <v>63</v>
      </c>
      <c r="C987" s="17"/>
      <c r="D987" s="17"/>
      <c r="E987" s="17"/>
      <c r="F987" s="17"/>
      <c r="G987" s="17"/>
      <c r="H987" s="17"/>
    </row>
    <row r="988" spans="1:8" ht="13.8" x14ac:dyDescent="0.3">
      <c r="A988" s="14"/>
      <c r="B988" s="18" t="s">
        <v>63</v>
      </c>
      <c r="C988" s="18"/>
      <c r="D988" s="18"/>
      <c r="E988" s="18"/>
      <c r="F988" s="18"/>
      <c r="G988" s="18"/>
      <c r="H988" s="18"/>
    </row>
    <row r="989" spans="1:8" ht="13.8" x14ac:dyDescent="0.3">
      <c r="A989" s="14"/>
      <c r="B989" s="17" t="s">
        <v>63</v>
      </c>
      <c r="C989" s="17"/>
      <c r="D989" s="17"/>
      <c r="E989" s="17"/>
      <c r="F989" s="17"/>
      <c r="G989" s="17"/>
      <c r="H989" s="17"/>
    </row>
    <row r="990" spans="1:8" ht="13.8" x14ac:dyDescent="0.3">
      <c r="A990" s="14"/>
      <c r="B990" s="18" t="s">
        <v>63</v>
      </c>
      <c r="C990" s="18"/>
      <c r="D990" s="18"/>
      <c r="E990" s="18"/>
      <c r="F990" s="18"/>
      <c r="G990" s="18"/>
      <c r="H990" s="18"/>
    </row>
    <row r="991" spans="1:8" ht="13.8" x14ac:dyDescent="0.3">
      <c r="A991" s="14"/>
      <c r="B991" s="17" t="s">
        <v>63</v>
      </c>
      <c r="C991" s="17"/>
      <c r="D991" s="17"/>
      <c r="E991" s="17"/>
      <c r="F991" s="17"/>
      <c r="G991" s="17"/>
      <c r="H991" s="17"/>
    </row>
    <row r="992" spans="1:8" ht="13.8" x14ac:dyDescent="0.3">
      <c r="A992" s="14"/>
      <c r="B992" s="18" t="s">
        <v>63</v>
      </c>
      <c r="C992" s="18"/>
      <c r="D992" s="18"/>
      <c r="E992" s="18"/>
      <c r="F992" s="18"/>
      <c r="G992" s="18"/>
      <c r="H992" s="18"/>
    </row>
    <row r="993" spans="1:8" ht="13.8" x14ac:dyDescent="0.3">
      <c r="A993" s="14"/>
      <c r="B993" s="17" t="s">
        <v>63</v>
      </c>
      <c r="C993" s="17"/>
      <c r="D993" s="17"/>
      <c r="E993" s="17"/>
      <c r="F993" s="17"/>
      <c r="G993" s="17"/>
      <c r="H993" s="17"/>
    </row>
    <row r="994" spans="1:8" ht="13.8" x14ac:dyDescent="0.3">
      <c r="A994" s="14"/>
      <c r="B994" s="18" t="s">
        <v>63</v>
      </c>
      <c r="C994" s="18"/>
      <c r="D994" s="18"/>
      <c r="E994" s="18"/>
      <c r="F994" s="18"/>
      <c r="G994" s="18"/>
      <c r="H994" s="18"/>
    </row>
    <row r="995" spans="1:8" ht="13.8" x14ac:dyDescent="0.3">
      <c r="A995" s="14"/>
      <c r="B995" s="17" t="s">
        <v>63</v>
      </c>
      <c r="C995" s="17"/>
      <c r="D995" s="17"/>
      <c r="E995" s="17"/>
      <c r="F995" s="17"/>
      <c r="G995" s="17"/>
      <c r="H995" s="17"/>
    </row>
    <row r="996" spans="1:8" ht="13.8" x14ac:dyDescent="0.3">
      <c r="A996" s="14"/>
      <c r="B996" s="18" t="s">
        <v>63</v>
      </c>
      <c r="C996" s="18"/>
      <c r="D996" s="18"/>
      <c r="E996" s="18"/>
      <c r="F996" s="18"/>
      <c r="G996" s="18"/>
      <c r="H996" s="18"/>
    </row>
    <row r="997" spans="1:8" ht="13.8" x14ac:dyDescent="0.3">
      <c r="A997" s="14"/>
      <c r="B997" s="17" t="s">
        <v>63</v>
      </c>
      <c r="C997" s="17"/>
      <c r="D997" s="17"/>
      <c r="E997" s="17"/>
      <c r="F997" s="17"/>
      <c r="G997" s="17"/>
      <c r="H997" s="17"/>
    </row>
    <row r="998" spans="1:8" ht="13.8" x14ac:dyDescent="0.3">
      <c r="A998" s="14"/>
      <c r="B998" s="18" t="s">
        <v>63</v>
      </c>
      <c r="C998" s="18"/>
      <c r="D998" s="18"/>
      <c r="E998" s="18"/>
      <c r="F998" s="18"/>
      <c r="G998" s="18"/>
      <c r="H998" s="18"/>
    </row>
    <row r="999" spans="1:8" ht="13.8" x14ac:dyDescent="0.3">
      <c r="A999" s="14"/>
      <c r="B999" s="17" t="s">
        <v>63</v>
      </c>
      <c r="C999" s="17"/>
      <c r="D999" s="17"/>
      <c r="E999" s="17"/>
      <c r="F999" s="17"/>
      <c r="G999" s="17"/>
      <c r="H999" s="17"/>
    </row>
    <row r="1000" spans="1:8" ht="13.8" x14ac:dyDescent="0.3">
      <c r="A1000" s="14"/>
      <c r="B1000" s="18" t="s">
        <v>63</v>
      </c>
      <c r="C1000" s="18"/>
      <c r="D1000" s="18"/>
      <c r="E1000" s="18"/>
      <c r="F1000" s="18"/>
      <c r="G1000" s="18"/>
      <c r="H1000" s="18"/>
    </row>
    <row r="1001" spans="1:8" ht="13.8" x14ac:dyDescent="0.3">
      <c r="A1001" s="14"/>
      <c r="B1001" s="17" t="s">
        <v>63</v>
      </c>
      <c r="C1001" s="17"/>
      <c r="D1001" s="17"/>
      <c r="E1001" s="17"/>
      <c r="F1001" s="17"/>
      <c r="G1001" s="17"/>
      <c r="H1001" s="17"/>
    </row>
  </sheetData>
  <autoFilter ref="B4:H997" xr:uid="{00000000-0009-0000-0000-000001000000}"/>
  <mergeCells count="2">
    <mergeCell ref="B1:B3"/>
    <mergeCell ref="C1:G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7"/>
  <sheetViews>
    <sheetView showGridLines="0" workbookViewId="0">
      <selection activeCell="D25" sqref="D25"/>
    </sheetView>
  </sheetViews>
  <sheetFormatPr defaultColWidth="14.44140625" defaultRowHeight="15.75" customHeight="1" x14ac:dyDescent="0.3"/>
  <cols>
    <col min="1" max="1" width="22.109375" style="3" customWidth="1"/>
    <col min="2" max="2" width="46.6640625" style="3" customWidth="1"/>
    <col min="3" max="3" width="13.6640625" style="3" customWidth="1"/>
    <col min="4" max="4" width="53.33203125" style="3" customWidth="1"/>
    <col min="5" max="5" width="23" style="3" customWidth="1"/>
    <col min="6" max="16384" width="14.44140625" style="3"/>
  </cols>
  <sheetData>
    <row r="1" spans="1:5" ht="27" customHeight="1" x14ac:dyDescent="0.3">
      <c r="A1" s="100"/>
      <c r="B1" s="96" t="s">
        <v>64</v>
      </c>
      <c r="C1" s="97"/>
      <c r="D1" s="97"/>
      <c r="E1" s="1"/>
    </row>
    <row r="2" spans="1:5" ht="23.25" customHeight="1" x14ac:dyDescent="0.3">
      <c r="A2" s="97"/>
      <c r="B2" s="97"/>
      <c r="C2" s="97"/>
      <c r="D2" s="97"/>
      <c r="E2" s="1"/>
    </row>
    <row r="3" spans="1:5" ht="15.6" x14ac:dyDescent="0.3">
      <c r="A3" s="53"/>
      <c r="B3" s="101" t="s">
        <v>65</v>
      </c>
      <c r="C3" s="54"/>
      <c r="D3" s="101" t="s">
        <v>66</v>
      </c>
      <c r="E3" s="53"/>
    </row>
    <row r="4" spans="1:5" ht="15.6" x14ac:dyDescent="0.3">
      <c r="A4" s="55"/>
      <c r="B4" s="97"/>
      <c r="C4" s="54"/>
      <c r="D4" s="97"/>
      <c r="E4" s="53"/>
    </row>
    <row r="5" spans="1:5" ht="13.8" x14ac:dyDescent="0.3">
      <c r="A5" s="33"/>
      <c r="B5" s="30" t="s">
        <v>67</v>
      </c>
      <c r="C5" s="33"/>
      <c r="D5" s="30" t="s">
        <v>68</v>
      </c>
      <c r="E5" s="33"/>
    </row>
    <row r="6" spans="1:5" ht="13.8" x14ac:dyDescent="0.3">
      <c r="A6" s="33"/>
      <c r="B6" s="30" t="s">
        <v>69</v>
      </c>
      <c r="C6" s="33"/>
      <c r="D6" s="30" t="s">
        <v>70</v>
      </c>
      <c r="E6" s="33"/>
    </row>
    <row r="7" spans="1:5" ht="13.8" x14ac:dyDescent="0.3">
      <c r="A7" s="33"/>
      <c r="B7" s="30" t="s">
        <v>71</v>
      </c>
      <c r="C7" s="33"/>
      <c r="D7" s="30" t="s">
        <v>72</v>
      </c>
      <c r="E7" s="33"/>
    </row>
    <row r="8" spans="1:5" ht="13.8" x14ac:dyDescent="0.3">
      <c r="A8" s="33"/>
      <c r="B8" s="30" t="s">
        <v>73</v>
      </c>
      <c r="C8" s="33"/>
      <c r="D8" s="30" t="s">
        <v>74</v>
      </c>
      <c r="E8" s="33"/>
    </row>
    <row r="9" spans="1:5" ht="13.8" x14ac:dyDescent="0.3">
      <c r="A9" s="33"/>
      <c r="B9" s="30" t="s">
        <v>63</v>
      </c>
      <c r="C9" s="33"/>
      <c r="D9" s="30" t="s">
        <v>75</v>
      </c>
      <c r="E9" s="33"/>
    </row>
    <row r="10" spans="1:5" ht="13.8" x14ac:dyDescent="0.3">
      <c r="A10" s="33"/>
      <c r="B10" s="30" t="s">
        <v>63</v>
      </c>
      <c r="C10" s="33"/>
      <c r="D10" s="30" t="s">
        <v>76</v>
      </c>
      <c r="E10" s="33"/>
    </row>
    <row r="11" spans="1:5" ht="13.8" x14ac:dyDescent="0.3">
      <c r="A11" s="33"/>
      <c r="B11" s="30" t="s">
        <v>63</v>
      </c>
      <c r="C11" s="33"/>
      <c r="D11" s="30" t="s">
        <v>77</v>
      </c>
      <c r="E11" s="33"/>
    </row>
    <row r="12" spans="1:5" ht="13.8" x14ac:dyDescent="0.3">
      <c r="A12" s="33"/>
      <c r="B12" s="30" t="s">
        <v>63</v>
      </c>
      <c r="C12" s="33"/>
      <c r="D12" s="30" t="s">
        <v>78</v>
      </c>
      <c r="E12" s="33"/>
    </row>
    <row r="13" spans="1:5" ht="13.8" x14ac:dyDescent="0.3">
      <c r="A13" s="33"/>
      <c r="B13" s="30" t="s">
        <v>63</v>
      </c>
      <c r="C13" s="33"/>
      <c r="D13" s="30" t="s">
        <v>79</v>
      </c>
      <c r="E13" s="33"/>
    </row>
    <row r="14" spans="1:5" ht="13.8" x14ac:dyDescent="0.3">
      <c r="A14" s="33"/>
      <c r="B14" s="30" t="s">
        <v>63</v>
      </c>
      <c r="C14" s="33"/>
      <c r="D14" s="30" t="s">
        <v>80</v>
      </c>
      <c r="E14" s="33"/>
    </row>
    <row r="15" spans="1:5" ht="13.8" x14ac:dyDescent="0.3">
      <c r="A15" s="33"/>
      <c r="B15" s="30" t="s">
        <v>63</v>
      </c>
      <c r="C15" s="33"/>
      <c r="D15" s="30" t="s">
        <v>81</v>
      </c>
      <c r="E15" s="33"/>
    </row>
    <row r="16" spans="1:5" ht="13.8" x14ac:dyDescent="0.3">
      <c r="A16" s="33"/>
      <c r="B16" s="30" t="s">
        <v>63</v>
      </c>
      <c r="C16" s="33"/>
      <c r="D16" s="30" t="s">
        <v>82</v>
      </c>
      <c r="E16" s="33"/>
    </row>
    <row r="17" spans="1:5" ht="13.8" x14ac:dyDescent="0.3">
      <c r="A17" s="33"/>
      <c r="B17" s="30" t="s">
        <v>63</v>
      </c>
      <c r="C17" s="33"/>
      <c r="D17" s="30" t="s">
        <v>83</v>
      </c>
      <c r="E17" s="33"/>
    </row>
  </sheetData>
  <mergeCells count="4">
    <mergeCell ref="A1:A2"/>
    <mergeCell ref="B3:B4"/>
    <mergeCell ref="B1:D2"/>
    <mergeCell ref="D3:D4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23"/>
  <sheetViews>
    <sheetView showGridLines="0" zoomScale="90" zoomScaleNormal="90" workbookViewId="0">
      <selection activeCell="I22" sqref="I22"/>
    </sheetView>
  </sheetViews>
  <sheetFormatPr defaultColWidth="14.44140625" defaultRowHeight="15.75" customHeight="1" x14ac:dyDescent="0.3"/>
  <cols>
    <col min="1" max="1" width="3.88671875" style="3" customWidth="1"/>
    <col min="2" max="2" width="16.109375" style="3" bestFit="1" customWidth="1"/>
    <col min="3" max="3" width="11.33203125" style="3" bestFit="1" customWidth="1"/>
    <col min="4" max="4" width="16.33203125" style="3" customWidth="1"/>
    <col min="5" max="5" width="11.33203125" style="3" customWidth="1"/>
    <col min="6" max="6" width="28.6640625" style="3" bestFit="1" customWidth="1"/>
    <col min="7" max="7" width="13.88671875" style="3" bestFit="1" customWidth="1"/>
    <col min="8" max="8" width="17.44140625" style="3" customWidth="1"/>
    <col min="9" max="9" width="19.33203125" style="41" customWidth="1"/>
    <col min="10" max="10" width="28.6640625" style="3" bestFit="1" customWidth="1"/>
    <col min="11" max="11" width="11.109375" style="24" customWidth="1"/>
    <col min="12" max="12" width="19.109375" style="3" bestFit="1" customWidth="1"/>
    <col min="13" max="13" width="16.5546875" style="3" customWidth="1"/>
    <col min="14" max="14" width="18.33203125" style="3" customWidth="1"/>
    <col min="15" max="15" width="17.33203125" style="3" customWidth="1"/>
    <col min="16" max="16" width="12.44140625" style="3" customWidth="1"/>
    <col min="17" max="17" width="14.33203125" style="3" hidden="1" customWidth="1"/>
    <col min="18" max="16384" width="14.44140625" style="3"/>
  </cols>
  <sheetData>
    <row r="1" spans="1:17" ht="19.5" customHeight="1" x14ac:dyDescent="0.3">
      <c r="A1" s="14"/>
      <c r="B1" s="102"/>
      <c r="C1" s="97"/>
      <c r="D1" s="96" t="s">
        <v>84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37"/>
      <c r="P1" s="37"/>
      <c r="Q1" s="14"/>
    </row>
    <row r="2" spans="1:17" ht="17.25" customHeight="1" x14ac:dyDescent="0.35">
      <c r="A2" s="14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103">
        <f ca="1">TODAY()</f>
        <v>45642</v>
      </c>
      <c r="P2" s="103"/>
      <c r="Q2" s="14"/>
    </row>
    <row r="3" spans="1:17" ht="13.8" x14ac:dyDescent="0.3">
      <c r="A3" s="14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37"/>
      <c r="P3" s="37"/>
      <c r="Q3" s="14"/>
    </row>
    <row r="4" spans="1:17" ht="27.6" x14ac:dyDescent="0.3">
      <c r="A4" s="15"/>
      <c r="B4" s="38" t="s">
        <v>85</v>
      </c>
      <c r="C4" s="38" t="s">
        <v>86</v>
      </c>
      <c r="D4" s="38" t="s">
        <v>87</v>
      </c>
      <c r="E4" s="38" t="s">
        <v>88</v>
      </c>
      <c r="F4" s="38" t="s">
        <v>89</v>
      </c>
      <c r="G4" s="38" t="s">
        <v>90</v>
      </c>
      <c r="H4" s="38" t="s">
        <v>91</v>
      </c>
      <c r="I4" s="40" t="s">
        <v>92</v>
      </c>
      <c r="J4" s="39" t="s">
        <v>93</v>
      </c>
      <c r="K4" s="39" t="s">
        <v>94</v>
      </c>
      <c r="L4" s="39" t="s">
        <v>95</v>
      </c>
      <c r="M4" s="39" t="s">
        <v>96</v>
      </c>
      <c r="N4" s="39" t="s">
        <v>97</v>
      </c>
      <c r="O4" s="39" t="s">
        <v>98</v>
      </c>
      <c r="P4" s="38" t="s">
        <v>99</v>
      </c>
      <c r="Q4" s="16" t="s">
        <v>100</v>
      </c>
    </row>
    <row r="5" spans="1:17" ht="14.4" x14ac:dyDescent="0.3">
      <c r="A5" s="14"/>
      <c r="B5" s="25" t="s">
        <v>101</v>
      </c>
      <c r="C5" s="25" t="s">
        <v>43</v>
      </c>
      <c r="D5" s="26">
        <v>43559</v>
      </c>
      <c r="E5" s="27">
        <v>35000</v>
      </c>
      <c r="F5" s="25" t="s">
        <v>76</v>
      </c>
      <c r="G5" s="25" t="s">
        <v>67</v>
      </c>
      <c r="H5" s="26">
        <v>43559</v>
      </c>
      <c r="I5" s="28">
        <f>IF(H5="","",H5+365)</f>
        <v>43924</v>
      </c>
      <c r="J5" s="29" t="str">
        <f>IF('Registro de Contratos'!$M5="SIM",IF(OR(O5="",N5=""),"",IF((O5-N5)=1,(O5-N5)&amp;" dia",(O5-N5)&amp;" dias")),IF(OR(I5="",D5=""),"",IF((I5-D5)=1,(I5-D5)&amp;" dia",(I5-D5)&amp;" dias")))</f>
        <v>365 dias</v>
      </c>
      <c r="K5" s="30" t="str">
        <f ca="1">IF(L5&lt;0,"Vencido",IF(L5&lt;30,"A vencer", IF(L5&lt;60,"Renegociar","OK")))</f>
        <v>Vencido</v>
      </c>
      <c r="L5" s="31">
        <f ca="1">I5-$O$2</f>
        <v>-1718</v>
      </c>
      <c r="M5" s="32" t="s">
        <v>102</v>
      </c>
      <c r="N5" s="26"/>
      <c r="O5" s="26"/>
      <c r="P5" s="27"/>
      <c r="Q5" s="23">
        <f t="shared" ref="Q5:Q7" si="0">MONTH(D5)</f>
        <v>4</v>
      </c>
    </row>
    <row r="6" spans="1:17" ht="14.4" x14ac:dyDescent="0.3">
      <c r="A6" s="14"/>
      <c r="B6" s="25" t="s">
        <v>103</v>
      </c>
      <c r="C6" s="25" t="s">
        <v>57</v>
      </c>
      <c r="D6" s="26">
        <v>43497</v>
      </c>
      <c r="E6" s="27">
        <v>30000</v>
      </c>
      <c r="F6" s="25" t="s">
        <v>68</v>
      </c>
      <c r="G6" s="25" t="s">
        <v>67</v>
      </c>
      <c r="H6" s="26">
        <v>43497</v>
      </c>
      <c r="I6" s="28">
        <f t="shared" ref="I6:I15" si="1">IF(H6="","",H6+365)</f>
        <v>43862</v>
      </c>
      <c r="J6" s="29" t="str">
        <f>IF('Registro de Contratos'!$M6="SIM",IF(OR(O6="",N6=""),"",IF((O6-N6)=1,(O6-N6)&amp;" dia",(O6-N6)&amp;" dias")),IF(OR(I6="",D6=""),"",IF((I6-D6)=1,(I6-D6)&amp;" dia",(I6-D6)&amp;" dias")))</f>
        <v>365 dias</v>
      </c>
      <c r="K6" s="30" t="str">
        <f t="shared" ref="K6:K26" ca="1" si="2">IF(L6&lt;0,"Vencido",IF(L6&lt;30,"A vencer", IF(L6&lt;60,"Renegociar","OK")))</f>
        <v>Vencido</v>
      </c>
      <c r="L6" s="31">
        <f t="shared" ref="L6:L23" ca="1" si="3">I6-$O$2</f>
        <v>-1780</v>
      </c>
      <c r="M6" s="32" t="s">
        <v>102</v>
      </c>
      <c r="N6" s="26"/>
      <c r="O6" s="26"/>
      <c r="P6" s="27"/>
      <c r="Q6" s="23">
        <f t="shared" si="0"/>
        <v>2</v>
      </c>
    </row>
    <row r="7" spans="1:17" ht="14.4" x14ac:dyDescent="0.3">
      <c r="A7" s="14"/>
      <c r="B7" s="25" t="s">
        <v>104</v>
      </c>
      <c r="C7" s="25" t="s">
        <v>50</v>
      </c>
      <c r="D7" s="26">
        <v>43561</v>
      </c>
      <c r="E7" s="27">
        <v>49000</v>
      </c>
      <c r="F7" s="25" t="s">
        <v>72</v>
      </c>
      <c r="G7" s="25" t="s">
        <v>67</v>
      </c>
      <c r="H7" s="26">
        <v>43574</v>
      </c>
      <c r="I7" s="28">
        <f t="shared" si="1"/>
        <v>43939</v>
      </c>
      <c r="J7" s="29" t="str">
        <f>IF('Registro de Contratos'!$M7="SIM",IF(OR(O7="",N7=""),"",IF((O7-N7)=1,(O7-N7)&amp;" dia",(O7-N7)&amp;" dias")),IF(OR(I7="",D7=""),"",IF((I7-D7)=1,(I7-D7)&amp;" dia",(I7-D7)&amp;" dias")))</f>
        <v>378 dias</v>
      </c>
      <c r="K7" s="30" t="str">
        <f t="shared" ca="1" si="2"/>
        <v>Vencido</v>
      </c>
      <c r="L7" s="31">
        <f t="shared" ca="1" si="3"/>
        <v>-1703</v>
      </c>
      <c r="M7" s="32" t="s">
        <v>102</v>
      </c>
      <c r="N7" s="26"/>
      <c r="O7" s="26"/>
      <c r="P7" s="27"/>
      <c r="Q7" s="23">
        <f t="shared" si="0"/>
        <v>4</v>
      </c>
    </row>
    <row r="8" spans="1:17" ht="14.4" x14ac:dyDescent="0.3">
      <c r="A8" s="14"/>
      <c r="B8" s="25" t="s">
        <v>105</v>
      </c>
      <c r="C8" s="25" t="s">
        <v>43</v>
      </c>
      <c r="D8" s="26">
        <v>43466</v>
      </c>
      <c r="E8" s="27">
        <v>101000</v>
      </c>
      <c r="F8" s="25" t="s">
        <v>68</v>
      </c>
      <c r="G8" s="25" t="s">
        <v>67</v>
      </c>
      <c r="H8" s="26">
        <v>43466</v>
      </c>
      <c r="I8" s="28">
        <f t="shared" si="1"/>
        <v>43831</v>
      </c>
      <c r="J8" s="29" t="str">
        <f>IF('Registro de Contratos'!$M8="SIM",IF(OR(O8="",N8=""),"",IF((O8-N8)=1,(O8-N8)&amp;" dia",(O8-N8)&amp;" dias")),IF(OR(I8="",D8=""),"",IF((I8-D8)=1,(I8-D8)&amp;" dia",(I8-D8)&amp;" dias")))</f>
        <v>365 dias</v>
      </c>
      <c r="K8" s="30" t="str">
        <f t="shared" ca="1" si="2"/>
        <v>Vencido</v>
      </c>
      <c r="L8" s="31">
        <f t="shared" ca="1" si="3"/>
        <v>-1811</v>
      </c>
      <c r="M8" s="32" t="s">
        <v>102</v>
      </c>
      <c r="N8" s="26"/>
      <c r="O8" s="26"/>
      <c r="P8" s="27"/>
      <c r="Q8" s="23">
        <f t="shared" ref="Q8:Q100" si="4">IF(D8 = "", " ", MONTH(D8))</f>
        <v>1</v>
      </c>
    </row>
    <row r="9" spans="1:17" ht="14.4" x14ac:dyDescent="0.3">
      <c r="A9" s="14"/>
      <c r="B9" s="25" t="s">
        <v>106</v>
      </c>
      <c r="C9" s="25" t="s">
        <v>43</v>
      </c>
      <c r="D9" s="26">
        <v>44927</v>
      </c>
      <c r="E9" s="27">
        <v>5000</v>
      </c>
      <c r="F9" s="25" t="s">
        <v>70</v>
      </c>
      <c r="G9" s="25" t="s">
        <v>73</v>
      </c>
      <c r="H9" s="26">
        <v>44928</v>
      </c>
      <c r="I9" s="28">
        <v>44933</v>
      </c>
      <c r="J9" s="29" t="str">
        <f>IF('Registro de Contratos'!$M8="SIM",IF(OR(O8="",N8=""),"",IF((O8-N8)=1,(O8-N8)&amp;" dia",(O8-N8)&amp;" dias")),IF(OR(I8="",D8=""),"",IF((I8-D8)=1,(I8-D8)&amp;" dia",(I8-D8)&amp;" dias")))</f>
        <v>365 dias</v>
      </c>
      <c r="K9" s="30" t="str">
        <f t="shared" ca="1" si="2"/>
        <v>Vencido</v>
      </c>
      <c r="L9" s="31">
        <f t="shared" ca="1" si="3"/>
        <v>-709</v>
      </c>
      <c r="M9" s="32" t="s">
        <v>102</v>
      </c>
      <c r="N9" s="26"/>
      <c r="O9" s="26"/>
      <c r="P9" s="27"/>
      <c r="Q9" s="23">
        <f t="shared" si="4"/>
        <v>1</v>
      </c>
    </row>
    <row r="10" spans="1:17" ht="14.4" x14ac:dyDescent="0.3">
      <c r="A10" s="14"/>
      <c r="B10" s="25" t="s">
        <v>107</v>
      </c>
      <c r="C10" s="25" t="s">
        <v>43</v>
      </c>
      <c r="D10" s="26">
        <v>44927</v>
      </c>
      <c r="E10" s="27">
        <v>3000</v>
      </c>
      <c r="F10" s="25" t="s">
        <v>70</v>
      </c>
      <c r="G10" s="25" t="s">
        <v>71</v>
      </c>
      <c r="H10" s="26">
        <v>44928</v>
      </c>
      <c r="I10" s="28">
        <v>45017</v>
      </c>
      <c r="J10" s="29" t="str">
        <f>IF('Registro de Contratos'!$M10="SIM",IF(OR(O10="",N10=""),"",IF((O10-N10)=1,(O10-N10)&amp;" dia",(O10-N10)&amp;" dias")),IF(OR(I10="",D10=""),"",IF((I10-D10)=1,(I10-D10)&amp;" dia",(I10-D10)&amp;" dias")))</f>
        <v>90 dias</v>
      </c>
      <c r="K10" s="30" t="str">
        <f t="shared" ca="1" si="2"/>
        <v>Vencido</v>
      </c>
      <c r="L10" s="31">
        <f t="shared" ca="1" si="3"/>
        <v>-625</v>
      </c>
      <c r="M10" s="32" t="s">
        <v>102</v>
      </c>
      <c r="N10" s="26"/>
      <c r="O10" s="26"/>
      <c r="P10" s="27"/>
      <c r="Q10" s="23">
        <f t="shared" si="4"/>
        <v>1</v>
      </c>
    </row>
    <row r="11" spans="1:17" ht="14.4" x14ac:dyDescent="0.3">
      <c r="A11" s="14"/>
      <c r="B11" s="25" t="s">
        <v>108</v>
      </c>
      <c r="C11" s="25" t="s">
        <v>57</v>
      </c>
      <c r="D11" s="26">
        <v>44927</v>
      </c>
      <c r="E11" s="27">
        <v>8000</v>
      </c>
      <c r="F11" s="25" t="s">
        <v>68</v>
      </c>
      <c r="G11" s="25" t="s">
        <v>71</v>
      </c>
      <c r="H11" s="26">
        <v>44928</v>
      </c>
      <c r="I11" s="28">
        <v>44958</v>
      </c>
      <c r="J11" s="29" t="str">
        <f>IF('Registro de Contratos'!$M11="SIM",IF(OR(O11="",N11=""),"",IF((O11-N11)=1,(O11-N11)&amp;" dia",(O11-N11)&amp;" dias")),IF(OR(I11="",D11=""),"",IF((I11-D11)=1,(I11-D11)&amp;" dia",(I11-D11)&amp;" dias")))</f>
        <v>31 dias</v>
      </c>
      <c r="K11" s="30" t="str">
        <f t="shared" ca="1" si="2"/>
        <v>Vencido</v>
      </c>
      <c r="L11" s="31">
        <f t="shared" ca="1" si="3"/>
        <v>-684</v>
      </c>
      <c r="M11" s="32" t="s">
        <v>102</v>
      </c>
      <c r="N11" s="26"/>
      <c r="O11" s="26"/>
      <c r="P11" s="27"/>
      <c r="Q11" s="23">
        <f t="shared" si="4"/>
        <v>1</v>
      </c>
    </row>
    <row r="12" spans="1:17" ht="14.4" x14ac:dyDescent="0.3">
      <c r="A12" s="14"/>
      <c r="B12" s="25" t="s">
        <v>109</v>
      </c>
      <c r="C12" s="25" t="s">
        <v>43</v>
      </c>
      <c r="D12" s="26">
        <v>44927</v>
      </c>
      <c r="E12" s="27">
        <v>5300</v>
      </c>
      <c r="F12" s="25" t="s">
        <v>72</v>
      </c>
      <c r="G12" s="25" t="s">
        <v>67</v>
      </c>
      <c r="H12" s="26">
        <v>44928</v>
      </c>
      <c r="I12" s="28">
        <v>44986</v>
      </c>
      <c r="J12" s="29" t="str">
        <f>IF('Registro de Contratos'!$M12="SIM",IF(OR(O12="",N12=""),"",IF((O12-N12)=1,(O12-N12)&amp;" dia",(O12-N12)&amp;" dias")),IF(OR(I12="",D12=""),"",IF((I12-D12)=1,(I12-D12)&amp;" dia",(I12-D12)&amp;" dias")))</f>
        <v>59 dias</v>
      </c>
      <c r="K12" s="30" t="str">
        <f t="shared" ca="1" si="2"/>
        <v>Vencido</v>
      </c>
      <c r="L12" s="31">
        <f t="shared" ca="1" si="3"/>
        <v>-656</v>
      </c>
      <c r="M12" s="32" t="s">
        <v>102</v>
      </c>
      <c r="N12" s="26"/>
      <c r="O12" s="26"/>
      <c r="P12" s="27"/>
      <c r="Q12" s="23">
        <f t="shared" si="4"/>
        <v>1</v>
      </c>
    </row>
    <row r="13" spans="1:17" ht="14.4" x14ac:dyDescent="0.3">
      <c r="A13" s="14"/>
      <c r="B13" s="25" t="s">
        <v>110</v>
      </c>
      <c r="C13" s="25" t="s">
        <v>57</v>
      </c>
      <c r="D13" s="26">
        <v>44927</v>
      </c>
      <c r="E13" s="27">
        <v>2800</v>
      </c>
      <c r="F13" s="25" t="s">
        <v>70</v>
      </c>
      <c r="G13" s="25" t="s">
        <v>73</v>
      </c>
      <c r="H13" s="26">
        <v>44928</v>
      </c>
      <c r="I13" s="28">
        <v>44951</v>
      </c>
      <c r="J13" s="29" t="str">
        <f>IF('Registro de Contratos'!$M13="SIM",IF(OR(O13="",N13=""),"",IF((O13-N13)=1,(O13-N13)&amp;" dia",(O13-N13)&amp;" dias")),IF(OR(I13="",D13=""),"",IF((I13-D13)=1,(I13-D13)&amp;" dia",(I13-D13)&amp;" dias")))</f>
        <v>24 dias</v>
      </c>
      <c r="K13" s="30" t="str">
        <f t="shared" ca="1" si="2"/>
        <v>Vencido</v>
      </c>
      <c r="L13" s="31">
        <f t="shared" ca="1" si="3"/>
        <v>-691</v>
      </c>
      <c r="M13" s="32" t="s">
        <v>102</v>
      </c>
      <c r="N13" s="26"/>
      <c r="O13" s="26"/>
      <c r="P13" s="27"/>
      <c r="Q13" s="23">
        <f t="shared" si="4"/>
        <v>1</v>
      </c>
    </row>
    <row r="14" spans="1:17" ht="14.4" x14ac:dyDescent="0.3">
      <c r="A14" s="14"/>
      <c r="B14" s="25" t="s">
        <v>111</v>
      </c>
      <c r="C14" s="25" t="s">
        <v>43</v>
      </c>
      <c r="D14" s="26">
        <v>44928</v>
      </c>
      <c r="E14" s="27">
        <v>2800</v>
      </c>
      <c r="F14" s="25" t="s">
        <v>74</v>
      </c>
      <c r="G14" s="25" t="s">
        <v>73</v>
      </c>
      <c r="H14" s="26">
        <v>45083</v>
      </c>
      <c r="I14" s="28">
        <v>45449</v>
      </c>
      <c r="J14" s="29" t="str">
        <f>IF('Registro de Contratos'!$M14="SIM",IF(OR(O14="",N14=""),"",IF((O14-N14)=1,(O14-N14)&amp;" dia",(O14-N14)&amp;" dias")),IF(OR(I14="",D14=""),"",IF((I14-D14)=1,(I14-D14)&amp;" dia",(I14-D14)&amp;" dias")))</f>
        <v>521 dias</v>
      </c>
      <c r="K14" s="30" t="str">
        <f t="shared" ca="1" si="2"/>
        <v>Vencido</v>
      </c>
      <c r="L14" s="31">
        <f ca="1">I14-$O$2</f>
        <v>-193</v>
      </c>
      <c r="M14" s="32" t="s">
        <v>102</v>
      </c>
      <c r="N14" s="26"/>
      <c r="O14" s="26"/>
      <c r="P14" s="27"/>
      <c r="Q14" s="23">
        <f t="shared" si="4"/>
        <v>1</v>
      </c>
    </row>
    <row r="15" spans="1:17" ht="14.4" x14ac:dyDescent="0.3">
      <c r="A15" s="14"/>
      <c r="B15" s="25" t="s">
        <v>112</v>
      </c>
      <c r="C15" s="25" t="s">
        <v>43</v>
      </c>
      <c r="D15" s="26">
        <v>44929</v>
      </c>
      <c r="E15" s="27">
        <v>2800</v>
      </c>
      <c r="F15" s="25" t="s">
        <v>77</v>
      </c>
      <c r="G15" s="25" t="s">
        <v>69</v>
      </c>
      <c r="H15" s="26">
        <v>44774</v>
      </c>
      <c r="I15" s="28">
        <f t="shared" si="1"/>
        <v>45139</v>
      </c>
      <c r="J15" s="29" t="str">
        <f>IF('Registro de Contratos'!$M15="SIM",IF(OR(O15="",N15=""),"",IF((O15-N15)=1,(O15-N15)&amp;" dia",(O15-N15)&amp;" dias")),IF(OR(I15="",D15=""),"",IF((I15-D15)=1,(I15-D15)&amp;" dia",(I15-D15)&amp;" dias")))</f>
        <v>210 dias</v>
      </c>
      <c r="K15" s="30" t="str">
        <f t="shared" ca="1" si="2"/>
        <v>Vencido</v>
      </c>
      <c r="L15" s="31">
        <f t="shared" ca="1" si="3"/>
        <v>-503</v>
      </c>
      <c r="M15" s="32" t="s">
        <v>102</v>
      </c>
      <c r="N15" s="26"/>
      <c r="O15" s="26"/>
      <c r="P15" s="27"/>
      <c r="Q15" s="23">
        <f t="shared" si="4"/>
        <v>1</v>
      </c>
    </row>
    <row r="16" spans="1:17" ht="14.4" x14ac:dyDescent="0.3">
      <c r="A16" s="14"/>
      <c r="B16" s="25" t="s">
        <v>113</v>
      </c>
      <c r="C16" s="25" t="s">
        <v>43</v>
      </c>
      <c r="D16" s="26">
        <v>43559</v>
      </c>
      <c r="E16" s="27">
        <v>35000</v>
      </c>
      <c r="F16" s="25" t="s">
        <v>68</v>
      </c>
      <c r="G16" s="25" t="s">
        <v>69</v>
      </c>
      <c r="H16" s="26">
        <v>43559</v>
      </c>
      <c r="I16" s="28">
        <f t="shared" ref="I16" si="5">IF(H16="","",H16+365)</f>
        <v>43924</v>
      </c>
      <c r="J16" s="29" t="str">
        <f>IF('Registro de Contratos'!$M16="SIM",IF(OR(O16="",N16=""),"",IF((O16-N16)=1,(O16-N16)&amp;" dia",(O16-N16)&amp;" dias")),IF(OR(I16="",D16=""),"",IF((I16-D16)=1,(I16-D16)&amp;" dia",(I16-D16)&amp;" dias")))</f>
        <v>365 dias</v>
      </c>
      <c r="K16" s="30" t="str">
        <f t="shared" ca="1" si="2"/>
        <v>Vencido</v>
      </c>
      <c r="L16" s="31">
        <f t="shared" ca="1" si="3"/>
        <v>-1718</v>
      </c>
      <c r="M16" s="32" t="s">
        <v>102</v>
      </c>
      <c r="N16" s="26"/>
      <c r="O16" s="26"/>
      <c r="P16" s="27"/>
      <c r="Q16" s="23">
        <f t="shared" si="4"/>
        <v>4</v>
      </c>
    </row>
    <row r="17" spans="1:17" ht="14.4" x14ac:dyDescent="0.3">
      <c r="A17" s="14"/>
      <c r="B17" s="25" t="s">
        <v>114</v>
      </c>
      <c r="C17" s="25" t="s">
        <v>57</v>
      </c>
      <c r="D17" s="26">
        <v>43497</v>
      </c>
      <c r="E17" s="27">
        <v>30000</v>
      </c>
      <c r="F17" s="25" t="s">
        <v>68</v>
      </c>
      <c r="G17" s="25" t="s">
        <v>69</v>
      </c>
      <c r="H17" s="26">
        <v>43497</v>
      </c>
      <c r="I17" s="28">
        <f t="shared" ref="I17" si="6">IF(H17="","",H17+365)</f>
        <v>43862</v>
      </c>
      <c r="J17" s="29" t="str">
        <f>IF('Registro de Contratos'!$M17="SIM",IF(OR(O17="",N17=""),"",IF((O17-N17)=1,(O17-N17)&amp;" dia",(O17-N17)&amp;" dias")),IF(OR(I17="",D17=""),"",IF((I17-D17)=1,(I17-D17)&amp;" dia",(I17-D17)&amp;" dias")))</f>
        <v>365 dias</v>
      </c>
      <c r="K17" s="30" t="str">
        <f t="shared" ca="1" si="2"/>
        <v>Vencido</v>
      </c>
      <c r="L17" s="31">
        <f t="shared" ca="1" si="3"/>
        <v>-1780</v>
      </c>
      <c r="M17" s="32" t="s">
        <v>102</v>
      </c>
      <c r="N17" s="26"/>
      <c r="O17" s="26"/>
      <c r="P17" s="27"/>
      <c r="Q17" s="23">
        <f t="shared" si="4"/>
        <v>2</v>
      </c>
    </row>
    <row r="18" spans="1:17" ht="14.4" x14ac:dyDescent="0.3">
      <c r="A18" s="14"/>
      <c r="B18" s="25" t="s">
        <v>115</v>
      </c>
      <c r="C18" s="25" t="s">
        <v>50</v>
      </c>
      <c r="D18" s="26">
        <v>43561</v>
      </c>
      <c r="E18" s="27">
        <v>49000</v>
      </c>
      <c r="F18" s="25" t="s">
        <v>72</v>
      </c>
      <c r="G18" s="25" t="s">
        <v>67</v>
      </c>
      <c r="H18" s="26">
        <v>43574</v>
      </c>
      <c r="I18" s="28">
        <f t="shared" ref="I18" si="7">IF(H18="","",H18+365)</f>
        <v>43939</v>
      </c>
      <c r="J18" s="29" t="str">
        <f>IF('Registro de Contratos'!$M18="SIM",IF(OR(O18="",N18=""),"",IF((O18-N18)=1,(O18-N18)&amp;" dia",(O18-N18)&amp;" dias")),IF(OR(I18="",D18=""),"",IF((I18-D18)=1,(I18-D18)&amp;" dia",(I18-D18)&amp;" dias")))</f>
        <v>378 dias</v>
      </c>
      <c r="K18" s="30" t="str">
        <f t="shared" ca="1" si="2"/>
        <v>Vencido</v>
      </c>
      <c r="L18" s="31">
        <f t="shared" ca="1" si="3"/>
        <v>-1703</v>
      </c>
      <c r="M18" s="32" t="s">
        <v>102</v>
      </c>
      <c r="N18" s="26"/>
      <c r="O18" s="26"/>
      <c r="P18" s="27"/>
      <c r="Q18" s="23">
        <f t="shared" si="4"/>
        <v>4</v>
      </c>
    </row>
    <row r="19" spans="1:17" ht="14.4" x14ac:dyDescent="0.3">
      <c r="A19" s="14"/>
      <c r="B19" s="25" t="s">
        <v>116</v>
      </c>
      <c r="C19" s="25" t="s">
        <v>43</v>
      </c>
      <c r="D19" s="26">
        <v>43466</v>
      </c>
      <c r="E19" s="27">
        <v>101000</v>
      </c>
      <c r="F19" s="25" t="s">
        <v>68</v>
      </c>
      <c r="G19" s="25" t="s">
        <v>69</v>
      </c>
      <c r="H19" s="26">
        <v>43466</v>
      </c>
      <c r="I19" s="28">
        <f t="shared" ref="I19" si="8">IF(H19="","",H19+365)</f>
        <v>43831</v>
      </c>
      <c r="J19" s="29" t="str">
        <f>IF('Registro de Contratos'!$M19="SIM",IF(OR(O19="",N19=""),"",IF((O19-N19)=1,(O19-N19)&amp;" dia",(O19-N19)&amp;" dias")),IF(OR(I19="",D19=""),"",IF((I19-D19)=1,(I19-D19)&amp;" dia",(I19-D19)&amp;" dias")))</f>
        <v>365 dias</v>
      </c>
      <c r="K19" s="30" t="str">
        <f t="shared" ca="1" si="2"/>
        <v>Vencido</v>
      </c>
      <c r="L19" s="31">
        <f t="shared" ca="1" si="3"/>
        <v>-1811</v>
      </c>
      <c r="M19" s="32" t="s">
        <v>102</v>
      </c>
      <c r="N19" s="26"/>
      <c r="O19" s="26"/>
      <c r="P19" s="27"/>
      <c r="Q19" s="23">
        <f t="shared" si="4"/>
        <v>1</v>
      </c>
    </row>
    <row r="20" spans="1:17" ht="14.4" x14ac:dyDescent="0.3">
      <c r="A20" s="14"/>
      <c r="B20" s="25" t="s">
        <v>117</v>
      </c>
      <c r="C20" s="25" t="s">
        <v>57</v>
      </c>
      <c r="D20" s="26">
        <v>44927</v>
      </c>
      <c r="E20" s="27">
        <v>5000</v>
      </c>
      <c r="F20" s="25" t="s">
        <v>70</v>
      </c>
      <c r="G20" s="25" t="s">
        <v>69</v>
      </c>
      <c r="H20" s="26">
        <v>44928</v>
      </c>
      <c r="I20" s="28">
        <f t="shared" ref="I20" si="9">IF(H20="","",H20+365)</f>
        <v>45293</v>
      </c>
      <c r="J20" s="29" t="str">
        <f>IF('Registro de Contratos'!$M20="SIM",IF(OR(O20="",N20=""),"",IF((O20-N20)=1,(O20-N20)&amp;" dia",(O20-N20)&amp;" dias")),IF(OR(I20="",D20=""),"",IF((I20-D20)=1,(I20-D20)&amp;" dia",(I20-D20)&amp;" dias")))</f>
        <v>366 dias</v>
      </c>
      <c r="K20" s="30" t="str">
        <f t="shared" ca="1" si="2"/>
        <v>Vencido</v>
      </c>
      <c r="L20" s="31">
        <f ca="1">I20-$O$2</f>
        <v>-349</v>
      </c>
      <c r="M20" s="32" t="s">
        <v>102</v>
      </c>
      <c r="N20" s="26"/>
      <c r="O20" s="26"/>
      <c r="P20" s="27"/>
      <c r="Q20" s="23">
        <f t="shared" si="4"/>
        <v>1</v>
      </c>
    </row>
    <row r="21" spans="1:17" ht="14.4" x14ac:dyDescent="0.3">
      <c r="A21" s="14"/>
      <c r="B21" s="25" t="s">
        <v>118</v>
      </c>
      <c r="C21" s="25" t="s">
        <v>50</v>
      </c>
      <c r="D21" s="26">
        <v>44927</v>
      </c>
      <c r="E21" s="27">
        <v>3000</v>
      </c>
      <c r="F21" s="25" t="s">
        <v>78</v>
      </c>
      <c r="G21" s="25" t="s">
        <v>69</v>
      </c>
      <c r="H21" s="26">
        <v>44928</v>
      </c>
      <c r="I21" s="28">
        <f t="shared" ref="I21" si="10">IF(H21="","",H21+365)</f>
        <v>45293</v>
      </c>
      <c r="J21" s="29" t="str">
        <f>IF('Registro de Contratos'!$M21="SIM",IF(OR(O21="",N21=""),"",IF((O21-N21)=1,(O21-N21)&amp;" dia",(O21-N21)&amp;" dias")),IF(OR(I21="",D21=""),"",IF((I21-D21)=1,(I21-D21)&amp;" dia",(I21-D21)&amp;" dias")))</f>
        <v>366 dias</v>
      </c>
      <c r="K21" s="30" t="str">
        <f t="shared" ca="1" si="2"/>
        <v>Vencido</v>
      </c>
      <c r="L21" s="31">
        <f t="shared" ca="1" si="3"/>
        <v>-349</v>
      </c>
      <c r="M21" s="32" t="s">
        <v>102</v>
      </c>
      <c r="N21" s="26"/>
      <c r="O21" s="26"/>
      <c r="P21" s="27"/>
      <c r="Q21" s="23">
        <f t="shared" si="4"/>
        <v>1</v>
      </c>
    </row>
    <row r="22" spans="1:17" ht="14.4" x14ac:dyDescent="0.3">
      <c r="A22" s="14"/>
      <c r="B22" s="25" t="s">
        <v>119</v>
      </c>
      <c r="C22" s="25" t="s">
        <v>50</v>
      </c>
      <c r="D22" s="26">
        <v>44927</v>
      </c>
      <c r="E22" s="27">
        <v>8000</v>
      </c>
      <c r="F22" s="25" t="s">
        <v>68</v>
      </c>
      <c r="G22" s="25" t="s">
        <v>71</v>
      </c>
      <c r="H22" s="26">
        <v>44928</v>
      </c>
      <c r="I22" s="28">
        <f>IF(H22="","",H22+365)</f>
        <v>45293</v>
      </c>
      <c r="J22" s="29" t="str">
        <f>IF('Registro de Contratos'!$M22="SIM",IF(OR(O22="",N22=""),"",IF((O22-N22)=1,(O22-N22)&amp;" dia",(O22-N22)&amp;" dias")),IF(OR(I22="",D22=""),"",IF((I22-D22)=1,(I22-D22)&amp;" dia",(I22-D22)&amp;" dias")))</f>
        <v>366 dias</v>
      </c>
      <c r="K22" s="30" t="str">
        <f t="shared" ca="1" si="2"/>
        <v>Vencido</v>
      </c>
      <c r="L22" s="31">
        <f ca="1">I22-$O$2</f>
        <v>-349</v>
      </c>
      <c r="M22" s="32" t="s">
        <v>102</v>
      </c>
      <c r="N22" s="26"/>
      <c r="O22" s="26"/>
      <c r="P22" s="27"/>
      <c r="Q22" s="23">
        <f t="shared" si="4"/>
        <v>1</v>
      </c>
    </row>
    <row r="23" spans="1:17" ht="14.4" x14ac:dyDescent="0.3">
      <c r="A23" s="14"/>
      <c r="B23" s="25" t="s">
        <v>120</v>
      </c>
      <c r="C23" s="25" t="s">
        <v>50</v>
      </c>
      <c r="D23" s="26">
        <v>44927</v>
      </c>
      <c r="E23" s="27">
        <v>5300</v>
      </c>
      <c r="F23" s="25" t="s">
        <v>72</v>
      </c>
      <c r="G23" s="25" t="s">
        <v>69</v>
      </c>
      <c r="H23" s="26">
        <v>44928</v>
      </c>
      <c r="I23" s="28">
        <f t="shared" ref="I23" si="11">IF(H23="","",H23+365)</f>
        <v>45293</v>
      </c>
      <c r="J23" s="29" t="str">
        <f>IF('Registro de Contratos'!$M23="SIM",IF(OR(O23="",N23=""),"",IF((O23-N23)=1,(O23-N23)&amp;" dia",(O23-N23)&amp;" dias")),IF(OR(I23="",D23=""),"",IF((I23-D23)=1,(I23-D23)&amp;" dia",(I23-D23)&amp;" dias")))</f>
        <v>366 dias</v>
      </c>
      <c r="K23" s="30" t="str">
        <f t="shared" ca="1" si="2"/>
        <v>Vencido</v>
      </c>
      <c r="L23" s="31">
        <f t="shared" ca="1" si="3"/>
        <v>-349</v>
      </c>
      <c r="M23" s="32" t="s">
        <v>102</v>
      </c>
      <c r="N23" s="26"/>
      <c r="O23" s="26"/>
      <c r="P23" s="27"/>
      <c r="Q23" s="23">
        <f t="shared" si="4"/>
        <v>1</v>
      </c>
    </row>
    <row r="24" spans="1:17" ht="14.4" x14ac:dyDescent="0.3">
      <c r="A24" s="14"/>
      <c r="B24" s="25" t="s">
        <v>121</v>
      </c>
      <c r="C24" s="25" t="s">
        <v>57</v>
      </c>
      <c r="D24" s="26">
        <v>44927</v>
      </c>
      <c r="E24" s="27">
        <v>2800</v>
      </c>
      <c r="F24" s="25" t="s">
        <v>70</v>
      </c>
      <c r="G24" s="25" t="s">
        <v>71</v>
      </c>
      <c r="H24" s="26">
        <v>44928</v>
      </c>
      <c r="I24" s="28">
        <f t="shared" ref="I24" si="12">IF(H24="","",H24+365)</f>
        <v>45293</v>
      </c>
      <c r="J24" s="29" t="str">
        <f>IF('Registro de Contratos'!$M24="SIM",IF(OR(O24="",N24=""),"",IF((O24-N24)=1,(O24-N24)&amp;" dia",(O24-N24)&amp;" dias")),IF(OR(I24="",D24=""),"",IF((I24-D24)=1,(I24-D24)&amp;" dia",(I24-D24)&amp;" dias")))</f>
        <v>366 dias</v>
      </c>
      <c r="K24" s="30" t="str">
        <f t="shared" ca="1" si="2"/>
        <v>Vencido</v>
      </c>
      <c r="L24" s="31">
        <f ca="1">I24-$O$2</f>
        <v>-349</v>
      </c>
      <c r="M24" s="32" t="s">
        <v>102</v>
      </c>
      <c r="N24" s="26"/>
      <c r="O24" s="26"/>
      <c r="P24" s="27"/>
      <c r="Q24" s="23">
        <f t="shared" si="4"/>
        <v>1</v>
      </c>
    </row>
    <row r="25" spans="1:17" ht="14.4" x14ac:dyDescent="0.3">
      <c r="A25" s="14"/>
      <c r="B25" s="25" t="s">
        <v>122</v>
      </c>
      <c r="C25" s="25" t="s">
        <v>43</v>
      </c>
      <c r="D25" s="26">
        <v>44928</v>
      </c>
      <c r="E25" s="27">
        <v>2800</v>
      </c>
      <c r="F25" s="25" t="s">
        <v>74</v>
      </c>
      <c r="G25" s="25" t="s">
        <v>69</v>
      </c>
      <c r="H25" s="26">
        <v>45083</v>
      </c>
      <c r="I25" s="28">
        <f t="shared" ref="I25" si="13">IF(H25="","",H25+365)</f>
        <v>45448</v>
      </c>
      <c r="J25" s="29" t="str">
        <f>IF('Registro de Contratos'!$M25="SIM",IF(OR(O25="",N25=""),"",IF((O25-N25)=1,(O25-N25)&amp;" dia",(O25-N25)&amp;" dias")),IF(OR(I25="",D25=""),"",IF((I25-D25)=1,(I25-D25)&amp;" dia",(I25-D25)&amp;" dias")))</f>
        <v>520 dias</v>
      </c>
      <c r="K25" s="30" t="str">
        <f t="shared" ca="1" si="2"/>
        <v>Vencido</v>
      </c>
      <c r="L25" s="31">
        <f ca="1">I25-$O$2</f>
        <v>-194</v>
      </c>
      <c r="M25" s="32" t="s">
        <v>102</v>
      </c>
      <c r="N25" s="26"/>
      <c r="O25" s="26"/>
      <c r="P25" s="27"/>
      <c r="Q25" s="23">
        <f t="shared" si="4"/>
        <v>1</v>
      </c>
    </row>
    <row r="26" spans="1:17" ht="14.4" x14ac:dyDescent="0.3">
      <c r="A26" s="14"/>
      <c r="B26" s="25" t="s">
        <v>123</v>
      </c>
      <c r="C26" s="25" t="s">
        <v>43</v>
      </c>
      <c r="D26" s="26">
        <v>44929</v>
      </c>
      <c r="E26" s="27">
        <v>2800</v>
      </c>
      <c r="F26" s="25" t="s">
        <v>75</v>
      </c>
      <c r="G26" s="25" t="s">
        <v>69</v>
      </c>
      <c r="H26" s="26">
        <v>44774</v>
      </c>
      <c r="I26" s="28">
        <f t="shared" ref="I26" si="14">IF(H26="","",H26+365)</f>
        <v>45139</v>
      </c>
      <c r="J26" s="29" t="str">
        <f>IF('Registro de Contratos'!$M26="SIM",IF(OR(O26="",N26=""),"",IF((O26-N26)=1,(O26-N26)&amp;" dia",(O26-N26)&amp;" dias")),IF(OR(I26="",D26=""),"",IF((I26-D26)=1,(I26-D26)&amp;" dia",(I26-D26)&amp;" dias")))</f>
        <v>210 dias</v>
      </c>
      <c r="K26" s="30" t="str">
        <f t="shared" ca="1" si="2"/>
        <v>Vencido</v>
      </c>
      <c r="L26" s="31">
        <f ca="1">I26-$O$2</f>
        <v>-503</v>
      </c>
      <c r="M26" s="32" t="s">
        <v>102</v>
      </c>
      <c r="N26" s="26"/>
      <c r="O26" s="26"/>
      <c r="P26" s="27"/>
      <c r="Q26" s="23">
        <f t="shared" si="4"/>
        <v>1</v>
      </c>
    </row>
    <row r="27" spans="1:17" ht="14.4" x14ac:dyDescent="0.3">
      <c r="A27" s="14"/>
      <c r="B27" s="25"/>
      <c r="C27" s="25"/>
      <c r="D27" s="26"/>
      <c r="E27" s="27"/>
      <c r="F27" s="25" t="s">
        <v>79</v>
      </c>
      <c r="G27" s="25"/>
      <c r="H27" s="26"/>
      <c r="I27" s="28"/>
      <c r="J27" s="29" t="str">
        <f>IF('Registro de Contratos'!$M27="SIM",IF(OR(O27="",N27=""),"",IF((O27-N27)=1,(O27-N27)&amp;" dia",(O27-N27)&amp;" dias")),IF(OR(I27="",D27=""),"",IF((I27-D27)=1,(I27-D27)&amp;" dia",(I27-D27)&amp;" dias")))</f>
        <v/>
      </c>
      <c r="K27" s="30"/>
      <c r="L27" s="31"/>
      <c r="M27" s="32"/>
      <c r="N27" s="26"/>
      <c r="O27" s="26"/>
      <c r="P27" s="27"/>
      <c r="Q27" s="23" t="str">
        <f t="shared" si="4"/>
        <v xml:space="preserve"> </v>
      </c>
    </row>
    <row r="28" spans="1:17" ht="14.4" x14ac:dyDescent="0.3">
      <c r="A28" s="14"/>
      <c r="B28" s="25"/>
      <c r="C28" s="25"/>
      <c r="D28" s="26"/>
      <c r="E28" s="27"/>
      <c r="F28" s="25" t="s">
        <v>80</v>
      </c>
      <c r="G28" s="25"/>
      <c r="H28" s="26"/>
      <c r="I28" s="28"/>
      <c r="J28" s="29" t="str">
        <f>IF('Registro de Contratos'!$M28="SIM",IF(OR(O28="",N28=""),"",IF((O28-N28)=1,(O28-N28)&amp;" dia",(O28-N28)&amp;" dias")),IF(OR(I28="",D28=""),"",IF((I28-D28)=1,(I28-D28)&amp;" dia",(I28-D28)&amp;" dias")))</f>
        <v/>
      </c>
      <c r="K28" s="30"/>
      <c r="L28" s="31"/>
      <c r="M28" s="32"/>
      <c r="N28" s="26"/>
      <c r="O28" s="26"/>
      <c r="P28" s="27"/>
      <c r="Q28" s="23" t="str">
        <f t="shared" si="4"/>
        <v xml:space="preserve"> </v>
      </c>
    </row>
    <row r="29" spans="1:17" ht="14.4" x14ac:dyDescent="0.3">
      <c r="A29" s="14"/>
      <c r="B29" s="25"/>
      <c r="C29" s="25"/>
      <c r="D29" s="26"/>
      <c r="E29" s="27"/>
      <c r="F29" s="25" t="s">
        <v>81</v>
      </c>
      <c r="G29" s="25"/>
      <c r="H29" s="26"/>
      <c r="I29" s="28"/>
      <c r="J29" s="29" t="str">
        <f>IF('Registro de Contratos'!$M29="SIM",IF(OR(O29="",N29=""),"",IF((O29-N29)=1,(O29-N29)&amp;" dia",(O29-N29)&amp;" dias")),IF(OR(I29="",D29=""),"",IF((I29-D29)=1,(I29-D29)&amp;" dia",(I29-D29)&amp;" dias")))</f>
        <v/>
      </c>
      <c r="K29" s="30"/>
      <c r="L29" s="31"/>
      <c r="M29" s="32"/>
      <c r="N29" s="26"/>
      <c r="O29" s="26"/>
      <c r="P29" s="27"/>
      <c r="Q29" s="23" t="str">
        <f t="shared" si="4"/>
        <v xml:space="preserve"> </v>
      </c>
    </row>
    <row r="30" spans="1:17" ht="14.4" x14ac:dyDescent="0.3">
      <c r="A30" s="14"/>
      <c r="B30" s="25"/>
      <c r="C30" s="25"/>
      <c r="D30" s="26"/>
      <c r="E30" s="27"/>
      <c r="F30" s="25" t="s">
        <v>82</v>
      </c>
      <c r="G30" s="25"/>
      <c r="H30" s="26"/>
      <c r="I30" s="28"/>
      <c r="J30" s="29" t="str">
        <f>IF('Registro de Contratos'!$M30="SIM",IF(OR(O30="",N30=""),"",IF((O30-N30)=1,(O30-N30)&amp;" dia",(O30-N30)&amp;" dias")),IF(OR(I30="",D30=""),"",IF((I30-D30)=1,(I30-D30)&amp;" dia",(I30-D30)&amp;" dias")))</f>
        <v/>
      </c>
      <c r="K30" s="30"/>
      <c r="L30" s="31"/>
      <c r="M30" s="32"/>
      <c r="N30" s="26"/>
      <c r="O30" s="26"/>
      <c r="P30" s="27"/>
      <c r="Q30" s="23" t="str">
        <f t="shared" si="4"/>
        <v xml:space="preserve"> </v>
      </c>
    </row>
    <row r="31" spans="1:17" ht="14.4" x14ac:dyDescent="0.3">
      <c r="A31" s="14"/>
      <c r="B31" s="25"/>
      <c r="C31" s="25"/>
      <c r="D31" s="26"/>
      <c r="E31" s="27"/>
      <c r="F31" s="25" t="s">
        <v>83</v>
      </c>
      <c r="G31" s="25"/>
      <c r="H31" s="26"/>
      <c r="I31" s="28"/>
      <c r="J31" s="29" t="str">
        <f>IF('Registro de Contratos'!$M31="SIM",IF(OR(O31="",N31=""),"",IF((O31-N31)=1,(O31-N31)&amp;" dia",(O31-N31)&amp;" dias")),IF(OR(I31="",D31=""),"",IF((I31-D31)=1,(I31-D31)&amp;" dia",(I31-D31)&amp;" dias")))</f>
        <v/>
      </c>
      <c r="K31" s="30"/>
      <c r="L31" s="31"/>
      <c r="M31" s="32"/>
      <c r="N31" s="26"/>
      <c r="O31" s="26"/>
      <c r="P31" s="27"/>
      <c r="Q31" s="23" t="str">
        <f t="shared" si="4"/>
        <v xml:space="preserve"> </v>
      </c>
    </row>
    <row r="32" spans="1:17" ht="14.4" x14ac:dyDescent="0.3">
      <c r="A32" s="14"/>
      <c r="B32" s="25"/>
      <c r="C32" s="25"/>
      <c r="D32" s="26"/>
      <c r="E32" s="27"/>
      <c r="F32" s="25"/>
      <c r="G32" s="25"/>
      <c r="H32" s="26"/>
      <c r="I32" s="28"/>
      <c r="J32" s="29" t="str">
        <f>IF('Registro de Contratos'!$M32="SIM",IF(OR(O32="",N32=""),"",IF((O32-N32)=1,(O32-N32)&amp;" dia",(O32-N32)&amp;" dias")),IF(OR(I32="",D32=""),"",IF((I32-D32)=1,(I32-D32)&amp;" dia",(I32-D32)&amp;" dias")))</f>
        <v/>
      </c>
      <c r="K32" s="30"/>
      <c r="L32" s="31"/>
      <c r="M32" s="32"/>
      <c r="N32" s="26"/>
      <c r="O32" s="26"/>
      <c r="P32" s="27"/>
      <c r="Q32" s="23" t="str">
        <f t="shared" si="4"/>
        <v xml:space="preserve"> </v>
      </c>
    </row>
    <row r="33" spans="1:17" ht="14.4" x14ac:dyDescent="0.3">
      <c r="A33" s="14"/>
      <c r="B33" s="25"/>
      <c r="C33" s="25"/>
      <c r="D33" s="26"/>
      <c r="E33" s="27"/>
      <c r="F33" s="25"/>
      <c r="G33" s="25"/>
      <c r="H33" s="26"/>
      <c r="I33" s="28"/>
      <c r="J33" s="29" t="str">
        <f>IF('Registro de Contratos'!$M33="SIM",IF(OR(O33="",N33=""),"",IF((O33-N33)=1,(O33-N33)&amp;" dia",(O33-N33)&amp;" dias")),IF(OR(I33="",D33=""),"",IF((I33-D33)=1,(I33-D33)&amp;" dia",(I33-D33)&amp;" dias")))</f>
        <v/>
      </c>
      <c r="K33" s="30"/>
      <c r="L33" s="31"/>
      <c r="M33" s="32"/>
      <c r="N33" s="26"/>
      <c r="O33" s="26"/>
      <c r="P33" s="27"/>
      <c r="Q33" s="23" t="str">
        <f t="shared" si="4"/>
        <v xml:space="preserve"> </v>
      </c>
    </row>
    <row r="34" spans="1:17" ht="14.4" x14ac:dyDescent="0.3">
      <c r="A34" s="14"/>
      <c r="B34" s="25"/>
      <c r="C34" s="25"/>
      <c r="D34" s="26"/>
      <c r="E34" s="27"/>
      <c r="F34" s="25"/>
      <c r="G34" s="25"/>
      <c r="H34" s="26"/>
      <c r="I34" s="28"/>
      <c r="J34" s="29" t="str">
        <f>IF('Registro de Contratos'!$M34="SIM",IF(OR(O34="",N34=""),"",IF((O34-N34)=1,(O34-N34)&amp;" dia",(O34-N34)&amp;" dias")),IF(OR(I34="",D34=""),"",IF((I34-D34)=1,(I34-D34)&amp;" dia",(I34-D34)&amp;" dias")))</f>
        <v/>
      </c>
      <c r="K34" s="30"/>
      <c r="L34" s="31"/>
      <c r="M34" s="32"/>
      <c r="N34" s="26"/>
      <c r="O34" s="26"/>
      <c r="P34" s="27"/>
      <c r="Q34" s="23" t="str">
        <f t="shared" si="4"/>
        <v xml:space="preserve"> </v>
      </c>
    </row>
    <row r="35" spans="1:17" ht="14.4" x14ac:dyDescent="0.3">
      <c r="A35" s="14"/>
      <c r="B35" s="25"/>
      <c r="C35" s="25"/>
      <c r="D35" s="26"/>
      <c r="E35" s="27"/>
      <c r="F35" s="25"/>
      <c r="G35" s="25"/>
      <c r="H35" s="26"/>
      <c r="I35" s="28"/>
      <c r="J35" s="29" t="str">
        <f>IF('Registro de Contratos'!$M35="SIM",IF(OR(O35="",N35=""),"",IF((O35-N35)=1,(O35-N35)&amp;" dia",(O35-N35)&amp;" dias")),IF(OR(I35="",D35=""),"",IF((I35-D35)=1,(I35-D35)&amp;" dia",(I35-D35)&amp;" dias")))</f>
        <v/>
      </c>
      <c r="K35" s="30"/>
      <c r="L35" s="31"/>
      <c r="M35" s="32"/>
      <c r="N35" s="26"/>
      <c r="O35" s="26"/>
      <c r="P35" s="27"/>
      <c r="Q35" s="23" t="str">
        <f t="shared" si="4"/>
        <v xml:space="preserve"> </v>
      </c>
    </row>
    <row r="36" spans="1:17" ht="14.4" x14ac:dyDescent="0.3">
      <c r="A36" s="14"/>
      <c r="B36" s="25"/>
      <c r="C36" s="25"/>
      <c r="D36" s="26"/>
      <c r="E36" s="27"/>
      <c r="F36" s="25"/>
      <c r="G36" s="25"/>
      <c r="H36" s="26"/>
      <c r="I36" s="28"/>
      <c r="J36" s="29" t="str">
        <f>IF('Registro de Contratos'!$M36="SIM",IF(OR(O36="",N36=""),"",IF((O36-N36)=1,(O36-N36)&amp;" dia",(O36-N36)&amp;" dias")),IF(OR(I36="",D36=""),"",IF((I36-D36)=1,(I36-D36)&amp;" dia",(I36-D36)&amp;" dias")))</f>
        <v/>
      </c>
      <c r="K36" s="30"/>
      <c r="L36" s="31"/>
      <c r="M36" s="32"/>
      <c r="N36" s="26"/>
      <c r="O36" s="26"/>
      <c r="P36" s="27"/>
      <c r="Q36" s="23" t="str">
        <f t="shared" si="4"/>
        <v xml:space="preserve"> </v>
      </c>
    </row>
    <row r="37" spans="1:17" ht="14.4" x14ac:dyDescent="0.3">
      <c r="A37" s="14"/>
      <c r="B37" s="25"/>
      <c r="C37" s="25"/>
      <c r="D37" s="26"/>
      <c r="E37" s="27"/>
      <c r="F37" s="25"/>
      <c r="G37" s="25"/>
      <c r="H37" s="26"/>
      <c r="I37" s="28"/>
      <c r="J37" s="29" t="str">
        <f>IF('Registro de Contratos'!$M37="SIM",IF(OR(O37="",N37=""),"",IF((O37-N37)=1,(O37-N37)&amp;" dia",(O37-N37)&amp;" dias")),IF(OR(I37="",D37=""),"",IF((I37-D37)=1,(I37-D37)&amp;" dia",(I37-D37)&amp;" dias")))</f>
        <v/>
      </c>
      <c r="K37" s="30"/>
      <c r="L37" s="31"/>
      <c r="M37" s="32"/>
      <c r="N37" s="26"/>
      <c r="O37" s="26"/>
      <c r="P37" s="27"/>
      <c r="Q37" s="23" t="str">
        <f t="shared" si="4"/>
        <v xml:space="preserve"> </v>
      </c>
    </row>
    <row r="38" spans="1:17" ht="14.4" x14ac:dyDescent="0.3">
      <c r="A38" s="14"/>
      <c r="B38" s="25"/>
      <c r="C38" s="25"/>
      <c r="D38" s="26"/>
      <c r="E38" s="27"/>
      <c r="F38" s="25"/>
      <c r="G38" s="25"/>
      <c r="H38" s="26"/>
      <c r="I38" s="28"/>
      <c r="J38" s="29" t="str">
        <f>IF('Registro de Contratos'!$M38="SIM",IF(OR(O38="",N38=""),"",IF((O38-N38)=1,(O38-N38)&amp;" dia",(O38-N38)&amp;" dias")),IF(OR(I38="",D38=""),"",IF((I38-D38)=1,(I38-D38)&amp;" dia",(I38-D38)&amp;" dias")))</f>
        <v/>
      </c>
      <c r="K38" s="30"/>
      <c r="L38" s="31"/>
      <c r="M38" s="32"/>
      <c r="N38" s="26"/>
      <c r="O38" s="26"/>
      <c r="P38" s="27"/>
      <c r="Q38" s="23" t="str">
        <f t="shared" si="4"/>
        <v xml:space="preserve"> </v>
      </c>
    </row>
    <row r="39" spans="1:17" ht="14.4" x14ac:dyDescent="0.3">
      <c r="A39" s="14"/>
      <c r="B39" s="25"/>
      <c r="C39" s="25"/>
      <c r="D39" s="26"/>
      <c r="E39" s="27"/>
      <c r="F39" s="25"/>
      <c r="G39" s="25"/>
      <c r="H39" s="26"/>
      <c r="I39" s="28"/>
      <c r="J39" s="29" t="str">
        <f>IF('Registro de Contratos'!$M39="SIM",IF(OR(O39="",N39=""),"",IF((O39-N39)=1,(O39-N39)&amp;" dia",(O39-N39)&amp;" dias")),IF(OR(I39="",D39=""),"",IF((I39-D39)=1,(I39-D39)&amp;" dia",(I39-D39)&amp;" dias")))</f>
        <v/>
      </c>
      <c r="K39" s="30"/>
      <c r="L39" s="31"/>
      <c r="M39" s="32"/>
      <c r="N39" s="26"/>
      <c r="O39" s="26"/>
      <c r="P39" s="27"/>
      <c r="Q39" s="23" t="str">
        <f t="shared" si="4"/>
        <v xml:space="preserve"> </v>
      </c>
    </row>
    <row r="40" spans="1:17" ht="14.4" x14ac:dyDescent="0.3">
      <c r="A40" s="14"/>
      <c r="B40" s="25"/>
      <c r="C40" s="25"/>
      <c r="D40" s="26"/>
      <c r="E40" s="27"/>
      <c r="F40" s="25"/>
      <c r="G40" s="25"/>
      <c r="H40" s="26"/>
      <c r="I40" s="28"/>
      <c r="J40" s="29" t="str">
        <f>IF('Registro de Contratos'!$M40="SIM",IF(OR(O40="",N40=""),"",IF((O40-N40)=1,(O40-N40)&amp;" dia",(O40-N40)&amp;" dias")),IF(OR(I40="",D40=""),"",IF((I40-D40)=1,(I40-D40)&amp;" dia",(I40-D40)&amp;" dias")))</f>
        <v/>
      </c>
      <c r="K40" s="30"/>
      <c r="L40" s="31"/>
      <c r="M40" s="32"/>
      <c r="N40" s="26"/>
      <c r="O40" s="26"/>
      <c r="P40" s="27"/>
      <c r="Q40" s="23" t="str">
        <f t="shared" si="4"/>
        <v xml:space="preserve"> </v>
      </c>
    </row>
    <row r="41" spans="1:17" ht="14.4" x14ac:dyDescent="0.3">
      <c r="A41" s="14"/>
      <c r="B41" s="25"/>
      <c r="C41" s="25"/>
      <c r="D41" s="26"/>
      <c r="E41" s="27"/>
      <c r="F41" s="25"/>
      <c r="G41" s="25"/>
      <c r="H41" s="26"/>
      <c r="I41" s="28"/>
      <c r="J41" s="29" t="str">
        <f>IF('Registro de Contratos'!$M41="SIM",IF(OR(O41="",N41=""),"",IF((O41-N41)=1,(O41-N41)&amp;" dia",(O41-N41)&amp;" dias")),IF(OR(I41="",D41=""),"",IF((I41-D41)=1,(I41-D41)&amp;" dia",(I41-D41)&amp;" dias")))</f>
        <v/>
      </c>
      <c r="K41" s="30"/>
      <c r="L41" s="31"/>
      <c r="M41" s="32"/>
      <c r="N41" s="26"/>
      <c r="O41" s="26"/>
      <c r="P41" s="27"/>
      <c r="Q41" s="23" t="str">
        <f t="shared" si="4"/>
        <v xml:space="preserve"> </v>
      </c>
    </row>
    <row r="42" spans="1:17" ht="14.4" x14ac:dyDescent="0.3">
      <c r="A42" s="14"/>
      <c r="B42" s="25"/>
      <c r="C42" s="25"/>
      <c r="D42" s="26"/>
      <c r="E42" s="27"/>
      <c r="F42" s="25"/>
      <c r="G42" s="25"/>
      <c r="H42" s="26"/>
      <c r="I42" s="28"/>
      <c r="J42" s="29" t="str">
        <f>IF('Registro de Contratos'!$M42="SIM",IF(OR(O42="",N42=""),"",IF((O42-N42)=1,(O42-N42)&amp;" dia",(O42-N42)&amp;" dias")),IF(OR(I42="",D42=""),"",IF((I42-D42)=1,(I42-D42)&amp;" dia",(I42-D42)&amp;" dias")))</f>
        <v/>
      </c>
      <c r="K42" s="30"/>
      <c r="L42" s="31"/>
      <c r="M42" s="32"/>
      <c r="N42" s="26"/>
      <c r="O42" s="26"/>
      <c r="P42" s="27"/>
      <c r="Q42" s="23" t="str">
        <f t="shared" si="4"/>
        <v xml:space="preserve"> </v>
      </c>
    </row>
    <row r="43" spans="1:17" ht="14.4" x14ac:dyDescent="0.3">
      <c r="A43" s="14"/>
      <c r="B43" s="25"/>
      <c r="C43" s="25"/>
      <c r="D43" s="26"/>
      <c r="E43" s="27"/>
      <c r="F43" s="25"/>
      <c r="G43" s="25"/>
      <c r="H43" s="26"/>
      <c r="I43" s="28"/>
      <c r="J43" s="29" t="str">
        <f>IF('Registro de Contratos'!$M43="SIM",IF(OR(O43="",N43=""),"",IF((O43-N43)=1,(O43-N43)&amp;" dia",(O43-N43)&amp;" dias")),IF(OR(I43="",D43=""),"",IF((I43-D43)=1,(I43-D43)&amp;" dia",(I43-D43)&amp;" dias")))</f>
        <v/>
      </c>
      <c r="K43" s="30"/>
      <c r="L43" s="31"/>
      <c r="M43" s="32"/>
      <c r="N43" s="26"/>
      <c r="O43" s="26"/>
      <c r="P43" s="27"/>
      <c r="Q43" s="23" t="str">
        <f t="shared" si="4"/>
        <v xml:space="preserve"> </v>
      </c>
    </row>
    <row r="44" spans="1:17" ht="14.4" x14ac:dyDescent="0.3">
      <c r="A44" s="14"/>
      <c r="B44" s="25"/>
      <c r="C44" s="25"/>
      <c r="D44" s="26"/>
      <c r="E44" s="27"/>
      <c r="F44" s="25"/>
      <c r="G44" s="25"/>
      <c r="H44" s="26"/>
      <c r="I44" s="28"/>
      <c r="J44" s="29" t="str">
        <f>IF('Registro de Contratos'!$M44="SIM",IF(OR(O44="",N44=""),"",IF((O44-N44)=1,(O44-N44)&amp;" dia",(O44-N44)&amp;" dias")),IF(OR(I44="",D44=""),"",IF((I44-D44)=1,(I44-D44)&amp;" dia",(I44-D44)&amp;" dias")))</f>
        <v/>
      </c>
      <c r="K44" s="30"/>
      <c r="L44" s="31"/>
      <c r="M44" s="32"/>
      <c r="N44" s="26"/>
      <c r="O44" s="26"/>
      <c r="P44" s="27"/>
      <c r="Q44" s="23" t="str">
        <f t="shared" si="4"/>
        <v xml:space="preserve"> </v>
      </c>
    </row>
    <row r="45" spans="1:17" ht="14.4" x14ac:dyDescent="0.3">
      <c r="A45" s="14"/>
      <c r="B45" s="25"/>
      <c r="C45" s="25"/>
      <c r="D45" s="26"/>
      <c r="E45" s="27"/>
      <c r="F45" s="25"/>
      <c r="G45" s="25"/>
      <c r="H45" s="26"/>
      <c r="I45" s="28"/>
      <c r="J45" s="29" t="str">
        <f>IF('Registro de Contratos'!$M45="SIM",IF(OR(O45="",N45=""),"",IF((O45-N45)=1,(O45-N45)&amp;" dia",(O45-N45)&amp;" dias")),IF(OR(I45="",D45=""),"",IF((I45-D45)=1,(I45-D45)&amp;" dia",(I45-D45)&amp;" dias")))</f>
        <v/>
      </c>
      <c r="K45" s="30"/>
      <c r="L45" s="31"/>
      <c r="M45" s="32"/>
      <c r="N45" s="26"/>
      <c r="O45" s="26"/>
      <c r="P45" s="27"/>
      <c r="Q45" s="23" t="str">
        <f t="shared" si="4"/>
        <v xml:space="preserve"> </v>
      </c>
    </row>
    <row r="46" spans="1:17" ht="14.4" x14ac:dyDescent="0.3">
      <c r="A46" s="14"/>
      <c r="B46" s="25"/>
      <c r="C46" s="25"/>
      <c r="D46" s="26"/>
      <c r="E46" s="27"/>
      <c r="F46" s="25"/>
      <c r="G46" s="25"/>
      <c r="H46" s="26"/>
      <c r="I46" s="28"/>
      <c r="J46" s="29" t="str">
        <f>IF('Registro de Contratos'!$M46="SIM",IF(OR(O46="",N46=""),"",IF((O46-N46)=1,(O46-N46)&amp;" dia",(O46-N46)&amp;" dias")),IF(OR(I46="",D46=""),"",IF((I46-D46)=1,(I46-D46)&amp;" dia",(I46-D46)&amp;" dias")))</f>
        <v/>
      </c>
      <c r="K46" s="30"/>
      <c r="L46" s="31"/>
      <c r="M46" s="32"/>
      <c r="N46" s="26"/>
      <c r="O46" s="26"/>
      <c r="P46" s="27"/>
      <c r="Q46" s="23" t="str">
        <f t="shared" si="4"/>
        <v xml:space="preserve"> </v>
      </c>
    </row>
    <row r="47" spans="1:17" ht="14.4" x14ac:dyDescent="0.3">
      <c r="A47" s="14"/>
      <c r="B47" s="25"/>
      <c r="C47" s="25"/>
      <c r="D47" s="26"/>
      <c r="E47" s="27"/>
      <c r="F47" s="25"/>
      <c r="G47" s="25"/>
      <c r="H47" s="26"/>
      <c r="I47" s="28"/>
      <c r="J47" s="29" t="str">
        <f>IF('Registro de Contratos'!$M47="SIM",IF(OR(O47="",N47=""),"",IF((O47-N47)=1,(O47-N47)&amp;" dia",(O47-N47)&amp;" dias")),IF(OR(I47="",D47=""),"",IF((I47-D47)=1,(I47-D47)&amp;" dia",(I47-D47)&amp;" dias")))</f>
        <v/>
      </c>
      <c r="K47" s="30"/>
      <c r="L47" s="31"/>
      <c r="M47" s="32"/>
      <c r="N47" s="26"/>
      <c r="O47" s="26"/>
      <c r="P47" s="27"/>
      <c r="Q47" s="23" t="str">
        <f t="shared" si="4"/>
        <v xml:space="preserve"> </v>
      </c>
    </row>
    <row r="48" spans="1:17" ht="14.4" x14ac:dyDescent="0.3">
      <c r="A48" s="14"/>
      <c r="B48" s="25"/>
      <c r="C48" s="25"/>
      <c r="D48" s="26"/>
      <c r="E48" s="27"/>
      <c r="F48" s="25"/>
      <c r="G48" s="25"/>
      <c r="H48" s="26"/>
      <c r="I48" s="28"/>
      <c r="J48" s="29" t="str">
        <f>IF('Registro de Contratos'!$M48="SIM",IF(OR(O48="",N48=""),"",IF((O48-N48)=1,(O48-N48)&amp;" dia",(O48-N48)&amp;" dias")),IF(OR(I48="",D48=""),"",IF((I48-D48)=1,(I48-D48)&amp;" dia",(I48-D48)&amp;" dias")))</f>
        <v/>
      </c>
      <c r="K48" s="30"/>
      <c r="L48" s="31"/>
      <c r="M48" s="32"/>
      <c r="N48" s="26"/>
      <c r="O48" s="26"/>
      <c r="P48" s="27"/>
      <c r="Q48" s="23" t="str">
        <f t="shared" si="4"/>
        <v xml:space="preserve"> </v>
      </c>
    </row>
    <row r="49" spans="1:17" ht="14.4" x14ac:dyDescent="0.3">
      <c r="A49" s="14"/>
      <c r="B49" s="25"/>
      <c r="C49" s="25"/>
      <c r="D49" s="26"/>
      <c r="E49" s="27"/>
      <c r="F49" s="25"/>
      <c r="G49" s="25"/>
      <c r="H49" s="26"/>
      <c r="I49" s="28"/>
      <c r="J49" s="29" t="str">
        <f>IF('Registro de Contratos'!$M49="SIM",IF(OR(O49="",N49=""),"",IF((O49-N49)=1,(O49-N49)&amp;" dia",(O49-N49)&amp;" dias")),IF(OR(I49="",D49=""),"",IF((I49-D49)=1,(I49-D49)&amp;" dia",(I49-D49)&amp;" dias")))</f>
        <v/>
      </c>
      <c r="K49" s="30"/>
      <c r="L49" s="31"/>
      <c r="M49" s="32"/>
      <c r="N49" s="26"/>
      <c r="O49" s="26"/>
      <c r="P49" s="27"/>
      <c r="Q49" s="23" t="str">
        <f t="shared" si="4"/>
        <v xml:space="preserve"> </v>
      </c>
    </row>
    <row r="50" spans="1:17" ht="14.4" x14ac:dyDescent="0.3">
      <c r="A50" s="14"/>
      <c r="B50" s="25"/>
      <c r="C50" s="25"/>
      <c r="D50" s="26"/>
      <c r="E50" s="27"/>
      <c r="F50" s="25"/>
      <c r="G50" s="25"/>
      <c r="H50" s="26"/>
      <c r="I50" s="28"/>
      <c r="J50" s="29" t="str">
        <f>IF('Registro de Contratos'!$M50="SIM",IF(OR(O50="",N50=""),"",IF((O50-N50)=1,(O50-N50)&amp;" dia",(O50-N50)&amp;" dias")),IF(OR(I50="",D50=""),"",IF((I50-D50)=1,(I50-D50)&amp;" dia",(I50-D50)&amp;" dias")))</f>
        <v/>
      </c>
      <c r="K50" s="30"/>
      <c r="L50" s="31"/>
      <c r="M50" s="32"/>
      <c r="N50" s="26"/>
      <c r="O50" s="26"/>
      <c r="P50" s="27"/>
      <c r="Q50" s="23" t="str">
        <f t="shared" si="4"/>
        <v xml:space="preserve"> </v>
      </c>
    </row>
    <row r="51" spans="1:17" ht="14.4" x14ac:dyDescent="0.3">
      <c r="A51" s="14"/>
      <c r="B51" s="25"/>
      <c r="C51" s="25"/>
      <c r="D51" s="26"/>
      <c r="E51" s="27"/>
      <c r="F51" s="25"/>
      <c r="G51" s="25"/>
      <c r="H51" s="26"/>
      <c r="I51" s="28"/>
      <c r="J51" s="29" t="str">
        <f>IF('Registro de Contratos'!$M51="SIM",IF(OR(O51="",N51=""),"",IF((O51-N51)=1,(O51-N51)&amp;" dia",(O51-N51)&amp;" dias")),IF(OR(I51="",D51=""),"",IF((I51-D51)=1,(I51-D51)&amp;" dia",(I51-D51)&amp;" dias")))</f>
        <v/>
      </c>
      <c r="K51" s="30"/>
      <c r="L51" s="31"/>
      <c r="M51" s="32"/>
      <c r="N51" s="26"/>
      <c r="O51" s="26"/>
      <c r="P51" s="27"/>
      <c r="Q51" s="23" t="str">
        <f t="shared" si="4"/>
        <v xml:space="preserve"> </v>
      </c>
    </row>
    <row r="52" spans="1:17" ht="14.4" x14ac:dyDescent="0.3">
      <c r="A52" s="14"/>
      <c r="B52" s="25"/>
      <c r="C52" s="25"/>
      <c r="D52" s="26"/>
      <c r="E52" s="27"/>
      <c r="F52" s="25"/>
      <c r="G52" s="25"/>
      <c r="H52" s="26"/>
      <c r="I52" s="28"/>
      <c r="J52" s="29" t="str">
        <f>IF('Registro de Contratos'!$M52="SIM",IF(OR(O52="",N52=""),"",IF((O52-N52)=1,(O52-N52)&amp;" dia",(O52-N52)&amp;" dias")),IF(OR(I52="",D52=""),"",IF((I52-D52)=1,(I52-D52)&amp;" dia",(I52-D52)&amp;" dias")))</f>
        <v/>
      </c>
      <c r="K52" s="30"/>
      <c r="L52" s="31"/>
      <c r="M52" s="32"/>
      <c r="N52" s="26"/>
      <c r="O52" s="26"/>
      <c r="P52" s="27"/>
      <c r="Q52" s="23" t="str">
        <f t="shared" si="4"/>
        <v xml:space="preserve"> </v>
      </c>
    </row>
    <row r="53" spans="1:17" ht="14.4" x14ac:dyDescent="0.3">
      <c r="A53" s="14"/>
      <c r="B53" s="25"/>
      <c r="C53" s="25"/>
      <c r="D53" s="26"/>
      <c r="E53" s="27"/>
      <c r="F53" s="25"/>
      <c r="G53" s="25"/>
      <c r="H53" s="26"/>
      <c r="I53" s="28"/>
      <c r="J53" s="29" t="str">
        <f>IF('Registro de Contratos'!$M53="SIM",IF(OR(O53="",N53=""),"",IF((O53-N53)=1,(O53-N53)&amp;" dia",(O53-N53)&amp;" dias")),IF(OR(I53="",D53=""),"",IF((I53-D53)=1,(I53-D53)&amp;" dia",(I53-D53)&amp;" dias")))</f>
        <v/>
      </c>
      <c r="K53" s="30"/>
      <c r="L53" s="31"/>
      <c r="M53" s="32"/>
      <c r="N53" s="26"/>
      <c r="O53" s="26"/>
      <c r="P53" s="27"/>
      <c r="Q53" s="23" t="str">
        <f t="shared" si="4"/>
        <v xml:space="preserve"> </v>
      </c>
    </row>
    <row r="54" spans="1:17" ht="14.4" x14ac:dyDescent="0.3">
      <c r="A54" s="14"/>
      <c r="B54" s="25"/>
      <c r="C54" s="25"/>
      <c r="D54" s="26"/>
      <c r="E54" s="27"/>
      <c r="F54" s="25"/>
      <c r="G54" s="25"/>
      <c r="H54" s="26"/>
      <c r="I54" s="28"/>
      <c r="J54" s="29" t="str">
        <f>IF('Registro de Contratos'!$M54="SIM",IF(OR(O54="",N54=""),"",IF((O54-N54)=1,(O54-N54)&amp;" dia",(O54-N54)&amp;" dias")),IF(OR(I54="",D54=""),"",IF((I54-D54)=1,(I54-D54)&amp;" dia",(I54-D54)&amp;" dias")))</f>
        <v/>
      </c>
      <c r="K54" s="30"/>
      <c r="L54" s="31"/>
      <c r="M54" s="32"/>
      <c r="N54" s="26"/>
      <c r="O54" s="26"/>
      <c r="P54" s="27"/>
      <c r="Q54" s="23" t="str">
        <f t="shared" si="4"/>
        <v xml:space="preserve"> </v>
      </c>
    </row>
    <row r="55" spans="1:17" ht="14.4" x14ac:dyDescent="0.3">
      <c r="A55" s="14"/>
      <c r="B55" s="25"/>
      <c r="C55" s="25"/>
      <c r="D55" s="26"/>
      <c r="E55" s="27"/>
      <c r="F55" s="25"/>
      <c r="G55" s="25"/>
      <c r="H55" s="26"/>
      <c r="I55" s="28"/>
      <c r="J55" s="29" t="str">
        <f>IF('Registro de Contratos'!$M55="SIM",IF(OR(O55="",N55=""),"",IF((O55-N55)=1,(O55-N55)&amp;" dia",(O55-N55)&amp;" dias")),IF(OR(I55="",D55=""),"",IF((I55-D55)=1,(I55-D55)&amp;" dia",(I55-D55)&amp;" dias")))</f>
        <v/>
      </c>
      <c r="K55" s="30"/>
      <c r="L55" s="31"/>
      <c r="M55" s="32"/>
      <c r="N55" s="26"/>
      <c r="O55" s="26"/>
      <c r="P55" s="27"/>
      <c r="Q55" s="23" t="str">
        <f t="shared" si="4"/>
        <v xml:space="preserve"> </v>
      </c>
    </row>
    <row r="56" spans="1:17" ht="14.4" x14ac:dyDescent="0.3">
      <c r="A56" s="14"/>
      <c r="B56" s="25"/>
      <c r="C56" s="25"/>
      <c r="D56" s="26"/>
      <c r="E56" s="27"/>
      <c r="F56" s="25"/>
      <c r="G56" s="25"/>
      <c r="H56" s="26"/>
      <c r="I56" s="28"/>
      <c r="J56" s="29" t="str">
        <f>IF('Registro de Contratos'!$M56="SIM",IF(OR(O56="",N56=""),"",IF((O56-N56)=1,(O56-N56)&amp;" dia",(O56-N56)&amp;" dias")),IF(OR(I56="",D56=""),"",IF((I56-D56)=1,(I56-D56)&amp;" dia",(I56-D56)&amp;" dias")))</f>
        <v/>
      </c>
      <c r="K56" s="30"/>
      <c r="L56" s="31"/>
      <c r="M56" s="32"/>
      <c r="N56" s="26"/>
      <c r="O56" s="26"/>
      <c r="P56" s="27"/>
      <c r="Q56" s="23" t="str">
        <f t="shared" si="4"/>
        <v xml:space="preserve"> </v>
      </c>
    </row>
    <row r="57" spans="1:17" ht="14.4" x14ac:dyDescent="0.3">
      <c r="A57" s="14"/>
      <c r="B57" s="25"/>
      <c r="C57" s="25"/>
      <c r="D57" s="26"/>
      <c r="E57" s="27"/>
      <c r="F57" s="25"/>
      <c r="G57" s="25"/>
      <c r="H57" s="26"/>
      <c r="I57" s="28"/>
      <c r="J57" s="29" t="str">
        <f>IF('Registro de Contratos'!$M57="SIM",IF(OR(O57="",N57=""),"",IF((O57-N57)=1,(O57-N57)&amp;" dia",(O57-N57)&amp;" dias")),IF(OR(I57="",D57=""),"",IF((I57-D57)=1,(I57-D57)&amp;" dia",(I57-D57)&amp;" dias")))</f>
        <v/>
      </c>
      <c r="K57" s="30"/>
      <c r="L57" s="31"/>
      <c r="M57" s="32"/>
      <c r="N57" s="26"/>
      <c r="O57" s="26"/>
      <c r="P57" s="27"/>
      <c r="Q57" s="23" t="str">
        <f t="shared" si="4"/>
        <v xml:space="preserve"> </v>
      </c>
    </row>
    <row r="58" spans="1:17" ht="14.4" x14ac:dyDescent="0.3">
      <c r="A58" s="14"/>
      <c r="B58" s="25"/>
      <c r="C58" s="25"/>
      <c r="D58" s="26"/>
      <c r="E58" s="27"/>
      <c r="F58" s="25"/>
      <c r="G58" s="25"/>
      <c r="H58" s="26"/>
      <c r="I58" s="28"/>
      <c r="J58" s="29" t="str">
        <f>IF('Registro de Contratos'!$M58="SIM",IF(OR(O58="",N58=""),"",IF((O58-N58)=1,(O58-N58)&amp;" dia",(O58-N58)&amp;" dias")),IF(OR(I58="",D58=""),"",IF((I58-D58)=1,(I58-D58)&amp;" dia",(I58-D58)&amp;" dias")))</f>
        <v/>
      </c>
      <c r="K58" s="30"/>
      <c r="L58" s="31"/>
      <c r="M58" s="32"/>
      <c r="N58" s="26"/>
      <c r="O58" s="26"/>
      <c r="P58" s="27"/>
      <c r="Q58" s="23" t="str">
        <f t="shared" si="4"/>
        <v xml:space="preserve"> </v>
      </c>
    </row>
    <row r="59" spans="1:17" ht="14.4" x14ac:dyDescent="0.3">
      <c r="A59" s="14"/>
      <c r="B59" s="25"/>
      <c r="C59" s="25"/>
      <c r="D59" s="26"/>
      <c r="E59" s="27"/>
      <c r="F59" s="25"/>
      <c r="G59" s="25"/>
      <c r="H59" s="26"/>
      <c r="I59" s="28"/>
      <c r="J59" s="29" t="str">
        <f>IF('Registro de Contratos'!$M59="SIM",IF(OR(O59="",N59=""),"",IF((O59-N59)=1,(O59-N59)&amp;" dia",(O59-N59)&amp;" dias")),IF(OR(I59="",D59=""),"",IF((I59-D59)=1,(I59-D59)&amp;" dia",(I59-D59)&amp;" dias")))</f>
        <v/>
      </c>
      <c r="K59" s="30"/>
      <c r="L59" s="31"/>
      <c r="M59" s="32"/>
      <c r="N59" s="26"/>
      <c r="O59" s="26"/>
      <c r="P59" s="27"/>
      <c r="Q59" s="23" t="str">
        <f t="shared" si="4"/>
        <v xml:space="preserve"> </v>
      </c>
    </row>
    <row r="60" spans="1:17" ht="14.4" x14ac:dyDescent="0.3">
      <c r="A60" s="14"/>
      <c r="B60" s="25"/>
      <c r="C60" s="25"/>
      <c r="D60" s="26"/>
      <c r="E60" s="27"/>
      <c r="F60" s="25"/>
      <c r="G60" s="25"/>
      <c r="H60" s="26"/>
      <c r="I60" s="28"/>
      <c r="J60" s="29" t="str">
        <f>IF('Registro de Contratos'!$M60="SIM",IF(OR(O60="",N60=""),"",IF((O60-N60)=1,(O60-N60)&amp;" dia",(O60-N60)&amp;" dias")),IF(OR(I60="",D60=""),"",IF((I60-D60)=1,(I60-D60)&amp;" dia",(I60-D60)&amp;" dias")))</f>
        <v/>
      </c>
      <c r="K60" s="30"/>
      <c r="L60" s="31"/>
      <c r="M60" s="32"/>
      <c r="N60" s="26"/>
      <c r="O60" s="26"/>
      <c r="P60" s="27"/>
      <c r="Q60" s="23" t="str">
        <f t="shared" si="4"/>
        <v xml:space="preserve"> </v>
      </c>
    </row>
    <row r="61" spans="1:17" ht="14.4" x14ac:dyDescent="0.3">
      <c r="A61" s="14"/>
      <c r="B61" s="25"/>
      <c r="C61" s="25"/>
      <c r="D61" s="26"/>
      <c r="E61" s="27"/>
      <c r="F61" s="25"/>
      <c r="G61" s="25"/>
      <c r="H61" s="26"/>
      <c r="I61" s="28"/>
      <c r="J61" s="29" t="str">
        <f>IF('Registro de Contratos'!$M61="SIM",IF(OR(O61="",N61=""),"",IF((O61-N61)=1,(O61-N61)&amp;" dia",(O61-N61)&amp;" dias")),IF(OR(I61="",D61=""),"",IF((I61-D61)=1,(I61-D61)&amp;" dia",(I61-D61)&amp;" dias")))</f>
        <v/>
      </c>
      <c r="K61" s="30"/>
      <c r="L61" s="31"/>
      <c r="M61" s="32"/>
      <c r="N61" s="26"/>
      <c r="O61" s="26"/>
      <c r="P61" s="27"/>
      <c r="Q61" s="23" t="str">
        <f t="shared" si="4"/>
        <v xml:space="preserve"> </v>
      </c>
    </row>
    <row r="62" spans="1:17" ht="14.4" x14ac:dyDescent="0.3">
      <c r="A62" s="14"/>
      <c r="B62" s="25"/>
      <c r="C62" s="25"/>
      <c r="D62" s="26"/>
      <c r="E62" s="27"/>
      <c r="F62" s="25"/>
      <c r="G62" s="25"/>
      <c r="H62" s="26"/>
      <c r="I62" s="28"/>
      <c r="J62" s="29" t="str">
        <f>IF('Registro de Contratos'!$M62="SIM",IF(OR(O62="",N62=""),"",IF((O62-N62)=1,(O62-N62)&amp;" dia",(O62-N62)&amp;" dias")),IF(OR(I62="",D62=""),"",IF((I62-D62)=1,(I62-D62)&amp;" dia",(I62-D62)&amp;" dias")))</f>
        <v/>
      </c>
      <c r="K62" s="30"/>
      <c r="L62" s="31"/>
      <c r="M62" s="32"/>
      <c r="N62" s="26"/>
      <c r="O62" s="26"/>
      <c r="P62" s="27"/>
      <c r="Q62" s="23" t="str">
        <f t="shared" si="4"/>
        <v xml:space="preserve"> </v>
      </c>
    </row>
    <row r="63" spans="1:17" ht="14.4" x14ac:dyDescent="0.3">
      <c r="A63" s="14"/>
      <c r="B63" s="25"/>
      <c r="C63" s="25"/>
      <c r="D63" s="26"/>
      <c r="E63" s="27"/>
      <c r="F63" s="25"/>
      <c r="G63" s="25"/>
      <c r="H63" s="26"/>
      <c r="I63" s="28"/>
      <c r="J63" s="29" t="str">
        <f>IF('Registro de Contratos'!$M63="SIM",IF(OR(O63="",N63=""),"",IF((O63-N63)=1,(O63-N63)&amp;" dia",(O63-N63)&amp;" dias")),IF(OR(I63="",D63=""),"",IF((I63-D63)=1,(I63-D63)&amp;" dia",(I63-D63)&amp;" dias")))</f>
        <v/>
      </c>
      <c r="K63" s="30"/>
      <c r="L63" s="31"/>
      <c r="M63" s="32"/>
      <c r="N63" s="26"/>
      <c r="O63" s="26"/>
      <c r="P63" s="27"/>
      <c r="Q63" s="23" t="str">
        <f t="shared" si="4"/>
        <v xml:space="preserve"> </v>
      </c>
    </row>
    <row r="64" spans="1:17" ht="14.4" x14ac:dyDescent="0.3">
      <c r="A64" s="14"/>
      <c r="B64" s="25"/>
      <c r="C64" s="25"/>
      <c r="D64" s="26"/>
      <c r="E64" s="27"/>
      <c r="F64" s="25"/>
      <c r="G64" s="25"/>
      <c r="H64" s="26"/>
      <c r="I64" s="28"/>
      <c r="J64" s="29" t="str">
        <f>IF('Registro de Contratos'!$M64="SIM",IF(OR(O64="",N64=""),"",IF((O64-N64)=1,(O64-N64)&amp;" dia",(O64-N64)&amp;" dias")),IF(OR(I64="",D64=""),"",IF((I64-D64)=1,(I64-D64)&amp;" dia",(I64-D64)&amp;" dias")))</f>
        <v/>
      </c>
      <c r="K64" s="30"/>
      <c r="L64" s="31"/>
      <c r="M64" s="32"/>
      <c r="N64" s="26"/>
      <c r="O64" s="26"/>
      <c r="P64" s="27"/>
      <c r="Q64" s="23" t="str">
        <f t="shared" si="4"/>
        <v xml:space="preserve"> </v>
      </c>
    </row>
    <row r="65" spans="1:17" ht="14.4" x14ac:dyDescent="0.3">
      <c r="A65" s="14"/>
      <c r="B65" s="25"/>
      <c r="C65" s="25"/>
      <c r="D65" s="26"/>
      <c r="E65" s="27"/>
      <c r="F65" s="25"/>
      <c r="G65" s="25"/>
      <c r="H65" s="26"/>
      <c r="I65" s="28"/>
      <c r="J65" s="29" t="str">
        <f>IF('Registro de Contratos'!$M65="SIM",IF(OR(O65="",N65=""),"",IF((O65-N65)=1,(O65-N65)&amp;" dia",(O65-N65)&amp;" dias")),IF(OR(I65="",D65=""),"",IF((I65-D65)=1,(I65-D65)&amp;" dia",(I65-D65)&amp;" dias")))</f>
        <v/>
      </c>
      <c r="K65" s="30"/>
      <c r="L65" s="31"/>
      <c r="M65" s="32"/>
      <c r="N65" s="26"/>
      <c r="O65" s="26"/>
      <c r="P65" s="27"/>
      <c r="Q65" s="23" t="str">
        <f t="shared" si="4"/>
        <v xml:space="preserve"> </v>
      </c>
    </row>
    <row r="66" spans="1:17" ht="14.4" x14ac:dyDescent="0.3">
      <c r="A66" s="14"/>
      <c r="B66" s="25"/>
      <c r="C66" s="25"/>
      <c r="D66" s="26"/>
      <c r="E66" s="27"/>
      <c r="F66" s="25"/>
      <c r="G66" s="25"/>
      <c r="H66" s="26"/>
      <c r="I66" s="28"/>
      <c r="J66" s="29" t="str">
        <f>IF('Registro de Contratos'!$M66="SIM",IF(OR(O66="",N66=""),"",IF((O66-N66)=1,(O66-N66)&amp;" dia",(O66-N66)&amp;" dias")),IF(OR(I66="",D66=""),"",IF((I66-D66)=1,(I66-D66)&amp;" dia",(I66-D66)&amp;" dias")))</f>
        <v/>
      </c>
      <c r="K66" s="30"/>
      <c r="L66" s="31"/>
      <c r="M66" s="32"/>
      <c r="N66" s="26"/>
      <c r="O66" s="26"/>
      <c r="P66" s="27"/>
      <c r="Q66" s="23" t="str">
        <f t="shared" si="4"/>
        <v xml:space="preserve"> </v>
      </c>
    </row>
    <row r="67" spans="1:17" ht="14.4" x14ac:dyDescent="0.3">
      <c r="A67" s="14"/>
      <c r="B67" s="25"/>
      <c r="C67" s="25"/>
      <c r="D67" s="26"/>
      <c r="E67" s="27"/>
      <c r="F67" s="25"/>
      <c r="G67" s="25"/>
      <c r="H67" s="26"/>
      <c r="I67" s="28"/>
      <c r="J67" s="29" t="str">
        <f>IF('Registro de Contratos'!$M67="SIM",IF(OR(O67="",N67=""),"",IF((O67-N67)=1,(O67-N67)&amp;" dia",(O67-N67)&amp;" dias")),IF(OR(I67="",D67=""),"",IF((I67-D67)=1,(I67-D67)&amp;" dia",(I67-D67)&amp;" dias")))</f>
        <v/>
      </c>
      <c r="K67" s="30"/>
      <c r="L67" s="31"/>
      <c r="M67" s="32"/>
      <c r="N67" s="26"/>
      <c r="O67" s="26"/>
      <c r="P67" s="27"/>
      <c r="Q67" s="23" t="str">
        <f t="shared" si="4"/>
        <v xml:space="preserve"> </v>
      </c>
    </row>
    <row r="68" spans="1:17" ht="14.4" x14ac:dyDescent="0.3">
      <c r="A68" s="14"/>
      <c r="B68" s="25"/>
      <c r="C68" s="25"/>
      <c r="D68" s="26"/>
      <c r="E68" s="27"/>
      <c r="F68" s="25"/>
      <c r="G68" s="25"/>
      <c r="H68" s="26"/>
      <c r="I68" s="28"/>
      <c r="J68" s="29" t="str">
        <f>IF('Registro de Contratos'!$M68="SIM",IF(OR(O68="",N68=""),"",IF((O68-N68)=1,(O68-N68)&amp;" dia",(O68-N68)&amp;" dias")),IF(OR(I68="",D68=""),"",IF((I68-D68)=1,(I68-D68)&amp;" dia",(I68-D68)&amp;" dias")))</f>
        <v/>
      </c>
      <c r="K68" s="30"/>
      <c r="L68" s="31"/>
      <c r="M68" s="32"/>
      <c r="N68" s="26"/>
      <c r="O68" s="26"/>
      <c r="P68" s="27"/>
      <c r="Q68" s="23" t="str">
        <f t="shared" si="4"/>
        <v xml:space="preserve"> </v>
      </c>
    </row>
    <row r="69" spans="1:17" ht="14.4" x14ac:dyDescent="0.3">
      <c r="A69" s="14"/>
      <c r="B69" s="25"/>
      <c r="C69" s="25"/>
      <c r="D69" s="26"/>
      <c r="E69" s="27"/>
      <c r="F69" s="25"/>
      <c r="G69" s="25"/>
      <c r="H69" s="26"/>
      <c r="I69" s="28"/>
      <c r="J69" s="29" t="str">
        <f>IF('Registro de Contratos'!$M69="SIM",IF(OR(O69="",N69=""),"",IF((O69-N69)=1,(O69-N69)&amp;" dia",(O69-N69)&amp;" dias")),IF(OR(I69="",D69=""),"",IF((I69-D69)=1,(I69-D69)&amp;" dia",(I69-D69)&amp;" dias")))</f>
        <v/>
      </c>
      <c r="K69" s="30"/>
      <c r="L69" s="31"/>
      <c r="M69" s="32"/>
      <c r="N69" s="26"/>
      <c r="O69" s="26"/>
      <c r="P69" s="27"/>
      <c r="Q69" s="23" t="str">
        <f t="shared" si="4"/>
        <v xml:space="preserve"> </v>
      </c>
    </row>
    <row r="70" spans="1:17" ht="14.4" x14ac:dyDescent="0.3">
      <c r="A70" s="14"/>
      <c r="B70" s="25"/>
      <c r="C70" s="25"/>
      <c r="D70" s="26"/>
      <c r="E70" s="27"/>
      <c r="F70" s="25"/>
      <c r="G70" s="25"/>
      <c r="H70" s="26"/>
      <c r="I70" s="28"/>
      <c r="J70" s="29" t="str">
        <f>IF('Registro de Contratos'!$M70="SIM",IF(OR(O70="",N70=""),"",IF((O70-N70)=1,(O70-N70)&amp;" dia",(O70-N70)&amp;" dias")),IF(OR(I70="",D70=""),"",IF((I70-D70)=1,(I70-D70)&amp;" dia",(I70-D70)&amp;" dias")))</f>
        <v/>
      </c>
      <c r="K70" s="30"/>
      <c r="L70" s="31"/>
      <c r="M70" s="32"/>
      <c r="N70" s="26"/>
      <c r="O70" s="26"/>
      <c r="P70" s="27"/>
      <c r="Q70" s="23" t="str">
        <f t="shared" si="4"/>
        <v xml:space="preserve"> </v>
      </c>
    </row>
    <row r="71" spans="1:17" ht="14.4" x14ac:dyDescent="0.3">
      <c r="A71" s="14"/>
      <c r="B71" s="25"/>
      <c r="C71" s="25"/>
      <c r="D71" s="26"/>
      <c r="E71" s="27"/>
      <c r="F71" s="25"/>
      <c r="G71" s="25"/>
      <c r="H71" s="26"/>
      <c r="I71" s="28"/>
      <c r="J71" s="29" t="str">
        <f>IF('Registro de Contratos'!$M71="SIM",IF(OR(O71="",N71=""),"",IF((O71-N71)=1,(O71-N71)&amp;" dia",(O71-N71)&amp;" dias")),IF(OR(I71="",D71=""),"",IF((I71-D71)=1,(I71-D71)&amp;" dia",(I71-D71)&amp;" dias")))</f>
        <v/>
      </c>
      <c r="K71" s="30"/>
      <c r="L71" s="31"/>
      <c r="M71" s="32"/>
      <c r="N71" s="26"/>
      <c r="O71" s="26"/>
      <c r="P71" s="27"/>
      <c r="Q71" s="23" t="str">
        <f t="shared" si="4"/>
        <v xml:space="preserve"> </v>
      </c>
    </row>
    <row r="72" spans="1:17" ht="14.4" x14ac:dyDescent="0.3">
      <c r="A72" s="14"/>
      <c r="B72" s="25"/>
      <c r="C72" s="25"/>
      <c r="D72" s="26"/>
      <c r="E72" s="27"/>
      <c r="F72" s="25"/>
      <c r="G72" s="25"/>
      <c r="H72" s="26"/>
      <c r="I72" s="28"/>
      <c r="J72" s="29" t="str">
        <f>IF('Registro de Contratos'!$M72="SIM",IF(OR(O72="",N72=""),"",IF((O72-N72)=1,(O72-N72)&amp;" dia",(O72-N72)&amp;" dias")),IF(OR(I72="",D72=""),"",IF((I72-D72)=1,(I72-D72)&amp;" dia",(I72-D72)&amp;" dias")))</f>
        <v/>
      </c>
      <c r="K72" s="30"/>
      <c r="L72" s="31"/>
      <c r="M72" s="32"/>
      <c r="N72" s="26"/>
      <c r="O72" s="26"/>
      <c r="P72" s="27"/>
      <c r="Q72" s="23" t="str">
        <f t="shared" si="4"/>
        <v xml:space="preserve"> </v>
      </c>
    </row>
    <row r="73" spans="1:17" ht="14.4" x14ac:dyDescent="0.3">
      <c r="A73" s="14"/>
      <c r="B73" s="25"/>
      <c r="C73" s="25"/>
      <c r="D73" s="26"/>
      <c r="E73" s="27"/>
      <c r="F73" s="25"/>
      <c r="G73" s="25"/>
      <c r="H73" s="26"/>
      <c r="I73" s="28"/>
      <c r="J73" s="29" t="str">
        <f>IF('Registro de Contratos'!$M73="SIM",IF(OR(O73="",N73=""),"",IF((O73-N73)=1,(O73-N73)&amp;" dia",(O73-N73)&amp;" dias")),IF(OR(I73="",D73=""),"",IF((I73-D73)=1,(I73-D73)&amp;" dia",(I73-D73)&amp;" dias")))</f>
        <v/>
      </c>
      <c r="K73" s="30"/>
      <c r="L73" s="31"/>
      <c r="M73" s="32"/>
      <c r="N73" s="26"/>
      <c r="O73" s="26"/>
      <c r="P73" s="27"/>
      <c r="Q73" s="23" t="str">
        <f t="shared" si="4"/>
        <v xml:space="preserve"> </v>
      </c>
    </row>
    <row r="74" spans="1:17" ht="14.4" x14ac:dyDescent="0.3">
      <c r="A74" s="14"/>
      <c r="B74" s="25"/>
      <c r="C74" s="25"/>
      <c r="D74" s="26"/>
      <c r="E74" s="27"/>
      <c r="F74" s="25"/>
      <c r="G74" s="25"/>
      <c r="H74" s="26"/>
      <c r="I74" s="28"/>
      <c r="J74" s="29" t="str">
        <f>IF('Registro de Contratos'!$M74="SIM",IF(OR(O74="",N74=""),"",IF((O74-N74)=1,(O74-N74)&amp;" dia",(O74-N74)&amp;" dias")),IF(OR(I74="",D74=""),"",IF((I74-D74)=1,(I74-D74)&amp;" dia",(I74-D74)&amp;" dias")))</f>
        <v/>
      </c>
      <c r="K74" s="30"/>
      <c r="L74" s="31"/>
      <c r="M74" s="32"/>
      <c r="N74" s="26"/>
      <c r="O74" s="26"/>
      <c r="P74" s="27"/>
      <c r="Q74" s="23" t="str">
        <f t="shared" si="4"/>
        <v xml:space="preserve"> </v>
      </c>
    </row>
    <row r="75" spans="1:17" ht="14.4" x14ac:dyDescent="0.3">
      <c r="A75" s="14"/>
      <c r="B75" s="25"/>
      <c r="C75" s="25"/>
      <c r="D75" s="26"/>
      <c r="E75" s="27"/>
      <c r="F75" s="25"/>
      <c r="G75" s="25"/>
      <c r="H75" s="26"/>
      <c r="I75" s="28"/>
      <c r="J75" s="29" t="str">
        <f>IF('Registro de Contratos'!$M75="SIM",IF(OR(O75="",N75=""),"",IF((O75-N75)=1,(O75-N75)&amp;" dia",(O75-N75)&amp;" dias")),IF(OR(I75="",D75=""),"",IF((I75-D75)=1,(I75-D75)&amp;" dia",(I75-D75)&amp;" dias")))</f>
        <v/>
      </c>
      <c r="K75" s="30"/>
      <c r="L75" s="31"/>
      <c r="M75" s="32"/>
      <c r="N75" s="26"/>
      <c r="O75" s="26"/>
      <c r="P75" s="27"/>
      <c r="Q75" s="23" t="str">
        <f t="shared" si="4"/>
        <v xml:space="preserve"> </v>
      </c>
    </row>
    <row r="76" spans="1:17" ht="14.4" x14ac:dyDescent="0.3">
      <c r="A76" s="14"/>
      <c r="B76" s="25"/>
      <c r="C76" s="25"/>
      <c r="D76" s="26"/>
      <c r="E76" s="27"/>
      <c r="F76" s="25"/>
      <c r="G76" s="25"/>
      <c r="H76" s="26"/>
      <c r="I76" s="28"/>
      <c r="J76" s="29" t="str">
        <f>IF('Registro de Contratos'!$M76="SIM",IF(OR(O76="",N76=""),"",IF((O76-N76)=1,(O76-N76)&amp;" dia",(O76-N76)&amp;" dias")),IF(OR(I76="",D76=""),"",IF((I76-D76)=1,(I76-D76)&amp;" dia",(I76-D76)&amp;" dias")))</f>
        <v/>
      </c>
      <c r="K76" s="30"/>
      <c r="L76" s="31"/>
      <c r="M76" s="32"/>
      <c r="N76" s="26"/>
      <c r="O76" s="26"/>
      <c r="P76" s="27"/>
      <c r="Q76" s="23" t="str">
        <f t="shared" si="4"/>
        <v xml:space="preserve"> </v>
      </c>
    </row>
    <row r="77" spans="1:17" ht="14.4" x14ac:dyDescent="0.3">
      <c r="A77" s="14"/>
      <c r="B77" s="25"/>
      <c r="C77" s="25"/>
      <c r="D77" s="26"/>
      <c r="E77" s="27"/>
      <c r="F77" s="25"/>
      <c r="G77" s="25"/>
      <c r="H77" s="26"/>
      <c r="I77" s="28"/>
      <c r="J77" s="29" t="str">
        <f>IF('Registro de Contratos'!$M77="SIM",IF(OR(O77="",N77=""),"",IF((O77-N77)=1,(O77-N77)&amp;" dia",(O77-N77)&amp;" dias")),IF(OR(I77="",D77=""),"",IF((I77-D77)=1,(I77-D77)&amp;" dia",(I77-D77)&amp;" dias")))</f>
        <v/>
      </c>
      <c r="K77" s="30"/>
      <c r="L77" s="31"/>
      <c r="M77" s="32"/>
      <c r="N77" s="26"/>
      <c r="O77" s="26"/>
      <c r="P77" s="27"/>
      <c r="Q77" s="23" t="str">
        <f t="shared" si="4"/>
        <v xml:space="preserve"> </v>
      </c>
    </row>
    <row r="78" spans="1:17" ht="14.4" x14ac:dyDescent="0.3">
      <c r="A78" s="14"/>
      <c r="B78" s="25"/>
      <c r="C78" s="25"/>
      <c r="D78" s="26"/>
      <c r="E78" s="27"/>
      <c r="F78" s="25"/>
      <c r="G78" s="25"/>
      <c r="H78" s="26"/>
      <c r="I78" s="28"/>
      <c r="J78" s="29" t="str">
        <f>IF('Registro de Contratos'!$M78="SIM",IF(OR(O78="",N78=""),"",IF((O78-N78)=1,(O78-N78)&amp;" dia",(O78-N78)&amp;" dias")),IF(OR(I78="",D78=""),"",IF((I78-D78)=1,(I78-D78)&amp;" dia",(I78-D78)&amp;" dias")))</f>
        <v/>
      </c>
      <c r="K78" s="30"/>
      <c r="L78" s="31"/>
      <c r="M78" s="32"/>
      <c r="N78" s="26"/>
      <c r="O78" s="26"/>
      <c r="P78" s="27"/>
      <c r="Q78" s="23" t="str">
        <f t="shared" si="4"/>
        <v xml:space="preserve"> </v>
      </c>
    </row>
    <row r="79" spans="1:17" ht="14.4" x14ac:dyDescent="0.3">
      <c r="A79" s="14"/>
      <c r="B79" s="25"/>
      <c r="C79" s="25"/>
      <c r="D79" s="26"/>
      <c r="E79" s="27"/>
      <c r="F79" s="25"/>
      <c r="G79" s="25"/>
      <c r="H79" s="26"/>
      <c r="I79" s="28"/>
      <c r="J79" s="29" t="str">
        <f>IF('Registro de Contratos'!$M79="SIM",IF(OR(O79="",N79=""),"",IF((O79-N79)=1,(O79-N79)&amp;" dia",(O79-N79)&amp;" dias")),IF(OR(I79="",D79=""),"",IF((I79-D79)=1,(I79-D79)&amp;" dia",(I79-D79)&amp;" dias")))</f>
        <v/>
      </c>
      <c r="K79" s="30"/>
      <c r="L79" s="31"/>
      <c r="M79" s="32"/>
      <c r="N79" s="26"/>
      <c r="O79" s="26"/>
      <c r="P79" s="27"/>
      <c r="Q79" s="23" t="str">
        <f t="shared" si="4"/>
        <v xml:space="preserve"> </v>
      </c>
    </row>
    <row r="80" spans="1:17" ht="14.4" x14ac:dyDescent="0.3">
      <c r="A80" s="14"/>
      <c r="B80" s="25"/>
      <c r="C80" s="25"/>
      <c r="D80" s="26"/>
      <c r="E80" s="27"/>
      <c r="F80" s="25"/>
      <c r="G80" s="25"/>
      <c r="H80" s="26"/>
      <c r="I80" s="28"/>
      <c r="J80" s="29" t="str">
        <f>IF('Registro de Contratos'!$M80="SIM",IF(OR(O80="",N80=""),"",IF((O80-N80)=1,(O80-N80)&amp;" dia",(O80-N80)&amp;" dias")),IF(OR(I80="",D80=""),"",IF((I80-D80)=1,(I80-D80)&amp;" dia",(I80-D80)&amp;" dias")))</f>
        <v/>
      </c>
      <c r="K80" s="30"/>
      <c r="L80" s="31"/>
      <c r="M80" s="32"/>
      <c r="N80" s="26"/>
      <c r="O80" s="26"/>
      <c r="P80" s="27"/>
      <c r="Q80" s="23" t="str">
        <f t="shared" si="4"/>
        <v xml:space="preserve"> </v>
      </c>
    </row>
    <row r="81" spans="1:17" ht="14.4" x14ac:dyDescent="0.3">
      <c r="A81" s="14"/>
      <c r="B81" s="25"/>
      <c r="C81" s="25"/>
      <c r="D81" s="26"/>
      <c r="E81" s="27"/>
      <c r="F81" s="25"/>
      <c r="G81" s="25"/>
      <c r="H81" s="26"/>
      <c r="I81" s="28"/>
      <c r="J81" s="29" t="str">
        <f>IF('Registro de Contratos'!$M81="SIM",IF(OR(O81="",N81=""),"",IF((O81-N81)=1,(O81-N81)&amp;" dia",(O81-N81)&amp;" dias")),IF(OR(I81="",D81=""),"",IF((I81-D81)=1,(I81-D81)&amp;" dia",(I81-D81)&amp;" dias")))</f>
        <v/>
      </c>
      <c r="K81" s="30"/>
      <c r="L81" s="31"/>
      <c r="M81" s="32"/>
      <c r="N81" s="26"/>
      <c r="O81" s="26"/>
      <c r="P81" s="27"/>
      <c r="Q81" s="23" t="str">
        <f t="shared" si="4"/>
        <v xml:space="preserve"> </v>
      </c>
    </row>
    <row r="82" spans="1:17" ht="14.4" x14ac:dyDescent="0.3">
      <c r="A82" s="14"/>
      <c r="B82" s="25"/>
      <c r="C82" s="25"/>
      <c r="D82" s="26"/>
      <c r="E82" s="27"/>
      <c r="F82" s="25"/>
      <c r="G82" s="25"/>
      <c r="H82" s="26"/>
      <c r="I82" s="28"/>
      <c r="J82" s="29" t="str">
        <f>IF('Registro de Contratos'!$M82="SIM",IF(OR(O82="",N82=""),"",IF((O82-N82)=1,(O82-N82)&amp;" dia",(O82-N82)&amp;" dias")),IF(OR(I82="",D82=""),"",IF((I82-D82)=1,(I82-D82)&amp;" dia",(I82-D82)&amp;" dias")))</f>
        <v/>
      </c>
      <c r="K82" s="30"/>
      <c r="L82" s="31"/>
      <c r="M82" s="32"/>
      <c r="N82" s="26"/>
      <c r="O82" s="26"/>
      <c r="P82" s="27"/>
      <c r="Q82" s="23" t="str">
        <f t="shared" si="4"/>
        <v xml:space="preserve"> </v>
      </c>
    </row>
    <row r="83" spans="1:17" ht="14.4" x14ac:dyDescent="0.3">
      <c r="A83" s="14"/>
      <c r="B83" s="25"/>
      <c r="C83" s="25"/>
      <c r="D83" s="26"/>
      <c r="E83" s="27"/>
      <c r="F83" s="25"/>
      <c r="G83" s="25"/>
      <c r="H83" s="26"/>
      <c r="I83" s="28"/>
      <c r="J83" s="29" t="str">
        <f>IF('Registro de Contratos'!$M83="SIM",IF(OR(O83="",N83=""),"",IF((O83-N83)=1,(O83-N83)&amp;" dia",(O83-N83)&amp;" dias")),IF(OR(I83="",D83=""),"",IF((I83-D83)=1,(I83-D83)&amp;" dia",(I83-D83)&amp;" dias")))</f>
        <v/>
      </c>
      <c r="K83" s="30"/>
      <c r="L83" s="31"/>
      <c r="M83" s="32"/>
      <c r="N83" s="26"/>
      <c r="O83" s="26"/>
      <c r="P83" s="27"/>
      <c r="Q83" s="23" t="str">
        <f t="shared" si="4"/>
        <v xml:space="preserve"> </v>
      </c>
    </row>
    <row r="84" spans="1:17" ht="14.4" x14ac:dyDescent="0.3">
      <c r="A84" s="14"/>
      <c r="B84" s="25"/>
      <c r="C84" s="25"/>
      <c r="D84" s="26"/>
      <c r="E84" s="27"/>
      <c r="F84" s="25"/>
      <c r="G84" s="25"/>
      <c r="H84" s="26"/>
      <c r="I84" s="28"/>
      <c r="J84" s="29" t="str">
        <f>IF('Registro de Contratos'!$M84="SIM",IF(OR(O84="",N84=""),"",IF((O84-N84)=1,(O84-N84)&amp;" dia",(O84-N84)&amp;" dias")),IF(OR(I84="",D84=""),"",IF((I84-D84)=1,(I84-D84)&amp;" dia",(I84-D84)&amp;" dias")))</f>
        <v/>
      </c>
      <c r="K84" s="30"/>
      <c r="L84" s="31"/>
      <c r="M84" s="32"/>
      <c r="N84" s="26"/>
      <c r="O84" s="26"/>
      <c r="P84" s="27"/>
      <c r="Q84" s="23" t="str">
        <f t="shared" si="4"/>
        <v xml:space="preserve"> </v>
      </c>
    </row>
    <row r="85" spans="1:17" ht="14.4" x14ac:dyDescent="0.3">
      <c r="A85" s="14"/>
      <c r="B85" s="25"/>
      <c r="C85" s="25"/>
      <c r="D85" s="26"/>
      <c r="E85" s="27"/>
      <c r="F85" s="25"/>
      <c r="G85" s="25"/>
      <c r="H85" s="26"/>
      <c r="I85" s="28"/>
      <c r="J85" s="29" t="str">
        <f>IF('Registro de Contratos'!$M85="SIM",IF(OR(O85="",N85=""),"",IF((O85-N85)=1,(O85-N85)&amp;" dia",(O85-N85)&amp;" dias")),IF(OR(I85="",D85=""),"",IF((I85-D85)=1,(I85-D85)&amp;" dia",(I85-D85)&amp;" dias")))</f>
        <v/>
      </c>
      <c r="K85" s="30"/>
      <c r="L85" s="31"/>
      <c r="M85" s="32"/>
      <c r="N85" s="26"/>
      <c r="O85" s="26"/>
      <c r="P85" s="27"/>
      <c r="Q85" s="23" t="str">
        <f t="shared" si="4"/>
        <v xml:space="preserve"> </v>
      </c>
    </row>
    <row r="86" spans="1:17" ht="14.4" x14ac:dyDescent="0.3">
      <c r="A86" s="14"/>
      <c r="B86" s="25"/>
      <c r="C86" s="25"/>
      <c r="D86" s="26"/>
      <c r="E86" s="27"/>
      <c r="F86" s="25"/>
      <c r="G86" s="25"/>
      <c r="H86" s="26"/>
      <c r="I86" s="28"/>
      <c r="J86" s="29" t="str">
        <f>IF('Registro de Contratos'!$M86="SIM",IF(OR(O86="",N86=""),"",IF((O86-N86)=1,(O86-N86)&amp;" dia",(O86-N86)&amp;" dias")),IF(OR(I86="",D86=""),"",IF((I86-D86)=1,(I86-D86)&amp;" dia",(I86-D86)&amp;" dias")))</f>
        <v/>
      </c>
      <c r="K86" s="30"/>
      <c r="L86" s="31"/>
      <c r="M86" s="32"/>
      <c r="N86" s="26"/>
      <c r="O86" s="26"/>
      <c r="P86" s="27"/>
      <c r="Q86" s="23" t="str">
        <f t="shared" si="4"/>
        <v xml:space="preserve"> </v>
      </c>
    </row>
    <row r="87" spans="1:17" ht="14.4" x14ac:dyDescent="0.3">
      <c r="A87" s="14"/>
      <c r="B87" s="25"/>
      <c r="C87" s="25"/>
      <c r="D87" s="26"/>
      <c r="E87" s="27"/>
      <c r="F87" s="25"/>
      <c r="G87" s="25"/>
      <c r="H87" s="26"/>
      <c r="I87" s="28"/>
      <c r="J87" s="29" t="str">
        <f>IF('Registro de Contratos'!$M87="SIM",IF(OR(O87="",N87=""),"",IF((O87-N87)=1,(O87-N87)&amp;" dia",(O87-N87)&amp;" dias")),IF(OR(I87="",D87=""),"",IF((I87-D87)=1,(I87-D87)&amp;" dia",(I87-D87)&amp;" dias")))</f>
        <v/>
      </c>
      <c r="K87" s="30"/>
      <c r="L87" s="31"/>
      <c r="M87" s="32"/>
      <c r="N87" s="26"/>
      <c r="O87" s="26"/>
      <c r="P87" s="27"/>
      <c r="Q87" s="23" t="str">
        <f t="shared" si="4"/>
        <v xml:space="preserve"> </v>
      </c>
    </row>
    <row r="88" spans="1:17" ht="14.4" x14ac:dyDescent="0.3">
      <c r="A88" s="14"/>
      <c r="B88" s="25"/>
      <c r="C88" s="25"/>
      <c r="D88" s="26"/>
      <c r="E88" s="27"/>
      <c r="F88" s="25"/>
      <c r="G88" s="25"/>
      <c r="H88" s="26"/>
      <c r="I88" s="28"/>
      <c r="J88" s="29" t="str">
        <f>IF('Registro de Contratos'!$M88="SIM",IF(OR(O88="",N88=""),"",IF((O88-N88)=1,(O88-N88)&amp;" dia",(O88-N88)&amp;" dias")),IF(OR(I88="",D88=""),"",IF((I88-D88)=1,(I88-D88)&amp;" dia",(I88-D88)&amp;" dias")))</f>
        <v/>
      </c>
      <c r="K88" s="30"/>
      <c r="L88" s="31"/>
      <c r="M88" s="32"/>
      <c r="N88" s="26"/>
      <c r="O88" s="26"/>
      <c r="P88" s="27"/>
      <c r="Q88" s="23" t="str">
        <f t="shared" si="4"/>
        <v xml:space="preserve"> </v>
      </c>
    </row>
    <row r="89" spans="1:17" ht="14.4" x14ac:dyDescent="0.3">
      <c r="A89" s="14"/>
      <c r="B89" s="25"/>
      <c r="C89" s="25"/>
      <c r="D89" s="26"/>
      <c r="E89" s="27"/>
      <c r="F89" s="25"/>
      <c r="G89" s="25"/>
      <c r="H89" s="26"/>
      <c r="I89" s="28"/>
      <c r="J89" s="29" t="str">
        <f>IF('Registro de Contratos'!$M89="SIM",IF(OR(O89="",N89=""),"",IF((O89-N89)=1,(O89-N89)&amp;" dia",(O89-N89)&amp;" dias")),IF(OR(I89="",D89=""),"",IF((I89-D89)=1,(I89-D89)&amp;" dia",(I89-D89)&amp;" dias")))</f>
        <v/>
      </c>
      <c r="K89" s="30"/>
      <c r="L89" s="31"/>
      <c r="M89" s="32"/>
      <c r="N89" s="26"/>
      <c r="O89" s="26"/>
      <c r="P89" s="27"/>
      <c r="Q89" s="23" t="str">
        <f t="shared" si="4"/>
        <v xml:space="preserve"> </v>
      </c>
    </row>
    <row r="90" spans="1:17" ht="14.4" x14ac:dyDescent="0.3">
      <c r="A90" s="14"/>
      <c r="B90" s="25"/>
      <c r="C90" s="25"/>
      <c r="D90" s="26"/>
      <c r="E90" s="27"/>
      <c r="F90" s="25"/>
      <c r="G90" s="25"/>
      <c r="H90" s="26"/>
      <c r="I90" s="28"/>
      <c r="J90" s="29" t="str">
        <f>IF('Registro de Contratos'!$M90="SIM",IF(OR(O90="",N90=""),"",IF((O90-N90)=1,(O90-N90)&amp;" dia",(O90-N90)&amp;" dias")),IF(OR(I90="",D90=""),"",IF((I90-D90)=1,(I90-D90)&amp;" dia",(I90-D90)&amp;" dias")))</f>
        <v/>
      </c>
      <c r="K90" s="30"/>
      <c r="L90" s="31"/>
      <c r="M90" s="32"/>
      <c r="N90" s="26"/>
      <c r="O90" s="26"/>
      <c r="P90" s="27"/>
      <c r="Q90" s="23" t="str">
        <f t="shared" si="4"/>
        <v xml:space="preserve"> </v>
      </c>
    </row>
    <row r="91" spans="1:17" ht="14.4" x14ac:dyDescent="0.3">
      <c r="A91" s="14"/>
      <c r="B91" s="25"/>
      <c r="C91" s="25"/>
      <c r="D91" s="26"/>
      <c r="E91" s="27"/>
      <c r="F91" s="25"/>
      <c r="G91" s="25"/>
      <c r="H91" s="26"/>
      <c r="I91" s="28"/>
      <c r="J91" s="29" t="str">
        <f>IF('Registro de Contratos'!$M91="SIM",IF(OR(O91="",N91=""),"",IF((O91-N91)=1,(O91-N91)&amp;" dia",(O91-N91)&amp;" dias")),IF(OR(I91="",D91=""),"",IF((I91-D91)=1,(I91-D91)&amp;" dia",(I91-D91)&amp;" dias")))</f>
        <v/>
      </c>
      <c r="K91" s="30"/>
      <c r="L91" s="31"/>
      <c r="M91" s="32"/>
      <c r="N91" s="26"/>
      <c r="O91" s="26"/>
      <c r="P91" s="27"/>
      <c r="Q91" s="23" t="str">
        <f t="shared" si="4"/>
        <v xml:space="preserve"> </v>
      </c>
    </row>
    <row r="92" spans="1:17" ht="14.4" x14ac:dyDescent="0.3">
      <c r="A92" s="14"/>
      <c r="B92" s="25"/>
      <c r="C92" s="25"/>
      <c r="D92" s="26"/>
      <c r="E92" s="27"/>
      <c r="F92" s="25"/>
      <c r="G92" s="25"/>
      <c r="H92" s="26"/>
      <c r="I92" s="28"/>
      <c r="J92" s="29" t="str">
        <f>IF('Registro de Contratos'!$M92="SIM",IF(OR(O92="",N92=""),"",IF((O92-N92)=1,(O92-N92)&amp;" dia",(O92-N92)&amp;" dias")),IF(OR(I92="",D92=""),"",IF((I92-D92)=1,(I92-D92)&amp;" dia",(I92-D92)&amp;" dias")))</f>
        <v/>
      </c>
      <c r="K92" s="30"/>
      <c r="L92" s="31"/>
      <c r="M92" s="32"/>
      <c r="N92" s="26"/>
      <c r="O92" s="26"/>
      <c r="P92" s="27"/>
      <c r="Q92" s="23" t="str">
        <f t="shared" si="4"/>
        <v xml:space="preserve"> </v>
      </c>
    </row>
    <row r="93" spans="1:17" ht="14.4" x14ac:dyDescent="0.3">
      <c r="A93" s="14"/>
      <c r="B93" s="25"/>
      <c r="C93" s="25"/>
      <c r="D93" s="26"/>
      <c r="E93" s="27"/>
      <c r="F93" s="25"/>
      <c r="G93" s="25"/>
      <c r="H93" s="26"/>
      <c r="I93" s="28"/>
      <c r="J93" s="29" t="str">
        <f>IF('Registro de Contratos'!$M93="SIM",IF(OR(O93="",N93=""),"",IF((O93-N93)=1,(O93-N93)&amp;" dia",(O93-N93)&amp;" dias")),IF(OR(I93="",D93=""),"",IF((I93-D93)=1,(I93-D93)&amp;" dia",(I93-D93)&amp;" dias")))</f>
        <v/>
      </c>
      <c r="K93" s="30"/>
      <c r="L93" s="31"/>
      <c r="M93" s="32"/>
      <c r="N93" s="26"/>
      <c r="O93" s="26"/>
      <c r="P93" s="27"/>
      <c r="Q93" s="23" t="str">
        <f t="shared" si="4"/>
        <v xml:space="preserve"> </v>
      </c>
    </row>
    <row r="94" spans="1:17" ht="14.4" x14ac:dyDescent="0.3">
      <c r="A94" s="14"/>
      <c r="B94" s="25"/>
      <c r="C94" s="25"/>
      <c r="D94" s="26"/>
      <c r="E94" s="27"/>
      <c r="F94" s="25"/>
      <c r="G94" s="25"/>
      <c r="H94" s="26"/>
      <c r="I94" s="28"/>
      <c r="J94" s="29" t="str">
        <f>IF('Registro de Contratos'!$M94="SIM",IF(OR(O94="",N94=""),"",IF((O94-N94)=1,(O94-N94)&amp;" dia",(O94-N94)&amp;" dias")),IF(OR(I94="",D94=""),"",IF((I94-D94)=1,(I94-D94)&amp;" dia",(I94-D94)&amp;" dias")))</f>
        <v/>
      </c>
      <c r="K94" s="30"/>
      <c r="L94" s="31"/>
      <c r="M94" s="32"/>
      <c r="N94" s="26"/>
      <c r="O94" s="26"/>
      <c r="P94" s="27"/>
      <c r="Q94" s="23" t="str">
        <f t="shared" si="4"/>
        <v xml:space="preserve"> </v>
      </c>
    </row>
    <row r="95" spans="1:17" ht="14.4" x14ac:dyDescent="0.3">
      <c r="A95" s="14"/>
      <c r="B95" s="25"/>
      <c r="C95" s="25"/>
      <c r="D95" s="26"/>
      <c r="E95" s="27"/>
      <c r="F95" s="25"/>
      <c r="G95" s="25"/>
      <c r="H95" s="26"/>
      <c r="I95" s="28"/>
      <c r="J95" s="29" t="str">
        <f>IF('Registro de Contratos'!$M95="SIM",IF(OR(O95="",N95=""),"",IF((O95-N95)=1,(O95-N95)&amp;" dia",(O95-N95)&amp;" dias")),IF(OR(I95="",D95=""),"",IF((I95-D95)=1,(I95-D95)&amp;" dia",(I95-D95)&amp;" dias")))</f>
        <v/>
      </c>
      <c r="K95" s="30"/>
      <c r="L95" s="31"/>
      <c r="M95" s="32"/>
      <c r="N95" s="26"/>
      <c r="O95" s="26"/>
      <c r="P95" s="27"/>
      <c r="Q95" s="23" t="str">
        <f t="shared" si="4"/>
        <v xml:space="preserve"> </v>
      </c>
    </row>
    <row r="96" spans="1:17" ht="14.4" x14ac:dyDescent="0.3">
      <c r="A96" s="14"/>
      <c r="B96" s="25"/>
      <c r="C96" s="25"/>
      <c r="D96" s="26"/>
      <c r="E96" s="27"/>
      <c r="F96" s="25"/>
      <c r="G96" s="25"/>
      <c r="H96" s="26"/>
      <c r="I96" s="28"/>
      <c r="J96" s="29" t="str">
        <f>IF('Registro de Contratos'!$M96="SIM",IF(OR(O96="",N96=""),"",IF((O96-N96)=1,(O96-N96)&amp;" dia",(O96-N96)&amp;" dias")),IF(OR(I96="",D96=""),"",IF((I96-D96)=1,(I96-D96)&amp;" dia",(I96-D96)&amp;" dias")))</f>
        <v/>
      </c>
      <c r="K96" s="30"/>
      <c r="L96" s="31"/>
      <c r="M96" s="32"/>
      <c r="N96" s="26"/>
      <c r="O96" s="26"/>
      <c r="P96" s="27"/>
      <c r="Q96" s="23" t="str">
        <f t="shared" si="4"/>
        <v xml:space="preserve"> </v>
      </c>
    </row>
    <row r="97" spans="1:17" ht="14.4" x14ac:dyDescent="0.3">
      <c r="A97" s="14"/>
      <c r="B97" s="25"/>
      <c r="C97" s="25"/>
      <c r="D97" s="26"/>
      <c r="E97" s="27"/>
      <c r="F97" s="25"/>
      <c r="G97" s="25"/>
      <c r="H97" s="26"/>
      <c r="I97" s="28"/>
      <c r="J97" s="29" t="str">
        <f>IF('Registro de Contratos'!$M97="SIM",IF(OR(O97="",N97=""),"",IF((O97-N97)=1,(O97-N97)&amp;" dia",(O97-N97)&amp;" dias")),IF(OR(I97="",D97=""),"",IF((I97-D97)=1,(I97-D97)&amp;" dia",(I97-D97)&amp;" dias")))</f>
        <v/>
      </c>
      <c r="K97" s="30"/>
      <c r="L97" s="31"/>
      <c r="M97" s="32"/>
      <c r="N97" s="26"/>
      <c r="O97" s="26"/>
      <c r="P97" s="27"/>
      <c r="Q97" s="23" t="str">
        <f t="shared" si="4"/>
        <v xml:space="preserve"> </v>
      </c>
    </row>
    <row r="98" spans="1:17" ht="14.4" x14ac:dyDescent="0.3">
      <c r="A98" s="14"/>
      <c r="B98" s="25"/>
      <c r="C98" s="25"/>
      <c r="D98" s="26"/>
      <c r="E98" s="27"/>
      <c r="F98" s="25"/>
      <c r="G98" s="25"/>
      <c r="H98" s="26"/>
      <c r="I98" s="28"/>
      <c r="J98" s="29" t="str">
        <f>IF('Registro de Contratos'!$M98="SIM",IF(OR(O98="",N98=""),"",IF((O98-N98)=1,(O98-N98)&amp;" dia",(O98-N98)&amp;" dias")),IF(OR(I98="",D98=""),"",IF((I98-D98)=1,(I98-D98)&amp;" dia",(I98-D98)&amp;" dias")))</f>
        <v/>
      </c>
      <c r="K98" s="30"/>
      <c r="L98" s="31"/>
      <c r="M98" s="32"/>
      <c r="N98" s="26"/>
      <c r="O98" s="26"/>
      <c r="P98" s="27"/>
      <c r="Q98" s="23" t="str">
        <f t="shared" si="4"/>
        <v xml:space="preserve"> </v>
      </c>
    </row>
    <row r="99" spans="1:17" ht="14.4" x14ac:dyDescent="0.3">
      <c r="A99" s="14"/>
      <c r="B99" s="25"/>
      <c r="C99" s="25"/>
      <c r="D99" s="26"/>
      <c r="E99" s="27"/>
      <c r="F99" s="25"/>
      <c r="G99" s="25"/>
      <c r="H99" s="26"/>
      <c r="I99" s="28"/>
      <c r="J99" s="29" t="str">
        <f>IF('Registro de Contratos'!$M99="SIM",IF(OR(O99="",N99=""),"",IF((O99-N99)=1,(O99-N99)&amp;" dia",(O99-N99)&amp;" dias")),IF(OR(I99="",D99=""),"",IF((I99-D99)=1,(I99-D99)&amp;" dia",(I99-D99)&amp;" dias")))</f>
        <v/>
      </c>
      <c r="K99" s="30"/>
      <c r="L99" s="31"/>
      <c r="M99" s="32"/>
      <c r="N99" s="26"/>
      <c r="O99" s="26"/>
      <c r="P99" s="27"/>
      <c r="Q99" s="23" t="str">
        <f t="shared" si="4"/>
        <v xml:space="preserve"> </v>
      </c>
    </row>
    <row r="100" spans="1:17" ht="14.4" x14ac:dyDescent="0.3">
      <c r="A100" s="14"/>
      <c r="B100" s="25"/>
      <c r="C100" s="25"/>
      <c r="D100" s="26"/>
      <c r="E100" s="27"/>
      <c r="F100" s="25"/>
      <c r="G100" s="25"/>
      <c r="H100" s="26"/>
      <c r="I100" s="28"/>
      <c r="J100" s="42" t="str">
        <f>IF('Registro de Contratos'!$M100="SIM",IF(OR(O100="",N100=""),"",IF((O100-N100)=1,(O100-N100)&amp;" dia",(O100-N100)&amp;" dias")),IF(OR(I100="",D100=""),"",IF((I100-D100)=1,(I100-D100)&amp;" dia",(I100-D100)&amp;" dias")))</f>
        <v/>
      </c>
      <c r="K100" s="43"/>
      <c r="L100" s="44"/>
      <c r="M100" s="48"/>
      <c r="N100" s="26"/>
      <c r="O100" s="26"/>
      <c r="P100" s="27"/>
      <c r="Q100" s="23" t="str">
        <f t="shared" si="4"/>
        <v xml:space="preserve"> </v>
      </c>
    </row>
    <row r="101" spans="1:17" ht="15.75" customHeight="1" x14ac:dyDescent="0.3">
      <c r="J101" s="68" t="s">
        <v>124</v>
      </c>
      <c r="K101" s="46">
        <f ca="1">COUNTIF(K5:K100,K5)</f>
        <v>22</v>
      </c>
      <c r="L101" s="47"/>
      <c r="M101" s="49"/>
    </row>
    <row r="102" spans="1:17" ht="15.75" customHeight="1" x14ac:dyDescent="0.3">
      <c r="J102" s="69" t="s">
        <v>125</v>
      </c>
      <c r="K102" s="6">
        <f ca="1">COUNTIF(K5:K100,K11)</f>
        <v>22</v>
      </c>
      <c r="L102" s="45"/>
      <c r="M102" s="16"/>
    </row>
    <row r="103" spans="1:17" ht="15.75" customHeight="1" x14ac:dyDescent="0.3">
      <c r="J103" s="69" t="s">
        <v>126</v>
      </c>
      <c r="K103" s="6">
        <f ca="1">COUNTIF(K5:K100,K12)</f>
        <v>22</v>
      </c>
      <c r="L103" s="45"/>
      <c r="M103" s="16"/>
    </row>
    <row r="104" spans="1:17" ht="15.75" customHeight="1" x14ac:dyDescent="0.3">
      <c r="J104" s="69" t="s">
        <v>127</v>
      </c>
      <c r="K104" s="6">
        <f ca="1">COUNTIF(K5:K100,K20)</f>
        <v>22</v>
      </c>
      <c r="L104" s="45"/>
      <c r="M104" s="16"/>
    </row>
    <row r="105" spans="1:17" ht="15.75" customHeight="1" x14ac:dyDescent="0.3">
      <c r="J105" s="70"/>
    </row>
    <row r="106" spans="1:17" ht="15.75" customHeight="1" x14ac:dyDescent="0.3">
      <c r="J106" s="71" t="s">
        <v>67</v>
      </c>
      <c r="K106" s="46">
        <f>COUNTIF(G5:G100,G5)</f>
        <v>6</v>
      </c>
    </row>
    <row r="107" spans="1:17" ht="15.75" customHeight="1" x14ac:dyDescent="0.3">
      <c r="J107" s="72" t="s">
        <v>69</v>
      </c>
      <c r="K107" s="6">
        <f>COUNTIF(G5:G100,G15)</f>
        <v>9</v>
      </c>
    </row>
    <row r="108" spans="1:17" ht="15.75" customHeight="1" x14ac:dyDescent="0.3">
      <c r="J108" s="72" t="s">
        <v>71</v>
      </c>
      <c r="K108" s="6">
        <f>COUNTIF(G5:G100,G10)</f>
        <v>4</v>
      </c>
    </row>
    <row r="109" spans="1:17" ht="15.75" customHeight="1" x14ac:dyDescent="0.3">
      <c r="J109" s="72" t="s">
        <v>73</v>
      </c>
      <c r="K109" s="6">
        <f>COUNTIF(G5:G100,G14)</f>
        <v>3</v>
      </c>
    </row>
    <row r="110" spans="1:17" ht="15.75" customHeight="1" x14ac:dyDescent="0.3">
      <c r="J110" s="70"/>
    </row>
    <row r="111" spans="1:17" ht="15.75" customHeight="1" x14ac:dyDescent="0.3">
      <c r="J111" s="68" t="s">
        <v>68</v>
      </c>
      <c r="K111" s="67">
        <f>COUNTIF(F5:F100,F6)</f>
        <v>7</v>
      </c>
    </row>
    <row r="112" spans="1:17" ht="15.75" customHeight="1" x14ac:dyDescent="0.3">
      <c r="J112" s="69" t="s">
        <v>70</v>
      </c>
      <c r="K112" s="24">
        <f>COUNTIF(F5:F100,F9)</f>
        <v>5</v>
      </c>
    </row>
    <row r="113" spans="10:11" ht="15.75" customHeight="1" x14ac:dyDescent="0.3">
      <c r="J113" s="69" t="s">
        <v>72</v>
      </c>
      <c r="K113" s="24">
        <f>COUNTIF(F5:F100,F7)</f>
        <v>4</v>
      </c>
    </row>
    <row r="114" spans="10:11" ht="15.75" customHeight="1" x14ac:dyDescent="0.3">
      <c r="J114" s="69" t="s">
        <v>74</v>
      </c>
      <c r="K114" s="24">
        <f>COUNTIF(F5:F100,F14)</f>
        <v>2</v>
      </c>
    </row>
    <row r="115" spans="10:11" ht="15.75" customHeight="1" x14ac:dyDescent="0.3">
      <c r="J115" s="69" t="s">
        <v>75</v>
      </c>
      <c r="K115" s="24">
        <f>COUNTIF(F5:F100,F26)</f>
        <v>1</v>
      </c>
    </row>
    <row r="116" spans="10:11" ht="15.75" customHeight="1" x14ac:dyDescent="0.3">
      <c r="J116" s="69" t="s">
        <v>76</v>
      </c>
      <c r="K116" s="24">
        <f>COUNTIF(F5:F100,F5)</f>
        <v>1</v>
      </c>
    </row>
    <row r="117" spans="10:11" ht="15.75" customHeight="1" x14ac:dyDescent="0.3">
      <c r="J117" s="69" t="s">
        <v>77</v>
      </c>
      <c r="K117" s="24">
        <f>COUNTIF(F5:F100,F15)</f>
        <v>1</v>
      </c>
    </row>
    <row r="118" spans="10:11" ht="15.75" customHeight="1" x14ac:dyDescent="0.3">
      <c r="J118" s="69" t="s">
        <v>78</v>
      </c>
      <c r="K118" s="24">
        <f>COUNTIF(F5:F100,F21)</f>
        <v>1</v>
      </c>
    </row>
    <row r="119" spans="10:11" ht="15.75" customHeight="1" x14ac:dyDescent="0.3">
      <c r="J119" s="69" t="s">
        <v>79</v>
      </c>
      <c r="K119" s="24">
        <f>COUNTIF(F5:F100,F27)</f>
        <v>1</v>
      </c>
    </row>
    <row r="120" spans="10:11" ht="15.75" customHeight="1" x14ac:dyDescent="0.3">
      <c r="J120" s="69" t="s">
        <v>80</v>
      </c>
      <c r="K120" s="24">
        <f>COUNTIF(F5:F100,F28)</f>
        <v>1</v>
      </c>
    </row>
    <row r="121" spans="10:11" ht="15.75" customHeight="1" x14ac:dyDescent="0.3">
      <c r="J121" s="69" t="s">
        <v>81</v>
      </c>
      <c r="K121" s="24">
        <f>COUNTIF(F5:F100,F29)</f>
        <v>1</v>
      </c>
    </row>
    <row r="122" spans="10:11" ht="15.75" customHeight="1" x14ac:dyDescent="0.3">
      <c r="J122" s="69" t="s">
        <v>82</v>
      </c>
      <c r="K122" s="24">
        <f>COUNTIF(F5:F100,F30)</f>
        <v>1</v>
      </c>
    </row>
    <row r="123" spans="10:11" ht="15.75" customHeight="1" x14ac:dyDescent="0.3">
      <c r="J123" s="69" t="s">
        <v>83</v>
      </c>
      <c r="K123" s="24">
        <f>COUNTIF(F5:F100,F31)</f>
        <v>1</v>
      </c>
    </row>
  </sheetData>
  <autoFilter ref="B4:P100" xr:uid="{00000000-0009-0000-0000-000003000000}"/>
  <mergeCells count="3">
    <mergeCell ref="D1:N3"/>
    <mergeCell ref="B1:C3"/>
    <mergeCell ref="O2:P2"/>
  </mergeCells>
  <phoneticPr fontId="15" type="noConversion"/>
  <conditionalFormatting sqref="B5:P14 N16:P100 B27:I100 J16:M104 H16:I26 H15:P15 B15:G26">
    <cfRule type="expression" dxfId="21" priority="4">
      <formula>$K5="renegociar"</formula>
    </cfRule>
    <cfRule type="expression" dxfId="20" priority="5">
      <formula>$K5="a vencer"</formula>
    </cfRule>
    <cfRule type="expression" dxfId="19" priority="6">
      <formula>$K5="vencido"</formula>
    </cfRule>
  </conditionalFormatting>
  <conditionalFormatting sqref="K106:K109">
    <cfRule type="expression" dxfId="18" priority="1">
      <formula>$K106="renegociar"</formula>
    </cfRule>
    <cfRule type="expression" dxfId="17" priority="2">
      <formula>$K106="a vencer"</formula>
    </cfRule>
    <cfRule type="expression" dxfId="16" priority="3">
      <formula>$K106="vencido"</formula>
    </cfRule>
  </conditionalFormatting>
  <dataValidations count="1">
    <dataValidation type="list" allowBlank="1" sqref="M5:M104" xr:uid="{00000000-0002-0000-0300-000000000000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1000000}">
          <x14:formula1>
            <xm:f>'Cadastro de Clientes'!$B$5:$B$1001</xm:f>
          </x14:formula1>
          <xm:sqref>C5:C100</xm:sqref>
        </x14:dataValidation>
        <x14:dataValidation type="list" allowBlank="1" xr:uid="{00000000-0002-0000-0300-000002000000}">
          <x14:formula1>
            <xm:f>'Outros Cadastros'!$B$5:$B$17</xm:f>
          </x14:formula1>
          <xm:sqref>G5:G100</xm:sqref>
        </x14:dataValidation>
        <x14:dataValidation type="list" allowBlank="1" xr:uid="{00000000-0002-0000-0300-000003000000}">
          <x14:formula1>
            <xm:f>'Outros Cadastros'!$D$5:$D$17</xm:f>
          </x14:formula1>
          <xm:sqref>F5:F100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2"/>
  <sheetViews>
    <sheetView showGridLines="0" zoomScale="80" zoomScaleNormal="80" workbookViewId="0">
      <selection activeCell="N5" sqref="N5"/>
    </sheetView>
  </sheetViews>
  <sheetFormatPr defaultColWidth="14.44140625" defaultRowHeight="15.75" customHeight="1" x14ac:dyDescent="0.3"/>
  <cols>
    <col min="1" max="1" width="45.33203125" style="3" customWidth="1"/>
    <col min="2" max="12" width="14.44140625" style="3"/>
    <col min="13" max="13" width="19.109375" style="3" customWidth="1"/>
    <col min="14" max="14" width="18.44140625" style="3" customWidth="1"/>
    <col min="15" max="16384" width="14.44140625" style="3"/>
  </cols>
  <sheetData>
    <row r="1" spans="1:26" ht="21.75" customHeight="1" x14ac:dyDescent="0.3">
      <c r="A1" s="100"/>
      <c r="B1" s="96" t="s">
        <v>128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104" t="s">
        <v>129</v>
      </c>
      <c r="N1" s="105">
        <f>SUM(N5:N1002)</f>
        <v>214992</v>
      </c>
    </row>
    <row r="2" spans="1:26" ht="21" customHeight="1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85"/>
      <c r="N2" s="88"/>
    </row>
    <row r="3" spans="1:26" ht="12.75" customHeight="1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85"/>
      <c r="N3" s="8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6.75" customHeight="1" x14ac:dyDescent="0.3">
      <c r="A4" s="34" t="s">
        <v>130</v>
      </c>
      <c r="B4" s="35" t="s">
        <v>18</v>
      </c>
      <c r="C4" s="35" t="s">
        <v>19</v>
      </c>
      <c r="D4" s="35" t="s">
        <v>20</v>
      </c>
      <c r="E4" s="35" t="s">
        <v>21</v>
      </c>
      <c r="F4" s="35" t="s">
        <v>22</v>
      </c>
      <c r="G4" s="35" t="s">
        <v>23</v>
      </c>
      <c r="H4" s="35" t="s">
        <v>24</v>
      </c>
      <c r="I4" s="35" t="s">
        <v>25</v>
      </c>
      <c r="J4" s="35" t="s">
        <v>26</v>
      </c>
      <c r="K4" s="35" t="s">
        <v>27</v>
      </c>
      <c r="L4" s="35" t="s">
        <v>28</v>
      </c>
      <c r="M4" s="35" t="s">
        <v>29</v>
      </c>
      <c r="N4" s="36" t="s">
        <v>131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4" x14ac:dyDescent="0.3">
      <c r="A5" s="58" t="str">
        <f>IF('Registro de Contratos'!B5="","-",'Registro de Contratos'!B5&amp;" - "&amp;'Registro de Contratos'!C5&amp;" - "&amp;'Registro de Contratos'!F5)</f>
        <v>Contrato 1 - Simone - Consórcio</v>
      </c>
      <c r="B5" s="59"/>
      <c r="C5" s="59"/>
      <c r="D5" s="59"/>
      <c r="E5" s="59"/>
      <c r="F5" s="59">
        <v>5000</v>
      </c>
      <c r="G5" s="59">
        <v>5000</v>
      </c>
      <c r="H5" s="59">
        <v>5000</v>
      </c>
      <c r="I5" s="59">
        <v>5000</v>
      </c>
      <c r="J5" s="59">
        <v>5000</v>
      </c>
      <c r="K5" s="59">
        <v>5000</v>
      </c>
      <c r="L5" s="59">
        <v>5000</v>
      </c>
      <c r="M5" s="60"/>
      <c r="N5" s="8">
        <f t="shared" ref="N5:N259" si="0">SUM(B5:M5)</f>
        <v>35000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4" x14ac:dyDescent="0.3">
      <c r="A6" s="61" t="str">
        <f>IF('Registro de Contratos'!B6="","-",'Registro de Contratos'!B6&amp;" - "&amp;'Registro de Contratos'!C6&amp;" - "&amp;'Registro de Contratos'!F6)</f>
        <v>Contrato 3 - Sérgio - Aluguel</v>
      </c>
      <c r="B6" s="62"/>
      <c r="C6" s="62"/>
      <c r="D6" s="62">
        <v>15000</v>
      </c>
      <c r="E6" s="62">
        <v>15000</v>
      </c>
      <c r="F6" s="62"/>
      <c r="G6" s="62"/>
      <c r="H6" s="62"/>
      <c r="I6" s="62"/>
      <c r="J6" s="62"/>
      <c r="K6" s="62"/>
      <c r="L6" s="62"/>
      <c r="M6" s="63"/>
      <c r="N6" s="8">
        <f t="shared" si="0"/>
        <v>30000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 x14ac:dyDescent="0.3">
      <c r="A7" s="61" t="str">
        <f>IF('Registro de Contratos'!B7="","-",'Registro de Contratos'!B7&amp;" - "&amp;'Registro de Contratos'!C7&amp;" - "&amp;'Registro de Contratos'!F7)</f>
        <v>Contrato 2 - Daniel - Prestação de Serviço</v>
      </c>
      <c r="B7" s="62"/>
      <c r="C7" s="62"/>
      <c r="D7" s="62"/>
      <c r="E7" s="62"/>
      <c r="F7" s="62">
        <v>7000</v>
      </c>
      <c r="G7" s="62">
        <v>7000</v>
      </c>
      <c r="H7" s="62">
        <v>7000</v>
      </c>
      <c r="I7" s="62">
        <v>7000</v>
      </c>
      <c r="J7" s="62">
        <v>7000</v>
      </c>
      <c r="K7" s="62">
        <v>7000</v>
      </c>
      <c r="L7" s="62">
        <v>7000</v>
      </c>
      <c r="M7" s="63"/>
      <c r="N7" s="8">
        <f t="shared" si="0"/>
        <v>49000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4" x14ac:dyDescent="0.3">
      <c r="A8" s="61" t="str">
        <f>IF('Registro de Contratos'!B8="","-",'Registro de Contratos'!B8&amp;" - "&amp;'Registro de Contratos'!C8&amp;" - "&amp;'Registro de Contratos'!F8)</f>
        <v>Contrato 4 - Simone - Aluguel</v>
      </c>
      <c r="B8" s="62">
        <v>8416</v>
      </c>
      <c r="C8" s="62">
        <v>8416</v>
      </c>
      <c r="D8" s="62">
        <v>8416</v>
      </c>
      <c r="E8" s="62">
        <v>8416</v>
      </c>
      <c r="F8" s="62">
        <v>8416</v>
      </c>
      <c r="G8" s="62">
        <v>8416</v>
      </c>
      <c r="H8" s="62">
        <v>8416</v>
      </c>
      <c r="I8" s="62">
        <v>8416</v>
      </c>
      <c r="J8" s="62">
        <v>8416</v>
      </c>
      <c r="K8" s="62">
        <v>8416</v>
      </c>
      <c r="L8" s="62">
        <v>8416</v>
      </c>
      <c r="M8" s="63">
        <v>8416</v>
      </c>
      <c r="N8" s="8">
        <f t="shared" si="0"/>
        <v>100992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 x14ac:dyDescent="0.3">
      <c r="A9" s="61" t="str">
        <f>IF('Registro de Contratos'!B9="","-",'Registro de Contratos'!B9&amp;" - "&amp;'Registro de Contratos'!C9&amp;" - "&amp;'Registro de Contratos'!F9)</f>
        <v>Contrato 5  - Simone - Compra e Venda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8">
        <f t="shared" si="0"/>
        <v>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4" x14ac:dyDescent="0.3">
      <c r="A10" s="61" t="str">
        <f>IF('Registro de Contratos'!B10="","-",'Registro de Contratos'!B10&amp;" - "&amp;'Registro de Contratos'!C10&amp;" - "&amp;'Registro de Contratos'!F10)</f>
        <v>Contrato 6 - Simone - Compra e Venda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3"/>
      <c r="N10" s="8">
        <f t="shared" si="0"/>
        <v>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4" x14ac:dyDescent="0.3">
      <c r="A11" s="61" t="str">
        <f>IF('Registro de Contratos'!B11="","-",'Registro de Contratos'!B11&amp;" - "&amp;'Registro de Contratos'!C11&amp;" - "&amp;'Registro de Contratos'!F11)</f>
        <v>Contrato 7 - Sérgio - Aluguel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8">
        <f t="shared" si="0"/>
        <v>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4" x14ac:dyDescent="0.3">
      <c r="A12" s="61" t="str">
        <f>IF('Registro de Contratos'!B12="","-",'Registro de Contratos'!B12&amp;" - "&amp;'Registro de Contratos'!C12&amp;" - "&amp;'Registro de Contratos'!F12)</f>
        <v>Contrato 8 - Simone - Prestação de Serviço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8">
        <f t="shared" si="0"/>
        <v>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4" x14ac:dyDescent="0.3">
      <c r="A13" s="61" t="str">
        <f>IF('Registro de Contratos'!B13="","-",'Registro de Contratos'!B13&amp;" - "&amp;'Registro de Contratos'!C13&amp;" - "&amp;'Registro de Contratos'!F13)</f>
        <v>Contrato 9 - Sérgio - Compra e Venda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8">
        <f t="shared" si="0"/>
        <v>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 x14ac:dyDescent="0.3">
      <c r="A14" s="61" t="str">
        <f>IF('Registro de Contratos'!B14="","-",'Registro de Contratos'!B14&amp;" - "&amp;'Registro de Contratos'!C14&amp;" - "&amp;'Registro de Contratos'!F14)</f>
        <v>Contrato 10 - Simone - Parceria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3"/>
      <c r="N14" s="8">
        <f t="shared" si="0"/>
        <v>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 x14ac:dyDescent="0.3">
      <c r="A15" s="61" t="str">
        <f>IF('Registro de Contratos'!B15="","-",'Registro de Contratos'!B15&amp;" - "&amp;'Registro de Contratos'!C15&amp;" - "&amp;'Registro de Contratos'!F15)</f>
        <v>Contrato 11 - Simone - Contrato de Comodato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3"/>
      <c r="N15" s="8">
        <f t="shared" si="0"/>
        <v>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4" x14ac:dyDescent="0.3">
      <c r="A16" s="61" t="str">
        <f>IF('Registro de Contratos'!B16="","-",'Registro de Contratos'!B16&amp;" - "&amp;'Registro de Contratos'!C16&amp;" - "&amp;'Registro de Contratos'!F16)</f>
        <v>Contrato 12 - Simone - Aluguel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3"/>
      <c r="N16" s="8">
        <f t="shared" si="0"/>
        <v>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 x14ac:dyDescent="0.3">
      <c r="A17" s="61" t="str">
        <f>IF('Registro de Contratos'!B17="","-",'Registro de Contratos'!B17&amp;" - "&amp;'Registro de Contratos'!C17&amp;" - "&amp;'Registro de Contratos'!F17)</f>
        <v>Contrato 13 - Sérgio - Aluguel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/>
      <c r="N17" s="8">
        <f t="shared" si="0"/>
        <v>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4" x14ac:dyDescent="0.3">
      <c r="A18" s="61" t="str">
        <f>IF('Registro de Contratos'!B18="","-",'Registro de Contratos'!B18&amp;" - "&amp;'Registro de Contratos'!C18&amp;" - "&amp;'Registro de Contratos'!F18)</f>
        <v>Contrato 14 - Daniel - Prestação de Serviço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  <c r="N18" s="8">
        <f t="shared" si="0"/>
        <v>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4" x14ac:dyDescent="0.3">
      <c r="A19" s="61" t="str">
        <f>IF('Registro de Contratos'!B19="","-",'Registro de Contratos'!B19&amp;" - "&amp;'Registro de Contratos'!C19&amp;" - "&amp;'Registro de Contratos'!F19)</f>
        <v>Contrato 15 - Simone - Aluguel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3"/>
      <c r="N19" s="8">
        <f t="shared" si="0"/>
        <v>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4" x14ac:dyDescent="0.3">
      <c r="A20" s="61" t="str">
        <f>IF('Registro de Contratos'!B20="","-",'Registro de Contratos'!B20&amp;" - "&amp;'Registro de Contratos'!C20&amp;" - "&amp;'Registro de Contratos'!F20)</f>
        <v>Contrato 16 - Sérgio - Compra e Venda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3"/>
      <c r="N20" s="8">
        <f t="shared" si="0"/>
        <v>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4" x14ac:dyDescent="0.3">
      <c r="A21" s="61" t="str">
        <f>IF('Registro de Contratos'!B21="","-",'Registro de Contratos'!B21&amp;" - "&amp;'Registro de Contratos'!C21&amp;" - "&amp;'Registro de Contratos'!F21)</f>
        <v>Contrato 17 - Daniel - Locação de Shopping Center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3"/>
      <c r="N21" s="8">
        <f t="shared" si="0"/>
        <v>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4" x14ac:dyDescent="0.3">
      <c r="A22" s="61" t="str">
        <f>IF('Registro de Contratos'!B22="","-",'Registro de Contratos'!B22&amp;" - "&amp;'Registro de Contratos'!C22&amp;" - "&amp;'Registro de Contratos'!F22)</f>
        <v>Contrato 18 - Daniel - Aluguel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3"/>
      <c r="N22" s="8">
        <f t="shared" si="0"/>
        <v>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4" x14ac:dyDescent="0.3">
      <c r="A23" s="61" t="str">
        <f>IF('Registro de Contratos'!B23="","-",'Registro de Contratos'!B23&amp;" - "&amp;'Registro de Contratos'!C23&amp;" - "&amp;'Registro de Contratos'!F23)</f>
        <v>Contrato 19 - Daniel - Prestação de Serviço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3"/>
      <c r="N23" s="8">
        <f t="shared" si="0"/>
        <v>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4" x14ac:dyDescent="0.3">
      <c r="A24" s="61" t="str">
        <f>IF('Registro de Contratos'!B24="","-",'Registro de Contratos'!B24&amp;" - "&amp;'Registro de Contratos'!C24&amp;" - "&amp;'Registro de Contratos'!F24)</f>
        <v>Contrato 20 - Sérgio - Compra e Venda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3"/>
      <c r="N24" s="8">
        <f t="shared" si="0"/>
        <v>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4" x14ac:dyDescent="0.3">
      <c r="A25" s="61" t="str">
        <f>IF('Registro de Contratos'!B25="","-",'Registro de Contratos'!B25&amp;" - "&amp;'Registro de Contratos'!C25&amp;" - "&amp;'Registro de Contratos'!F25)</f>
        <v>Contrato 21 - Simone - Parceria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3"/>
      <c r="N25" s="8">
        <f t="shared" si="0"/>
        <v>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4" x14ac:dyDescent="0.3">
      <c r="A26" s="61" t="str">
        <f>IF('Registro de Contratos'!B26="","-",'Registro de Contratos'!B26&amp;" - "&amp;'Registro de Contratos'!C26&amp;" - "&amp;'Registro de Contratos'!F26)</f>
        <v>Contrato 22 - Simone - Compra de Produto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3"/>
      <c r="N26" s="8">
        <f t="shared" si="0"/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4" x14ac:dyDescent="0.3">
      <c r="A27" s="61" t="str">
        <f>IF('Registro de Contratos'!B27="","-",'Registro de Contratos'!B27&amp;" - "&amp;'Registro de Contratos'!C27&amp;" - "&amp;'Registro de Contratos'!F27)</f>
        <v>-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3"/>
      <c r="N27" s="8">
        <f t="shared" si="0"/>
        <v>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4" x14ac:dyDescent="0.3">
      <c r="A28" s="61" t="str">
        <f>IF('Registro de Contratos'!B28="","-",'Registro de Contratos'!B28&amp;" - "&amp;'Registro de Contratos'!C28&amp;" - "&amp;'Registro de Contratos'!F28)</f>
        <v>-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3"/>
      <c r="N28" s="8">
        <f t="shared" si="0"/>
        <v>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4" x14ac:dyDescent="0.3">
      <c r="A29" s="61" t="str">
        <f>IF('Registro de Contratos'!B29="","-",'Registro de Contratos'!B29&amp;" - "&amp;'Registro de Contratos'!C29&amp;" - "&amp;'Registro de Contratos'!F29)</f>
        <v>-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3"/>
      <c r="N29" s="8">
        <f t="shared" si="0"/>
        <v>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4" x14ac:dyDescent="0.3">
      <c r="A30" s="61" t="str">
        <f>IF('Registro de Contratos'!B30="","-",'Registro de Contratos'!B30&amp;" - "&amp;'Registro de Contratos'!C30&amp;" - "&amp;'Registro de Contratos'!F30)</f>
        <v>-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3"/>
      <c r="N30" s="8">
        <f t="shared" si="0"/>
        <v>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4" x14ac:dyDescent="0.3">
      <c r="A31" s="61" t="str">
        <f>IF('Registro de Contratos'!B31="","-",'Registro de Contratos'!B31&amp;" - "&amp;'Registro de Contratos'!C31&amp;" - "&amp;'Registro de Contratos'!F31)</f>
        <v>-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3"/>
      <c r="N31" s="8">
        <f t="shared" si="0"/>
        <v>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4" x14ac:dyDescent="0.3">
      <c r="A32" s="61" t="str">
        <f>IF('Registro de Contratos'!B32="","-",'Registro de Contratos'!B32&amp;" - "&amp;'Registro de Contratos'!C32&amp;" - "&amp;'Registro de Contratos'!F32)</f>
        <v>-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  <c r="N32" s="8">
        <f t="shared" si="0"/>
        <v>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4" x14ac:dyDescent="0.3">
      <c r="A33" s="61" t="str">
        <f>IF('Registro de Contratos'!B33="","-",'Registro de Contratos'!B33&amp;" - "&amp;'Registro de Contratos'!C33&amp;" - "&amp;'Registro de Contratos'!F33)</f>
        <v>-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  <c r="N33" s="8">
        <f t="shared" si="0"/>
        <v>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4" x14ac:dyDescent="0.3">
      <c r="A34" s="61" t="str">
        <f>IF('Registro de Contratos'!B34="","-",'Registro de Contratos'!B34&amp;" - "&amp;'Registro de Contratos'!C34&amp;" - "&amp;'Registro de Contratos'!F34)</f>
        <v>-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  <c r="N34" s="8">
        <f t="shared" si="0"/>
        <v>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4" x14ac:dyDescent="0.3">
      <c r="A35" s="61" t="str">
        <f>IF('Registro de Contratos'!B35="","-",'Registro de Contratos'!B35&amp;" - "&amp;'Registro de Contratos'!C35&amp;" - "&amp;'Registro de Contratos'!F35)</f>
        <v>-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  <c r="N35" s="8">
        <f t="shared" si="0"/>
        <v>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4" x14ac:dyDescent="0.3">
      <c r="A36" s="61" t="str">
        <f>IF('Registro de Contratos'!B36="","-",'Registro de Contratos'!B36&amp;" - "&amp;'Registro de Contratos'!C36&amp;" - "&amp;'Registro de Contratos'!F36)</f>
        <v>-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3"/>
      <c r="N36" s="8">
        <f t="shared" si="0"/>
        <v>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4" x14ac:dyDescent="0.3">
      <c r="A37" s="61" t="str">
        <f>IF('Registro de Contratos'!B37="","-",'Registro de Contratos'!B37&amp;" - "&amp;'Registro de Contratos'!C37&amp;" - "&amp;'Registro de Contratos'!F37)</f>
        <v>-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3"/>
      <c r="N37" s="8">
        <f t="shared" si="0"/>
        <v>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4" x14ac:dyDescent="0.3">
      <c r="A38" s="61" t="str">
        <f>IF('Registro de Contratos'!B38="","-",'Registro de Contratos'!B38&amp;" - "&amp;'Registro de Contratos'!C38&amp;" - "&amp;'Registro de Contratos'!F38)</f>
        <v>-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3"/>
      <c r="N38" s="8">
        <f t="shared" si="0"/>
        <v>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4" x14ac:dyDescent="0.3">
      <c r="A39" s="61" t="str">
        <f>IF('Registro de Contratos'!B39="","-",'Registro de Contratos'!B39&amp;" - "&amp;'Registro de Contratos'!C39&amp;" - "&amp;'Registro de Contratos'!F39)</f>
        <v>-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3"/>
      <c r="N39" s="8">
        <f t="shared" si="0"/>
        <v>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4" x14ac:dyDescent="0.3">
      <c r="A40" s="61" t="str">
        <f>IF('Registro de Contratos'!B40="","-",'Registro de Contratos'!B40&amp;" - "&amp;'Registro de Contratos'!C40&amp;" - "&amp;'Registro de Contratos'!F40)</f>
        <v>-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3"/>
      <c r="N40" s="8">
        <f t="shared" si="0"/>
        <v>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4" x14ac:dyDescent="0.3">
      <c r="A41" s="61" t="str">
        <f>IF('Registro de Contratos'!B41="","-",'Registro de Contratos'!B41&amp;" - "&amp;'Registro de Contratos'!C41&amp;" - "&amp;'Registro de Contratos'!F41)</f>
        <v>-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3"/>
      <c r="N41" s="8">
        <f t="shared" si="0"/>
        <v>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4" x14ac:dyDescent="0.3">
      <c r="A42" s="61" t="str">
        <f>IF('Registro de Contratos'!B42="","-",'Registro de Contratos'!B42&amp;" - "&amp;'Registro de Contratos'!C42&amp;" - "&amp;'Registro de Contratos'!F42)</f>
        <v>-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3"/>
      <c r="N42" s="8">
        <f t="shared" si="0"/>
        <v>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4" x14ac:dyDescent="0.3">
      <c r="A43" s="61" t="str">
        <f>IF('Registro de Contratos'!B43="","-",'Registro de Contratos'!B43&amp;" - "&amp;'Registro de Contratos'!C43&amp;" - "&amp;'Registro de Contratos'!F43)</f>
        <v>-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3"/>
      <c r="N43" s="8">
        <f t="shared" si="0"/>
        <v>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4" x14ac:dyDescent="0.3">
      <c r="A44" s="61" t="str">
        <f>IF('Registro de Contratos'!B44="","-",'Registro de Contratos'!B44&amp;" - "&amp;'Registro de Contratos'!C44&amp;" - "&amp;'Registro de Contratos'!F44)</f>
        <v>-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3"/>
      <c r="N44" s="8">
        <f t="shared" si="0"/>
        <v>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4" x14ac:dyDescent="0.3">
      <c r="A45" s="61" t="str">
        <f>IF('Registro de Contratos'!B45="","-",'Registro de Contratos'!B45&amp;" - "&amp;'Registro de Contratos'!C45&amp;" - "&amp;'Registro de Contratos'!F45)</f>
        <v>-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3"/>
      <c r="N45" s="8">
        <f t="shared" si="0"/>
        <v>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4" x14ac:dyDescent="0.3">
      <c r="A46" s="61" t="str">
        <f>IF('Registro de Contratos'!B46="","-",'Registro de Contratos'!B46&amp;" - "&amp;'Registro de Contratos'!C46&amp;" - "&amp;'Registro de Contratos'!F46)</f>
        <v>-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3"/>
      <c r="N46" s="8">
        <f t="shared" si="0"/>
        <v>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4" x14ac:dyDescent="0.3">
      <c r="A47" s="61" t="str">
        <f>IF('Registro de Contratos'!B47="","-",'Registro de Contratos'!B47&amp;" - "&amp;'Registro de Contratos'!C47&amp;" - "&amp;'Registro de Contratos'!F47)</f>
        <v>-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3"/>
      <c r="N47" s="8">
        <f t="shared" si="0"/>
        <v>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4" x14ac:dyDescent="0.3">
      <c r="A48" s="61" t="str">
        <f>IF('Registro de Contratos'!B48="","-",'Registro de Contratos'!B48&amp;" - "&amp;'Registro de Contratos'!C48&amp;" - "&amp;'Registro de Contratos'!F48)</f>
        <v>-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3"/>
      <c r="N48" s="8">
        <f t="shared" si="0"/>
        <v>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4" x14ac:dyDescent="0.3">
      <c r="A49" s="61" t="str">
        <f>IF('Registro de Contratos'!B49="","-",'Registro de Contratos'!B49&amp;" - "&amp;'Registro de Contratos'!C49&amp;" - "&amp;'Registro de Contratos'!F49)</f>
        <v>-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3"/>
      <c r="N49" s="8">
        <f t="shared" si="0"/>
        <v>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4" x14ac:dyDescent="0.3">
      <c r="A50" s="61" t="str">
        <f>IF('Registro de Contratos'!B50="","-",'Registro de Contratos'!B50&amp;" - "&amp;'Registro de Contratos'!C50&amp;" - "&amp;'Registro de Contratos'!F50)</f>
        <v>-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  <c r="N50" s="8">
        <f t="shared" si="0"/>
        <v>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4" x14ac:dyDescent="0.3">
      <c r="A51" s="61" t="str">
        <f>IF('Registro de Contratos'!B51="","-",'Registro de Contratos'!B51&amp;" - "&amp;'Registro de Contratos'!C51&amp;" - "&amp;'Registro de Contratos'!F51)</f>
        <v>-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  <c r="N51" s="8">
        <f t="shared" si="0"/>
        <v>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4" x14ac:dyDescent="0.3">
      <c r="A52" s="61" t="str">
        <f>IF('Registro de Contratos'!B52="","-",'Registro de Contratos'!B52&amp;" - "&amp;'Registro de Contratos'!C52&amp;" - "&amp;'Registro de Contratos'!F52)</f>
        <v>-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3"/>
      <c r="N52" s="8">
        <f t="shared" si="0"/>
        <v>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4" x14ac:dyDescent="0.3">
      <c r="A53" s="61" t="str">
        <f>IF('Registro de Contratos'!B53="","-",'Registro de Contratos'!B53&amp;" - "&amp;'Registro de Contratos'!C53&amp;" - "&amp;'Registro de Contratos'!F53)</f>
        <v>-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3"/>
      <c r="N53" s="8">
        <f t="shared" si="0"/>
        <v>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4" x14ac:dyDescent="0.3">
      <c r="A54" s="61" t="str">
        <f>IF('Registro de Contratos'!B54="","-",'Registro de Contratos'!B54&amp;" - "&amp;'Registro de Contratos'!C54&amp;" - "&amp;'Registro de Contratos'!F54)</f>
        <v>-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3"/>
      <c r="N54" s="8">
        <f t="shared" si="0"/>
        <v>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4" x14ac:dyDescent="0.3">
      <c r="A55" s="61" t="str">
        <f>IF('Registro de Contratos'!B55="","-",'Registro de Contratos'!B55&amp;" - "&amp;'Registro de Contratos'!C55&amp;" - "&amp;'Registro de Contratos'!F55)</f>
        <v>-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3"/>
      <c r="N55" s="8">
        <f t="shared" si="0"/>
        <v>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4" x14ac:dyDescent="0.3">
      <c r="A56" s="61" t="str">
        <f>IF('Registro de Contratos'!B56="","-",'Registro de Contratos'!B56&amp;" - "&amp;'Registro de Contratos'!C56&amp;" - "&amp;'Registro de Contratos'!F56)</f>
        <v>-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3"/>
      <c r="N56" s="8">
        <f t="shared" si="0"/>
        <v>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4" x14ac:dyDescent="0.3">
      <c r="A57" s="61" t="str">
        <f>IF('Registro de Contratos'!B57="","-",'Registro de Contratos'!B57&amp;" - "&amp;'Registro de Contratos'!C57&amp;" - "&amp;'Registro de Contratos'!F57)</f>
        <v>-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3"/>
      <c r="N57" s="8">
        <f t="shared" si="0"/>
        <v>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4" x14ac:dyDescent="0.3">
      <c r="A58" s="61" t="str">
        <f>IF('Registro de Contratos'!B58="","-",'Registro de Contratos'!B58&amp;" - "&amp;'Registro de Contratos'!C58&amp;" - "&amp;'Registro de Contratos'!F58)</f>
        <v>-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3"/>
      <c r="N58" s="8">
        <f t="shared" si="0"/>
        <v>0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4" x14ac:dyDescent="0.3">
      <c r="A59" s="61" t="str">
        <f>IF('Registro de Contratos'!B59="","-",'Registro de Contratos'!B59&amp;" - "&amp;'Registro de Contratos'!C59&amp;" - "&amp;'Registro de Contratos'!F59)</f>
        <v>-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3"/>
      <c r="N59" s="8">
        <f t="shared" si="0"/>
        <v>0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4" x14ac:dyDescent="0.3">
      <c r="A60" s="61" t="str">
        <f>IF('Registro de Contratos'!B60="","-",'Registro de Contratos'!B60&amp;" - "&amp;'Registro de Contratos'!C60&amp;" - "&amp;'Registro de Contratos'!F60)</f>
        <v>-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3"/>
      <c r="N60" s="8">
        <f t="shared" si="0"/>
        <v>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4" x14ac:dyDescent="0.3">
      <c r="A61" s="61" t="str">
        <f>IF('Registro de Contratos'!B61="","-",'Registro de Contratos'!B61&amp;" - "&amp;'Registro de Contratos'!C61&amp;" - "&amp;'Registro de Contratos'!F61)</f>
        <v>-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3"/>
      <c r="N61" s="8">
        <f t="shared" si="0"/>
        <v>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4" x14ac:dyDescent="0.3">
      <c r="A62" s="61" t="str">
        <f>IF('Registro de Contratos'!B62="","-",'Registro de Contratos'!B62&amp;" - "&amp;'Registro de Contratos'!C62&amp;" - "&amp;'Registro de Contratos'!F62)</f>
        <v>-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3"/>
      <c r="N62" s="8">
        <f t="shared" si="0"/>
        <v>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4" x14ac:dyDescent="0.3">
      <c r="A63" s="61" t="str">
        <f>IF('Registro de Contratos'!B63="","-",'Registro de Contratos'!B63&amp;" - "&amp;'Registro de Contratos'!C63&amp;" - "&amp;'Registro de Contratos'!F63)</f>
        <v>-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3"/>
      <c r="N63" s="8">
        <f t="shared" si="0"/>
        <v>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4" x14ac:dyDescent="0.3">
      <c r="A64" s="61" t="str">
        <f>IF('Registro de Contratos'!B64="","-",'Registro de Contratos'!B64&amp;" - "&amp;'Registro de Contratos'!C64&amp;" - "&amp;'Registro de Contratos'!F64)</f>
        <v>-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3"/>
      <c r="N64" s="8">
        <f t="shared" si="0"/>
        <v>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4" x14ac:dyDescent="0.3">
      <c r="A65" s="61" t="str">
        <f>IF('Registro de Contratos'!B65="","-",'Registro de Contratos'!B65&amp;" - "&amp;'Registro de Contratos'!C65&amp;" - "&amp;'Registro de Contratos'!F65)</f>
        <v>-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3"/>
      <c r="N65" s="8">
        <f t="shared" si="0"/>
        <v>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4" x14ac:dyDescent="0.3">
      <c r="A66" s="61" t="str">
        <f>IF('Registro de Contratos'!B66="","-",'Registro de Contratos'!B66&amp;" - "&amp;'Registro de Contratos'!C66&amp;" - "&amp;'Registro de Contratos'!F66)</f>
        <v>-</v>
      </c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3"/>
      <c r="N66" s="8">
        <f t="shared" si="0"/>
        <v>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4" x14ac:dyDescent="0.3">
      <c r="A67" s="61" t="str">
        <f>IF('Registro de Contratos'!B67="","-",'Registro de Contratos'!B67&amp;" - "&amp;'Registro de Contratos'!C67&amp;" - "&amp;'Registro de Contratos'!F67)</f>
        <v>-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3"/>
      <c r="N67" s="8">
        <f t="shared" si="0"/>
        <v>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4" x14ac:dyDescent="0.3">
      <c r="A68" s="61" t="str">
        <f>IF('Registro de Contratos'!B68="","-",'Registro de Contratos'!B68&amp;" - "&amp;'Registro de Contratos'!C68&amp;" - "&amp;'Registro de Contratos'!F68)</f>
        <v>-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3"/>
      <c r="N68" s="8">
        <f t="shared" si="0"/>
        <v>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4" x14ac:dyDescent="0.3">
      <c r="A69" s="61" t="str">
        <f>IF('Registro de Contratos'!B69="","-",'Registro de Contratos'!B69&amp;" - "&amp;'Registro de Contratos'!C69&amp;" - "&amp;'Registro de Contratos'!F69)</f>
        <v>-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3"/>
      <c r="N69" s="8">
        <f t="shared" si="0"/>
        <v>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4" x14ac:dyDescent="0.3">
      <c r="A70" s="61" t="str">
        <f>IF('Registro de Contratos'!B70="","-",'Registro de Contratos'!B70&amp;" - "&amp;'Registro de Contratos'!C70&amp;" - "&amp;'Registro de Contratos'!F70)</f>
        <v>-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3"/>
      <c r="N70" s="8">
        <f t="shared" si="0"/>
        <v>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4" x14ac:dyDescent="0.3">
      <c r="A71" s="61" t="str">
        <f>IF('Registro de Contratos'!B71="","-",'Registro de Contratos'!B71&amp;" - "&amp;'Registro de Contratos'!C71&amp;" - "&amp;'Registro de Contratos'!F71)</f>
        <v>-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3"/>
      <c r="N71" s="8">
        <f t="shared" si="0"/>
        <v>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4" x14ac:dyDescent="0.3">
      <c r="A72" s="61" t="str">
        <f>IF('Registro de Contratos'!B72="","-",'Registro de Contratos'!B72&amp;" - "&amp;'Registro de Contratos'!C72&amp;" - "&amp;'Registro de Contratos'!F72)</f>
        <v>-</v>
      </c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3"/>
      <c r="N72" s="8">
        <f t="shared" si="0"/>
        <v>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4" x14ac:dyDescent="0.3">
      <c r="A73" s="61" t="str">
        <f>IF('Registro de Contratos'!B73="","-",'Registro de Contratos'!B73&amp;" - "&amp;'Registro de Contratos'!C73&amp;" - "&amp;'Registro de Contratos'!F73)</f>
        <v>-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3"/>
      <c r="N73" s="8">
        <f t="shared" si="0"/>
        <v>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4" x14ac:dyDescent="0.3">
      <c r="A74" s="61" t="str">
        <f>IF('Registro de Contratos'!B74="","-",'Registro de Contratos'!B74&amp;" - "&amp;'Registro de Contratos'!C74&amp;" - "&amp;'Registro de Contratos'!F74)</f>
        <v>-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3"/>
      <c r="N74" s="8">
        <f t="shared" si="0"/>
        <v>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4" x14ac:dyDescent="0.3">
      <c r="A75" s="61" t="str">
        <f>IF('Registro de Contratos'!B75="","-",'Registro de Contratos'!B75&amp;" - "&amp;'Registro de Contratos'!C75&amp;" - "&amp;'Registro de Contratos'!F75)</f>
        <v>-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3"/>
      <c r="N75" s="8">
        <f t="shared" si="0"/>
        <v>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4" x14ac:dyDescent="0.3">
      <c r="A76" s="61" t="str">
        <f>IF('Registro de Contratos'!B76="","-",'Registro de Contratos'!B76&amp;" - "&amp;'Registro de Contratos'!C76&amp;" - "&amp;'Registro de Contratos'!F76)</f>
        <v>-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3"/>
      <c r="N76" s="8">
        <f t="shared" si="0"/>
        <v>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4" x14ac:dyDescent="0.3">
      <c r="A77" s="61" t="str">
        <f>IF('Registro de Contratos'!B77="","-",'Registro de Contratos'!B77&amp;" - "&amp;'Registro de Contratos'!C77&amp;" - "&amp;'Registro de Contratos'!F77)</f>
        <v>-</v>
      </c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3"/>
      <c r="N77" s="8">
        <f t="shared" si="0"/>
        <v>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4" x14ac:dyDescent="0.3">
      <c r="A78" s="61" t="str">
        <f>IF('Registro de Contratos'!B78="","-",'Registro de Contratos'!B78&amp;" - "&amp;'Registro de Contratos'!C78&amp;" - "&amp;'Registro de Contratos'!F78)</f>
        <v>-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3"/>
      <c r="N78" s="8">
        <f t="shared" si="0"/>
        <v>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4" x14ac:dyDescent="0.3">
      <c r="A79" s="61" t="str">
        <f>IF('Registro de Contratos'!B79="","-",'Registro de Contratos'!B79&amp;" - "&amp;'Registro de Contratos'!C79&amp;" - "&amp;'Registro de Contratos'!F79)</f>
        <v>-</v>
      </c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3"/>
      <c r="N79" s="8">
        <f t="shared" si="0"/>
        <v>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4" x14ac:dyDescent="0.3">
      <c r="A80" s="61" t="str">
        <f>IF('Registro de Contratos'!B80="","-",'Registro de Contratos'!B80&amp;" - "&amp;'Registro de Contratos'!C80&amp;" - "&amp;'Registro de Contratos'!F80)</f>
        <v>-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3"/>
      <c r="N80" s="8">
        <f t="shared" si="0"/>
        <v>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4" x14ac:dyDescent="0.3">
      <c r="A81" s="61" t="str">
        <f>IF('Registro de Contratos'!B81="","-",'Registro de Contratos'!B81&amp;" - "&amp;'Registro de Contratos'!C81&amp;" - "&amp;'Registro de Contratos'!F81)</f>
        <v>-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3"/>
      <c r="N81" s="8">
        <f t="shared" si="0"/>
        <v>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4" x14ac:dyDescent="0.3">
      <c r="A82" s="61" t="str">
        <f>IF('Registro de Contratos'!B82="","-",'Registro de Contratos'!B82&amp;" - "&amp;'Registro de Contratos'!C82&amp;" - "&amp;'Registro de Contratos'!F82)</f>
        <v>-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3"/>
      <c r="N82" s="8">
        <f t="shared" si="0"/>
        <v>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4" x14ac:dyDescent="0.3">
      <c r="A83" s="61" t="str">
        <f>IF('Registro de Contratos'!B83="","-",'Registro de Contratos'!B83&amp;" - "&amp;'Registro de Contratos'!C83&amp;" - "&amp;'Registro de Contratos'!F83)</f>
        <v>-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3"/>
      <c r="N83" s="8">
        <f t="shared" si="0"/>
        <v>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4" x14ac:dyDescent="0.3">
      <c r="A84" s="61" t="str">
        <f>IF('Registro de Contratos'!B84="","-",'Registro de Contratos'!B84&amp;" - "&amp;'Registro de Contratos'!C84&amp;" - "&amp;'Registro de Contratos'!F84)</f>
        <v>-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3"/>
      <c r="N84" s="8">
        <f t="shared" si="0"/>
        <v>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4" x14ac:dyDescent="0.3">
      <c r="A85" s="61" t="str">
        <f>IF('Registro de Contratos'!B85="","-",'Registro de Contratos'!B85&amp;" - "&amp;'Registro de Contratos'!C85&amp;" - "&amp;'Registro de Contratos'!F85)</f>
        <v>-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3"/>
      <c r="N85" s="8">
        <f t="shared" si="0"/>
        <v>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4" x14ac:dyDescent="0.3">
      <c r="A86" s="61" t="str">
        <f>IF('Registro de Contratos'!B86="","-",'Registro de Contratos'!B86&amp;" - "&amp;'Registro de Contratos'!C86&amp;" - "&amp;'Registro de Contratos'!F86)</f>
        <v>-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3"/>
      <c r="N86" s="8">
        <f t="shared" si="0"/>
        <v>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4" x14ac:dyDescent="0.3">
      <c r="A87" s="61" t="str">
        <f>IF('Registro de Contratos'!B87="","-",'Registro de Contratos'!B87&amp;" - "&amp;'Registro de Contratos'!C87&amp;" - "&amp;'Registro de Contratos'!F87)</f>
        <v>-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3"/>
      <c r="N87" s="8">
        <f t="shared" si="0"/>
        <v>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4" x14ac:dyDescent="0.3">
      <c r="A88" s="61" t="str">
        <f>IF('Registro de Contratos'!B88="","-",'Registro de Contratos'!B88&amp;" - "&amp;'Registro de Contratos'!C88&amp;" - "&amp;'Registro de Contratos'!F88)</f>
        <v>-</v>
      </c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3"/>
      <c r="N88" s="8">
        <f t="shared" si="0"/>
        <v>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4" x14ac:dyDescent="0.3">
      <c r="A89" s="61" t="str">
        <f>IF('Registro de Contratos'!B89="","-",'Registro de Contratos'!B89&amp;" - "&amp;'Registro de Contratos'!C89&amp;" - "&amp;'Registro de Contratos'!F89)</f>
        <v>-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3"/>
      <c r="N89" s="8">
        <f t="shared" si="0"/>
        <v>0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4" x14ac:dyDescent="0.3">
      <c r="A90" s="61" t="str">
        <f>IF('Registro de Contratos'!B90="","-",'Registro de Contratos'!B90&amp;" - "&amp;'Registro de Contratos'!C90&amp;" - "&amp;'Registro de Contratos'!F90)</f>
        <v>-</v>
      </c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3"/>
      <c r="N90" s="8">
        <f t="shared" si="0"/>
        <v>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4" x14ac:dyDescent="0.3">
      <c r="A91" s="61" t="str">
        <f>IF('Registro de Contratos'!B91="","-",'Registro de Contratos'!B91&amp;" - "&amp;'Registro de Contratos'!C91&amp;" - "&amp;'Registro de Contratos'!F91)</f>
        <v>-</v>
      </c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3"/>
      <c r="N91" s="8">
        <f t="shared" si="0"/>
        <v>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4" x14ac:dyDescent="0.3">
      <c r="A92" s="61" t="str">
        <f>IF('Registro de Contratos'!B92="","-",'Registro de Contratos'!B92&amp;" - "&amp;'Registro de Contratos'!C92&amp;" - "&amp;'Registro de Contratos'!F92)</f>
        <v>-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3"/>
      <c r="N92" s="8">
        <f t="shared" si="0"/>
        <v>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4" x14ac:dyDescent="0.3">
      <c r="A93" s="61" t="str">
        <f>IF('Registro de Contratos'!B93="","-",'Registro de Contratos'!B93&amp;" - "&amp;'Registro de Contratos'!C93&amp;" - "&amp;'Registro de Contratos'!F93)</f>
        <v>-</v>
      </c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3"/>
      <c r="N93" s="8">
        <f t="shared" si="0"/>
        <v>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4" x14ac:dyDescent="0.3">
      <c r="A94" s="61" t="str">
        <f>IF('Registro de Contratos'!B94="","-",'Registro de Contratos'!B94&amp;" - "&amp;'Registro de Contratos'!C94&amp;" - "&amp;'Registro de Contratos'!F94)</f>
        <v>-</v>
      </c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3"/>
      <c r="N94" s="8">
        <f t="shared" si="0"/>
        <v>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4" x14ac:dyDescent="0.3">
      <c r="A95" s="61" t="str">
        <f>IF('Registro de Contratos'!B95="","-",'Registro de Contratos'!B95&amp;" - "&amp;'Registro de Contratos'!C95&amp;" - "&amp;'Registro de Contratos'!F95)</f>
        <v>-</v>
      </c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3"/>
      <c r="N95" s="8">
        <f t="shared" si="0"/>
        <v>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4" x14ac:dyDescent="0.3">
      <c r="A96" s="61" t="str">
        <f>IF('Registro de Contratos'!B96="","-",'Registro de Contratos'!B96&amp;" - "&amp;'Registro de Contratos'!C96&amp;" - "&amp;'Registro de Contratos'!F96)</f>
        <v>-</v>
      </c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3"/>
      <c r="N96" s="8">
        <f t="shared" si="0"/>
        <v>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4" x14ac:dyDescent="0.3">
      <c r="A97" s="61" t="str">
        <f>IF('Registro de Contratos'!B97="","-",'Registro de Contratos'!B97&amp;" - "&amp;'Registro de Contratos'!C97&amp;" - "&amp;'Registro de Contratos'!F97)</f>
        <v>-</v>
      </c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3"/>
      <c r="N97" s="8">
        <f t="shared" si="0"/>
        <v>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4" x14ac:dyDescent="0.3">
      <c r="A98" s="61" t="str">
        <f>IF('Registro de Contratos'!B98="","-",'Registro de Contratos'!B98&amp;" - "&amp;'Registro de Contratos'!C98&amp;" - "&amp;'Registro de Contratos'!F98)</f>
        <v>-</v>
      </c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3"/>
      <c r="N98" s="8">
        <f t="shared" si="0"/>
        <v>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4" x14ac:dyDescent="0.3">
      <c r="A99" s="61" t="str">
        <f>IF('Registro de Contratos'!B99="","-",'Registro de Contratos'!B99&amp;" - "&amp;'Registro de Contratos'!C99&amp;" - "&amp;'Registro de Contratos'!F99)</f>
        <v>-</v>
      </c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3"/>
      <c r="N99" s="8">
        <f t="shared" si="0"/>
        <v>0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4" x14ac:dyDescent="0.3">
      <c r="A100" s="61" t="str">
        <f>IF('Registro de Contratos'!B100="","-",'Registro de Contratos'!B100&amp;" - "&amp;'Registro de Contratos'!C100&amp;" - "&amp;'Registro de Contratos'!F100)</f>
        <v>-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3"/>
      <c r="N100" s="8">
        <f t="shared" si="0"/>
        <v>0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4" x14ac:dyDescent="0.3">
      <c r="A101" s="4" t="e">
        <f>IF('Registro de Contratos'!#REF!="","-",'Registro de Contratos'!#REF!&amp;" - "&amp;'Registro de Contratos'!#REF!&amp;" - "&amp;'Registro de Contratos'!#REF!)</f>
        <v>#REF!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  <c r="N101" s="8">
        <f t="shared" si="0"/>
        <v>0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4" x14ac:dyDescent="0.3">
      <c r="A102" s="9" t="e">
        <f>IF('Registro de Contratos'!#REF!="","-",'Registro de Contratos'!#REF!&amp;" - "&amp;'Registro de Contratos'!#REF!&amp;" - "&amp;'Registro de Contratos'!#REF!)</f>
        <v>#REF!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8">
        <f t="shared" si="0"/>
        <v>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4" x14ac:dyDescent="0.3">
      <c r="A103" s="4" t="e">
        <f>IF('Registro de Contratos'!#REF!="","-",'Registro de Contratos'!#REF!&amp;" - "&amp;'Registro de Contratos'!#REF!&amp;" - "&amp;'Registro de Contratos'!#REF!)</f>
        <v>#REF!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  <c r="N103" s="8">
        <f t="shared" si="0"/>
        <v>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4" x14ac:dyDescent="0.3">
      <c r="A104" s="9" t="e">
        <f>IF('Registro de Contratos'!#REF!="","-",'Registro de Contratos'!#REF!&amp;" - "&amp;'Registro de Contratos'!#REF!&amp;" - "&amp;'Registro de Contratos'!#REF!)</f>
        <v>#REF!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1"/>
      <c r="N104" s="8">
        <f t="shared" si="0"/>
        <v>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4" x14ac:dyDescent="0.3">
      <c r="A105" s="4" t="e">
        <f>IF('Registro de Contratos'!#REF!="","-",'Registro de Contratos'!#REF!&amp;" - "&amp;'Registro de Contratos'!#REF!&amp;" - "&amp;'Registro de Contratos'!#REF!)</f>
        <v>#REF!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  <c r="N105" s="8">
        <f t="shared" si="0"/>
        <v>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4" x14ac:dyDescent="0.3">
      <c r="A106" s="9" t="e">
        <f>IF('Registro de Contratos'!#REF!="","-",'Registro de Contratos'!#REF!&amp;" - "&amp;'Registro de Contratos'!#REF!&amp;" - "&amp;'Registro de Contratos'!#REF!)</f>
        <v>#REF!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1"/>
      <c r="N106" s="8">
        <f t="shared" si="0"/>
        <v>0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4" x14ac:dyDescent="0.3">
      <c r="A107" s="4" t="e">
        <f>IF('Registro de Contratos'!#REF!="","-",'Registro de Contratos'!#REF!&amp;" - "&amp;'Registro de Contratos'!#REF!&amp;" - "&amp;'Registro de Contratos'!#REF!)</f>
        <v>#REF!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3"/>
      <c r="N107" s="8">
        <f t="shared" si="0"/>
        <v>0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4" x14ac:dyDescent="0.3">
      <c r="A108" s="9" t="e">
        <f>IF('Registro de Contratos'!#REF!="","-",'Registro de Contratos'!#REF!&amp;" - "&amp;'Registro de Contratos'!#REF!&amp;" - "&amp;'Registro de Contratos'!#REF!)</f>
        <v>#REF!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1"/>
      <c r="N108" s="8">
        <f t="shared" si="0"/>
        <v>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4" x14ac:dyDescent="0.3">
      <c r="A109" s="4" t="e">
        <f>IF('Registro de Contratos'!#REF!="","-",'Registro de Contratos'!#REF!&amp;" - "&amp;'Registro de Contratos'!#REF!&amp;" - "&amp;'Registro de Contratos'!#REF!)</f>
        <v>#REF!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3"/>
      <c r="N109" s="8">
        <f t="shared" si="0"/>
        <v>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4" x14ac:dyDescent="0.3">
      <c r="A110" s="9" t="e">
        <f>IF('Registro de Contratos'!#REF!="","-",'Registro de Contratos'!#REF!&amp;" - "&amp;'Registro de Contratos'!#REF!&amp;" - "&amp;'Registro de Contratos'!#REF!)</f>
        <v>#REF!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1"/>
      <c r="N110" s="8">
        <f t="shared" si="0"/>
        <v>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4" x14ac:dyDescent="0.3">
      <c r="A111" s="4" t="e">
        <f>IF('Registro de Contratos'!#REF!="","-",'Registro de Contratos'!#REF!&amp;" - "&amp;'Registro de Contratos'!#REF!&amp;" - "&amp;'Registro de Contratos'!#REF!)</f>
        <v>#REF!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  <c r="N111" s="8">
        <f t="shared" si="0"/>
        <v>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4" x14ac:dyDescent="0.3">
      <c r="A112" s="9" t="e">
        <f>IF('Registro de Contratos'!#REF!="","-",'Registro de Contratos'!#REF!&amp;" - "&amp;'Registro de Contratos'!#REF!&amp;" - "&amp;'Registro de Contratos'!#REF!)</f>
        <v>#REF!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1"/>
      <c r="N112" s="8">
        <f t="shared" si="0"/>
        <v>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4" x14ac:dyDescent="0.3">
      <c r="A113" s="4" t="e">
        <f>IF('Registro de Contratos'!#REF!="","-",'Registro de Contratos'!#REF!&amp;" - "&amp;'Registro de Contratos'!#REF!&amp;" - "&amp;'Registro de Contratos'!#REF!)</f>
        <v>#REF!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  <c r="N113" s="8">
        <f t="shared" si="0"/>
        <v>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4" x14ac:dyDescent="0.3">
      <c r="A114" s="9" t="e">
        <f>IF('Registro de Contratos'!#REF!="","-",'Registro de Contratos'!#REF!&amp;" - "&amp;'Registro de Contratos'!#REF!&amp;" - "&amp;'Registro de Contratos'!#REF!)</f>
        <v>#REF!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1"/>
      <c r="N114" s="8">
        <f t="shared" si="0"/>
        <v>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4" x14ac:dyDescent="0.3">
      <c r="A115" s="4" t="e">
        <f>IF('Registro de Contratos'!#REF!="","-",'Registro de Contratos'!#REF!&amp;" - "&amp;'Registro de Contratos'!#REF!&amp;" - "&amp;'Registro de Contratos'!#REF!)</f>
        <v>#REF!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3"/>
      <c r="N115" s="8">
        <f t="shared" si="0"/>
        <v>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4" x14ac:dyDescent="0.3">
      <c r="A116" s="9" t="e">
        <f>IF('Registro de Contratos'!#REF!="","-",'Registro de Contratos'!#REF!&amp;" - "&amp;'Registro de Contratos'!#REF!&amp;" - "&amp;'Registro de Contratos'!#REF!)</f>
        <v>#REF!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1"/>
      <c r="N116" s="8">
        <f t="shared" si="0"/>
        <v>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4" x14ac:dyDescent="0.3">
      <c r="A117" s="4" t="e">
        <f>IF('Registro de Contratos'!#REF!="","-",'Registro de Contratos'!#REF!&amp;" - "&amp;'Registro de Contratos'!#REF!&amp;" - "&amp;'Registro de Contratos'!#REF!)</f>
        <v>#REF!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  <c r="N117" s="8">
        <f t="shared" si="0"/>
        <v>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4" x14ac:dyDescent="0.3">
      <c r="A118" s="9" t="e">
        <f>IF('Registro de Contratos'!#REF!="","-",'Registro de Contratos'!#REF!&amp;" - "&amp;'Registro de Contratos'!#REF!&amp;" - "&amp;'Registro de Contratos'!#REF!)</f>
        <v>#REF!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1"/>
      <c r="N118" s="8">
        <f t="shared" si="0"/>
        <v>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4" x14ac:dyDescent="0.3">
      <c r="A119" s="4" t="e">
        <f>IF('Registro de Contratos'!#REF!="","-",'Registro de Contratos'!#REF!&amp;" - "&amp;'Registro de Contratos'!#REF!&amp;" - "&amp;'Registro de Contratos'!#REF!)</f>
        <v>#REF!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  <c r="N119" s="8">
        <f t="shared" si="0"/>
        <v>0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4" x14ac:dyDescent="0.3">
      <c r="A120" s="9" t="e">
        <f>IF('Registro de Contratos'!#REF!="","-",'Registro de Contratos'!#REF!&amp;" - "&amp;'Registro de Contratos'!#REF!&amp;" - "&amp;'Registro de Contratos'!#REF!)</f>
        <v>#REF!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1"/>
      <c r="N120" s="8">
        <f t="shared" si="0"/>
        <v>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4" x14ac:dyDescent="0.3">
      <c r="A121" s="4" t="e">
        <f>IF('Registro de Contratos'!#REF!="","-",'Registro de Contratos'!#REF!&amp;" - "&amp;'Registro de Contratos'!#REF!&amp;" - "&amp;'Registro de Contratos'!#REF!)</f>
        <v>#REF!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  <c r="N121" s="8">
        <f t="shared" si="0"/>
        <v>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4" x14ac:dyDescent="0.3">
      <c r="A122" s="9" t="e">
        <f>IF('Registro de Contratos'!#REF!="","-",'Registro de Contratos'!#REF!&amp;" - "&amp;'Registro de Contratos'!#REF!&amp;" - "&amp;'Registro de Contratos'!#REF!)</f>
        <v>#REF!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  <c r="N122" s="8">
        <f t="shared" si="0"/>
        <v>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4" x14ac:dyDescent="0.3">
      <c r="A123" s="4" t="e">
        <f>IF('Registro de Contratos'!#REF!="","-",'Registro de Contratos'!#REF!&amp;" - "&amp;'Registro de Contratos'!#REF!&amp;" - "&amp;'Registro de Contratos'!#REF!)</f>
        <v>#REF!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3"/>
      <c r="N123" s="8">
        <f t="shared" si="0"/>
        <v>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4" x14ac:dyDescent="0.3">
      <c r="A124" s="9" t="e">
        <f>IF('Registro de Contratos'!#REF!="","-",'Registro de Contratos'!#REF!&amp;" - "&amp;'Registro de Contratos'!#REF!&amp;" - "&amp;'Registro de Contratos'!#REF!)</f>
        <v>#REF!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1"/>
      <c r="N124" s="8">
        <f t="shared" si="0"/>
        <v>0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4" x14ac:dyDescent="0.3">
      <c r="A125" s="4" t="e">
        <f>IF('Registro de Contratos'!#REF!="","-",'Registro de Contratos'!#REF!&amp;" - "&amp;'Registro de Contratos'!#REF!&amp;" - "&amp;'Registro de Contratos'!#REF!)</f>
        <v>#REF!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"/>
      <c r="N125" s="8">
        <f t="shared" si="0"/>
        <v>0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4" x14ac:dyDescent="0.3">
      <c r="A126" s="9" t="e">
        <f>IF('Registro de Contratos'!#REF!="","-",'Registro de Contratos'!#REF!&amp;" - "&amp;'Registro de Contratos'!#REF!&amp;" - "&amp;'Registro de Contratos'!#REF!)</f>
        <v>#REF!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1"/>
      <c r="N126" s="8">
        <f t="shared" si="0"/>
        <v>0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4" x14ac:dyDescent="0.3">
      <c r="A127" s="4" t="e">
        <f>IF('Registro de Contratos'!#REF!="","-",'Registro de Contratos'!#REF!&amp;" - "&amp;'Registro de Contratos'!#REF!&amp;" - "&amp;'Registro de Contratos'!#REF!)</f>
        <v>#REF!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8">
        <f t="shared" si="0"/>
        <v>0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4" x14ac:dyDescent="0.3">
      <c r="A128" s="9" t="e">
        <f>IF('Registro de Contratos'!#REF!="","-",'Registro de Contratos'!#REF!&amp;" - "&amp;'Registro de Contratos'!#REF!&amp;" - "&amp;'Registro de Contratos'!#REF!)</f>
        <v>#REF!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1"/>
      <c r="N128" s="8">
        <f t="shared" si="0"/>
        <v>0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4" x14ac:dyDescent="0.3">
      <c r="A129" s="4" t="e">
        <f>IF('Registro de Contratos'!#REF!="","-",'Registro de Contratos'!#REF!&amp;" - "&amp;'Registro de Contratos'!#REF!&amp;" - "&amp;'Registro de Contratos'!#REF!)</f>
        <v>#REF!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3"/>
      <c r="N129" s="8">
        <f t="shared" si="0"/>
        <v>0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4" x14ac:dyDescent="0.3">
      <c r="A130" s="9" t="e">
        <f>IF('Registro de Contratos'!#REF!="","-",'Registro de Contratos'!#REF!&amp;" - "&amp;'Registro de Contratos'!#REF!&amp;" - "&amp;'Registro de Contratos'!#REF!)</f>
        <v>#REF!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1"/>
      <c r="N130" s="8">
        <f t="shared" si="0"/>
        <v>0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4" x14ac:dyDescent="0.3">
      <c r="A131" s="4" t="e">
        <f>IF('Registro de Contratos'!#REF!="","-",'Registro de Contratos'!#REF!&amp;" - "&amp;'Registro de Contratos'!#REF!&amp;" - "&amp;'Registro de Contratos'!#REF!)</f>
        <v>#REF!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3"/>
      <c r="N131" s="8">
        <f t="shared" si="0"/>
        <v>0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4" x14ac:dyDescent="0.3">
      <c r="A132" s="9" t="e">
        <f>IF('Registro de Contratos'!#REF!="","-",'Registro de Contratos'!#REF!&amp;" - "&amp;'Registro de Contratos'!#REF!&amp;" - "&amp;'Registro de Contratos'!#REF!)</f>
        <v>#REF!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1"/>
      <c r="N132" s="8">
        <f t="shared" si="0"/>
        <v>0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4" x14ac:dyDescent="0.3">
      <c r="A133" s="4" t="e">
        <f>IF('Registro de Contratos'!#REF!="","-",'Registro de Contratos'!#REF!&amp;" - "&amp;'Registro de Contratos'!#REF!&amp;" - "&amp;'Registro de Contratos'!#REF!)</f>
        <v>#REF!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3"/>
      <c r="N133" s="8">
        <f t="shared" si="0"/>
        <v>0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4" x14ac:dyDescent="0.3">
      <c r="A134" s="9" t="e">
        <f>IF('Registro de Contratos'!#REF!="","-",'Registro de Contratos'!#REF!&amp;" - "&amp;'Registro de Contratos'!#REF!&amp;" - "&amp;'Registro de Contratos'!#REF!)</f>
        <v>#REF!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1"/>
      <c r="N134" s="8">
        <f t="shared" si="0"/>
        <v>0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4" x14ac:dyDescent="0.3">
      <c r="A135" s="4" t="e">
        <f>IF('Registro de Contratos'!#REF!="","-",'Registro de Contratos'!#REF!&amp;" - "&amp;'Registro de Contratos'!#REF!&amp;" - "&amp;'Registro de Contratos'!#REF!)</f>
        <v>#REF!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3"/>
      <c r="N135" s="8">
        <f t="shared" si="0"/>
        <v>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4" x14ac:dyDescent="0.3">
      <c r="A136" s="9" t="e">
        <f>IF('Registro de Contratos'!#REF!="","-",'Registro de Contratos'!#REF!&amp;" - "&amp;'Registro de Contratos'!#REF!&amp;" - "&amp;'Registro de Contratos'!#REF!)</f>
        <v>#REF!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1"/>
      <c r="N136" s="8">
        <f t="shared" si="0"/>
        <v>0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4" x14ac:dyDescent="0.3">
      <c r="A137" s="4" t="e">
        <f>IF('Registro de Contratos'!#REF!="","-",'Registro de Contratos'!#REF!&amp;" - "&amp;'Registro de Contratos'!#REF!&amp;" - "&amp;'Registro de Contratos'!#REF!)</f>
        <v>#REF!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3"/>
      <c r="N137" s="8">
        <f t="shared" si="0"/>
        <v>0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4" x14ac:dyDescent="0.3">
      <c r="A138" s="9" t="e">
        <f>IF('Registro de Contratos'!#REF!="","-",'Registro de Contratos'!#REF!&amp;" - "&amp;'Registro de Contratos'!#REF!&amp;" - "&amp;'Registro de Contratos'!#REF!)</f>
        <v>#REF!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1"/>
      <c r="N138" s="8">
        <f t="shared" si="0"/>
        <v>0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4" x14ac:dyDescent="0.3">
      <c r="A139" s="4" t="e">
        <f>IF('Registro de Contratos'!#REF!="","-",'Registro de Contratos'!#REF!&amp;" - "&amp;'Registro de Contratos'!#REF!&amp;" - "&amp;'Registro de Contratos'!#REF!)</f>
        <v>#REF!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3"/>
      <c r="N139" s="8">
        <f t="shared" si="0"/>
        <v>0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4" x14ac:dyDescent="0.3">
      <c r="A140" s="9" t="e">
        <f>IF('Registro de Contratos'!#REF!="","-",'Registro de Contratos'!#REF!&amp;" - "&amp;'Registro de Contratos'!#REF!&amp;" - "&amp;'Registro de Contratos'!#REF!)</f>
        <v>#REF!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1"/>
      <c r="N140" s="8">
        <f t="shared" si="0"/>
        <v>0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4" x14ac:dyDescent="0.3">
      <c r="A141" s="4" t="e">
        <f>IF('Registro de Contratos'!#REF!="","-",'Registro de Contratos'!#REF!&amp;" - "&amp;'Registro de Contratos'!#REF!&amp;" - "&amp;'Registro de Contratos'!#REF!)</f>
        <v>#REF!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/>
      <c r="N141" s="8">
        <f t="shared" si="0"/>
        <v>0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4" x14ac:dyDescent="0.3">
      <c r="A142" s="9" t="e">
        <f>IF('Registro de Contratos'!#REF!="","-",'Registro de Contratos'!#REF!&amp;" - "&amp;'Registro de Contratos'!#REF!&amp;" - "&amp;'Registro de Contratos'!#REF!)</f>
        <v>#REF!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1"/>
      <c r="N142" s="8">
        <f t="shared" si="0"/>
        <v>0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4" x14ac:dyDescent="0.3">
      <c r="A143" s="4" t="e">
        <f>IF('Registro de Contratos'!#REF!="","-",'Registro de Contratos'!#REF!&amp;" - "&amp;'Registro de Contratos'!#REF!&amp;" - "&amp;'Registro de Contratos'!#REF!)</f>
        <v>#REF!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3"/>
      <c r="N143" s="8">
        <f t="shared" si="0"/>
        <v>0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4" x14ac:dyDescent="0.3">
      <c r="A144" s="9" t="e">
        <f>IF('Registro de Contratos'!#REF!="","-",'Registro de Contratos'!#REF!&amp;" - "&amp;'Registro de Contratos'!#REF!&amp;" - "&amp;'Registro de Contratos'!#REF!)</f>
        <v>#REF!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  <c r="N144" s="8">
        <f t="shared" si="0"/>
        <v>0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4" x14ac:dyDescent="0.3">
      <c r="A145" s="4" t="e">
        <f>IF('Registro de Contratos'!#REF!="","-",'Registro de Contratos'!#REF!&amp;" - "&amp;'Registro de Contratos'!#REF!&amp;" - "&amp;'Registro de Contratos'!#REF!)</f>
        <v>#REF!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3"/>
      <c r="N145" s="8">
        <f t="shared" si="0"/>
        <v>0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4" x14ac:dyDescent="0.3">
      <c r="A146" s="9" t="e">
        <f>IF('Registro de Contratos'!#REF!="","-",'Registro de Contratos'!#REF!&amp;" - "&amp;'Registro de Contratos'!#REF!&amp;" - "&amp;'Registro de Contratos'!#REF!)</f>
        <v>#REF!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1"/>
      <c r="N146" s="8">
        <f t="shared" si="0"/>
        <v>0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4" x14ac:dyDescent="0.3">
      <c r="A147" s="4" t="e">
        <f>IF('Registro de Contratos'!#REF!="","-",'Registro de Contratos'!#REF!&amp;" - "&amp;'Registro de Contratos'!#REF!&amp;" - "&amp;'Registro de Contratos'!#REF!)</f>
        <v>#REF!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3"/>
      <c r="N147" s="8">
        <f t="shared" si="0"/>
        <v>0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4" x14ac:dyDescent="0.3">
      <c r="A148" s="9" t="e">
        <f>IF('Registro de Contratos'!#REF!="","-",'Registro de Contratos'!#REF!&amp;" - "&amp;'Registro de Contratos'!#REF!&amp;" - "&amp;'Registro de Contratos'!#REF!)</f>
        <v>#REF!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1"/>
      <c r="N148" s="8">
        <f t="shared" si="0"/>
        <v>0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4" x14ac:dyDescent="0.3">
      <c r="A149" s="4" t="e">
        <f>IF('Registro de Contratos'!#REF!="","-",'Registro de Contratos'!#REF!&amp;" - "&amp;'Registro de Contratos'!#REF!&amp;" - "&amp;'Registro de Contratos'!#REF!)</f>
        <v>#REF!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3"/>
      <c r="N149" s="8">
        <f t="shared" si="0"/>
        <v>0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4" x14ac:dyDescent="0.3">
      <c r="A150" s="9" t="e">
        <f>IF('Registro de Contratos'!#REF!="","-",'Registro de Contratos'!#REF!&amp;" - "&amp;'Registro de Contratos'!#REF!&amp;" - "&amp;'Registro de Contratos'!#REF!)</f>
        <v>#REF!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1"/>
      <c r="N150" s="8">
        <f t="shared" si="0"/>
        <v>0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4" x14ac:dyDescent="0.3">
      <c r="A151" s="4" t="e">
        <f>IF('Registro de Contratos'!#REF!="","-",'Registro de Contratos'!#REF!&amp;" - "&amp;'Registro de Contratos'!#REF!&amp;" - "&amp;'Registro de Contratos'!#REF!)</f>
        <v>#REF!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3"/>
      <c r="N151" s="8">
        <f t="shared" si="0"/>
        <v>0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4" x14ac:dyDescent="0.3">
      <c r="A152" s="9" t="e">
        <f>IF('Registro de Contratos'!#REF!="","-",'Registro de Contratos'!#REF!&amp;" - "&amp;'Registro de Contratos'!#REF!&amp;" - "&amp;'Registro de Contratos'!#REF!)</f>
        <v>#REF!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1"/>
      <c r="N152" s="8">
        <f t="shared" si="0"/>
        <v>0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4" x14ac:dyDescent="0.3">
      <c r="A153" s="4" t="e">
        <f>IF('Registro de Contratos'!#REF!="","-",'Registro de Contratos'!#REF!&amp;" - "&amp;'Registro de Contratos'!#REF!&amp;" - "&amp;'Registro de Contratos'!#REF!)</f>
        <v>#REF!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3"/>
      <c r="N153" s="8">
        <f t="shared" si="0"/>
        <v>0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4" x14ac:dyDescent="0.3">
      <c r="A154" s="9" t="e">
        <f>IF('Registro de Contratos'!#REF!="","-",'Registro de Contratos'!#REF!&amp;" - "&amp;'Registro de Contratos'!#REF!&amp;" - "&amp;'Registro de Contratos'!#REF!)</f>
        <v>#REF!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1"/>
      <c r="N154" s="8">
        <f t="shared" si="0"/>
        <v>0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4" x14ac:dyDescent="0.3">
      <c r="A155" s="4" t="e">
        <f>IF('Registro de Contratos'!#REF!="","-",'Registro de Contratos'!#REF!&amp;" - "&amp;'Registro de Contratos'!#REF!&amp;" - "&amp;'Registro de Contratos'!#REF!)</f>
        <v>#REF!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3"/>
      <c r="N155" s="8">
        <f t="shared" si="0"/>
        <v>0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4" x14ac:dyDescent="0.3">
      <c r="A156" s="9" t="e">
        <f>IF('Registro de Contratos'!#REF!="","-",'Registro de Contratos'!#REF!&amp;" - "&amp;'Registro de Contratos'!#REF!&amp;" - "&amp;'Registro de Contratos'!#REF!)</f>
        <v>#REF!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1"/>
      <c r="N156" s="8">
        <f t="shared" si="0"/>
        <v>0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4" x14ac:dyDescent="0.3">
      <c r="A157" s="4" t="e">
        <f>IF('Registro de Contratos'!#REF!="","-",'Registro de Contratos'!#REF!&amp;" - "&amp;'Registro de Contratos'!#REF!&amp;" - "&amp;'Registro de Contratos'!#REF!)</f>
        <v>#REF!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3"/>
      <c r="N157" s="8">
        <f t="shared" si="0"/>
        <v>0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4" x14ac:dyDescent="0.3">
      <c r="A158" s="9" t="e">
        <f>IF('Registro de Contratos'!#REF!="","-",'Registro de Contratos'!#REF!&amp;" - "&amp;'Registro de Contratos'!#REF!&amp;" - "&amp;'Registro de Contratos'!#REF!)</f>
        <v>#REF!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1"/>
      <c r="N158" s="8">
        <f t="shared" si="0"/>
        <v>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4" x14ac:dyDescent="0.3">
      <c r="A159" s="4" t="e">
        <f>IF('Registro de Contratos'!#REF!="","-",'Registro de Contratos'!#REF!&amp;" - "&amp;'Registro de Contratos'!#REF!&amp;" - "&amp;'Registro de Contratos'!#REF!)</f>
        <v>#REF!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3"/>
      <c r="N159" s="8">
        <f t="shared" si="0"/>
        <v>0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4" x14ac:dyDescent="0.3">
      <c r="A160" s="9" t="e">
        <f>IF('Registro de Contratos'!#REF!="","-",'Registro de Contratos'!#REF!&amp;" - "&amp;'Registro de Contratos'!#REF!&amp;" - "&amp;'Registro de Contratos'!#REF!)</f>
        <v>#REF!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1"/>
      <c r="N160" s="8">
        <f t="shared" si="0"/>
        <v>0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4" x14ac:dyDescent="0.3">
      <c r="A161" s="4" t="e">
        <f>IF('Registro de Contratos'!#REF!="","-",'Registro de Contratos'!#REF!&amp;" - "&amp;'Registro de Contratos'!#REF!&amp;" - "&amp;'Registro de Contratos'!#REF!)</f>
        <v>#REF!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3"/>
      <c r="N161" s="8">
        <f t="shared" si="0"/>
        <v>0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4" x14ac:dyDescent="0.3">
      <c r="A162" s="9" t="e">
        <f>IF('Registro de Contratos'!#REF!="","-",'Registro de Contratos'!#REF!&amp;" - "&amp;'Registro de Contratos'!#REF!&amp;" - "&amp;'Registro de Contratos'!#REF!)</f>
        <v>#REF!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1"/>
      <c r="N162" s="8">
        <f t="shared" si="0"/>
        <v>0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4" x14ac:dyDescent="0.3">
      <c r="A163" s="4" t="e">
        <f>IF('Registro de Contratos'!#REF!="","-",'Registro de Contratos'!#REF!&amp;" - "&amp;'Registro de Contratos'!#REF!&amp;" - "&amp;'Registro de Contratos'!#REF!)</f>
        <v>#REF!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3"/>
      <c r="N163" s="8">
        <f t="shared" si="0"/>
        <v>0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4" x14ac:dyDescent="0.3">
      <c r="A164" s="9" t="e">
        <f>IF('Registro de Contratos'!#REF!="","-",'Registro de Contratos'!#REF!&amp;" - "&amp;'Registro de Contratos'!#REF!&amp;" - "&amp;'Registro de Contratos'!#REF!)</f>
        <v>#REF!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1"/>
      <c r="N164" s="8">
        <f t="shared" si="0"/>
        <v>0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4" x14ac:dyDescent="0.3">
      <c r="A165" s="4" t="e">
        <f>IF('Registro de Contratos'!#REF!="","-",'Registro de Contratos'!#REF!&amp;" - "&amp;'Registro de Contratos'!#REF!&amp;" - "&amp;'Registro de Contratos'!#REF!)</f>
        <v>#REF!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3"/>
      <c r="N165" s="8">
        <f t="shared" si="0"/>
        <v>0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4" x14ac:dyDescent="0.3">
      <c r="A166" s="9" t="e">
        <f>IF('Registro de Contratos'!#REF!="","-",'Registro de Contratos'!#REF!&amp;" - "&amp;'Registro de Contratos'!#REF!&amp;" - "&amp;'Registro de Contratos'!#REF!)</f>
        <v>#REF!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  <c r="N166" s="8">
        <f t="shared" si="0"/>
        <v>0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4" x14ac:dyDescent="0.3">
      <c r="A167" s="4" t="e">
        <f>IF('Registro de Contratos'!#REF!="","-",'Registro de Contratos'!#REF!&amp;" - "&amp;'Registro de Contratos'!#REF!&amp;" - "&amp;'Registro de Contratos'!#REF!)</f>
        <v>#REF!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3"/>
      <c r="N167" s="8">
        <f t="shared" si="0"/>
        <v>0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4" x14ac:dyDescent="0.3">
      <c r="A168" s="9" t="e">
        <f>IF('Registro de Contratos'!#REF!="","-",'Registro de Contratos'!#REF!&amp;" - "&amp;'Registro de Contratos'!#REF!&amp;" - "&amp;'Registro de Contratos'!#REF!)</f>
        <v>#REF!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1"/>
      <c r="N168" s="8">
        <f t="shared" si="0"/>
        <v>0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4" x14ac:dyDescent="0.3">
      <c r="A169" s="4" t="e">
        <f>IF('Registro de Contratos'!#REF!="","-",'Registro de Contratos'!#REF!&amp;" - "&amp;'Registro de Contratos'!#REF!&amp;" - "&amp;'Registro de Contratos'!#REF!)</f>
        <v>#REF!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3"/>
      <c r="N169" s="8">
        <f t="shared" si="0"/>
        <v>0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4" x14ac:dyDescent="0.3">
      <c r="A170" s="9" t="e">
        <f>IF('Registro de Contratos'!#REF!="","-",'Registro de Contratos'!#REF!&amp;" - "&amp;'Registro de Contratos'!#REF!&amp;" - "&amp;'Registro de Contratos'!#REF!)</f>
        <v>#REF!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1"/>
      <c r="N170" s="8">
        <f t="shared" si="0"/>
        <v>0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4" x14ac:dyDescent="0.3">
      <c r="A171" s="4" t="e">
        <f>IF('Registro de Contratos'!#REF!="","-",'Registro de Contratos'!#REF!&amp;" - "&amp;'Registro de Contratos'!#REF!&amp;" - "&amp;'Registro de Contratos'!#REF!)</f>
        <v>#REF!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3"/>
      <c r="N171" s="8">
        <f t="shared" si="0"/>
        <v>0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4" x14ac:dyDescent="0.3">
      <c r="A172" s="9" t="e">
        <f>IF('Registro de Contratos'!#REF!="","-",'Registro de Contratos'!#REF!&amp;" - "&amp;'Registro de Contratos'!#REF!&amp;" - "&amp;'Registro de Contratos'!#REF!)</f>
        <v>#REF!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1"/>
      <c r="N172" s="8">
        <f t="shared" si="0"/>
        <v>0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4" x14ac:dyDescent="0.3">
      <c r="A173" s="4" t="e">
        <f>IF('Registro de Contratos'!#REF!="","-",'Registro de Contratos'!#REF!&amp;" - "&amp;'Registro de Contratos'!#REF!&amp;" - "&amp;'Registro de Contratos'!#REF!)</f>
        <v>#REF!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"/>
      <c r="N173" s="8">
        <f t="shared" si="0"/>
        <v>0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4" x14ac:dyDescent="0.3">
      <c r="A174" s="9" t="e">
        <f>IF('Registro de Contratos'!#REF!="","-",'Registro de Contratos'!#REF!&amp;" - "&amp;'Registro de Contratos'!#REF!&amp;" - "&amp;'Registro de Contratos'!#REF!)</f>
        <v>#REF!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1"/>
      <c r="N174" s="8">
        <f t="shared" si="0"/>
        <v>0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4" x14ac:dyDescent="0.3">
      <c r="A175" s="4" t="e">
        <f>IF('Registro de Contratos'!#REF!="","-",'Registro de Contratos'!#REF!&amp;" - "&amp;'Registro de Contratos'!#REF!&amp;" - "&amp;'Registro de Contratos'!#REF!)</f>
        <v>#REF!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3"/>
      <c r="N175" s="8">
        <f t="shared" si="0"/>
        <v>0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4" x14ac:dyDescent="0.3">
      <c r="A176" s="9" t="e">
        <f>IF('Registro de Contratos'!#REF!="","-",'Registro de Contratos'!#REF!&amp;" - "&amp;'Registro de Contratos'!#REF!&amp;" - "&amp;'Registro de Contratos'!#REF!)</f>
        <v>#REF!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1"/>
      <c r="N176" s="8">
        <f t="shared" si="0"/>
        <v>0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4" x14ac:dyDescent="0.3">
      <c r="A177" s="4" t="e">
        <f>IF('Registro de Contratos'!#REF!="","-",'Registro de Contratos'!#REF!&amp;" - "&amp;'Registro de Contratos'!#REF!&amp;" - "&amp;'Registro de Contratos'!#REF!)</f>
        <v>#REF!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3"/>
      <c r="N177" s="8">
        <f t="shared" si="0"/>
        <v>0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4" x14ac:dyDescent="0.3">
      <c r="A178" s="9" t="e">
        <f>IF('Registro de Contratos'!#REF!="","-",'Registro de Contratos'!#REF!&amp;" - "&amp;'Registro de Contratos'!#REF!&amp;" - "&amp;'Registro de Contratos'!#REF!)</f>
        <v>#REF!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1"/>
      <c r="N178" s="8">
        <f t="shared" si="0"/>
        <v>0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4" x14ac:dyDescent="0.3">
      <c r="A179" s="4" t="e">
        <f>IF('Registro de Contratos'!#REF!="","-",'Registro de Contratos'!#REF!&amp;" - "&amp;'Registro de Contratos'!#REF!&amp;" - "&amp;'Registro de Contratos'!#REF!)</f>
        <v>#REF!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3"/>
      <c r="N179" s="8">
        <f t="shared" si="0"/>
        <v>0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4" x14ac:dyDescent="0.3">
      <c r="A180" s="9" t="e">
        <f>IF('Registro de Contratos'!#REF!="","-",'Registro de Contratos'!#REF!&amp;" - "&amp;'Registro de Contratos'!#REF!&amp;" - "&amp;'Registro de Contratos'!#REF!)</f>
        <v>#REF!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1"/>
      <c r="N180" s="8">
        <f t="shared" si="0"/>
        <v>0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4" x14ac:dyDescent="0.3">
      <c r="A181" s="4" t="e">
        <f>IF('Registro de Contratos'!#REF!="","-",'Registro de Contratos'!#REF!&amp;" - "&amp;'Registro de Contratos'!#REF!&amp;" - "&amp;'Registro de Contratos'!#REF!)</f>
        <v>#REF!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3"/>
      <c r="N181" s="8">
        <f t="shared" si="0"/>
        <v>0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4" x14ac:dyDescent="0.3">
      <c r="A182" s="9" t="e">
        <f>IF('Registro de Contratos'!#REF!="","-",'Registro de Contratos'!#REF!&amp;" - "&amp;'Registro de Contratos'!#REF!&amp;" - "&amp;'Registro de Contratos'!#REF!)</f>
        <v>#REF!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  <c r="N182" s="8">
        <f t="shared" si="0"/>
        <v>0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4" x14ac:dyDescent="0.3">
      <c r="A183" s="4" t="e">
        <f>IF('Registro de Contratos'!#REF!="","-",'Registro de Contratos'!#REF!&amp;" - "&amp;'Registro de Contratos'!#REF!&amp;" - "&amp;'Registro de Contratos'!#REF!)</f>
        <v>#REF!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3"/>
      <c r="N183" s="8">
        <f t="shared" si="0"/>
        <v>0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4" x14ac:dyDescent="0.3">
      <c r="A184" s="9" t="e">
        <f>IF('Registro de Contratos'!#REF!="","-",'Registro de Contratos'!#REF!&amp;" - "&amp;'Registro de Contratos'!#REF!&amp;" - "&amp;'Registro de Contratos'!#REF!)</f>
        <v>#REF!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1"/>
      <c r="N184" s="8">
        <f t="shared" si="0"/>
        <v>0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4" x14ac:dyDescent="0.3">
      <c r="A185" s="4" t="e">
        <f>IF('Registro de Contratos'!#REF!="","-",'Registro de Contratos'!#REF!&amp;" - "&amp;'Registro de Contratos'!#REF!&amp;" - "&amp;'Registro de Contratos'!#REF!)</f>
        <v>#REF!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3"/>
      <c r="N185" s="8">
        <f t="shared" si="0"/>
        <v>0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4" x14ac:dyDescent="0.3">
      <c r="A186" s="9" t="e">
        <f>IF('Registro de Contratos'!#REF!="","-",'Registro de Contratos'!#REF!&amp;" - "&amp;'Registro de Contratos'!#REF!&amp;" - "&amp;'Registro de Contratos'!#REF!)</f>
        <v>#REF!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  <c r="N186" s="8">
        <f t="shared" si="0"/>
        <v>0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4" x14ac:dyDescent="0.3">
      <c r="A187" s="4" t="e">
        <f>IF('Registro de Contratos'!#REF!="","-",'Registro de Contratos'!#REF!&amp;" - "&amp;'Registro de Contratos'!#REF!&amp;" - "&amp;'Registro de Contratos'!#REF!)</f>
        <v>#REF!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3"/>
      <c r="N187" s="8">
        <f t="shared" si="0"/>
        <v>0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4" x14ac:dyDescent="0.3">
      <c r="A188" s="9" t="e">
        <f>IF('Registro de Contratos'!#REF!="","-",'Registro de Contratos'!#REF!&amp;" - "&amp;'Registro de Contratos'!#REF!&amp;" - "&amp;'Registro de Contratos'!#REF!)</f>
        <v>#REF!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  <c r="N188" s="8">
        <f t="shared" si="0"/>
        <v>0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4" x14ac:dyDescent="0.3">
      <c r="A189" s="4" t="e">
        <f>IF('Registro de Contratos'!#REF!="","-",'Registro de Contratos'!#REF!&amp;" - "&amp;'Registro de Contratos'!#REF!&amp;" - "&amp;'Registro de Contratos'!#REF!)</f>
        <v>#REF!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3"/>
      <c r="N189" s="8">
        <f t="shared" si="0"/>
        <v>0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4" x14ac:dyDescent="0.3">
      <c r="A190" s="9" t="e">
        <f>IF('Registro de Contratos'!#REF!="","-",'Registro de Contratos'!#REF!&amp;" - "&amp;'Registro de Contratos'!#REF!&amp;" - "&amp;'Registro de Contratos'!#REF!)</f>
        <v>#REF!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1"/>
      <c r="N190" s="8">
        <f t="shared" si="0"/>
        <v>0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4" x14ac:dyDescent="0.3">
      <c r="A191" s="4" t="e">
        <f>IF('Registro de Contratos'!#REF!="","-",'Registro de Contratos'!#REF!&amp;" - "&amp;'Registro de Contratos'!#REF!&amp;" - "&amp;'Registro de Contratos'!#REF!)</f>
        <v>#REF!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3"/>
      <c r="N191" s="8">
        <f t="shared" si="0"/>
        <v>0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4" x14ac:dyDescent="0.3">
      <c r="A192" s="9" t="e">
        <f>IF('Registro de Contratos'!#REF!="","-",'Registro de Contratos'!#REF!&amp;" - "&amp;'Registro de Contratos'!#REF!&amp;" - "&amp;'Registro de Contratos'!#REF!)</f>
        <v>#REF!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1"/>
      <c r="N192" s="8">
        <f t="shared" si="0"/>
        <v>0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4" x14ac:dyDescent="0.3">
      <c r="A193" s="4" t="e">
        <f>IF('Registro de Contratos'!#REF!="","-",'Registro de Contratos'!#REF!&amp;" - "&amp;'Registro de Contratos'!#REF!&amp;" - "&amp;'Registro de Contratos'!#REF!)</f>
        <v>#REF!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3"/>
      <c r="N193" s="8">
        <f t="shared" si="0"/>
        <v>0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4" x14ac:dyDescent="0.3">
      <c r="A194" s="9" t="e">
        <f>IF('Registro de Contratos'!#REF!="","-",'Registro de Contratos'!#REF!&amp;" - "&amp;'Registro de Contratos'!#REF!&amp;" - "&amp;'Registro de Contratos'!#REF!)</f>
        <v>#REF!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1"/>
      <c r="N194" s="8">
        <f t="shared" si="0"/>
        <v>0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4" x14ac:dyDescent="0.3">
      <c r="A195" s="4" t="e">
        <f>IF('Registro de Contratos'!#REF!="","-",'Registro de Contratos'!#REF!&amp;" - "&amp;'Registro de Contratos'!#REF!&amp;" - "&amp;'Registro de Contratos'!#REF!)</f>
        <v>#REF!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3"/>
      <c r="N195" s="8">
        <f t="shared" si="0"/>
        <v>0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4" x14ac:dyDescent="0.3">
      <c r="A196" s="9" t="e">
        <f>IF('Registro de Contratos'!#REF!="","-",'Registro de Contratos'!#REF!&amp;" - "&amp;'Registro de Contratos'!#REF!&amp;" - "&amp;'Registro de Contratos'!#REF!)</f>
        <v>#REF!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1"/>
      <c r="N196" s="8">
        <f t="shared" si="0"/>
        <v>0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4" x14ac:dyDescent="0.3">
      <c r="A197" s="4" t="e">
        <f>IF('Registro de Contratos'!#REF!="","-",'Registro de Contratos'!#REF!&amp;" - "&amp;'Registro de Contratos'!#REF!&amp;" - "&amp;'Registro de Contratos'!#REF!)</f>
        <v>#REF!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3"/>
      <c r="N197" s="8">
        <f t="shared" si="0"/>
        <v>0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4" x14ac:dyDescent="0.3">
      <c r="A198" s="9" t="e">
        <f>IF('Registro de Contratos'!#REF!="","-",'Registro de Contratos'!#REF!&amp;" - "&amp;'Registro de Contratos'!#REF!&amp;" - "&amp;'Registro de Contratos'!#REF!)</f>
        <v>#REF!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8">
        <f t="shared" si="0"/>
        <v>0</v>
      </c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4" x14ac:dyDescent="0.3">
      <c r="A199" s="4" t="e">
        <f>IF('Registro de Contratos'!#REF!="","-",'Registro de Contratos'!#REF!&amp;" - "&amp;'Registro de Contratos'!#REF!&amp;" - "&amp;'Registro de Contratos'!#REF!)</f>
        <v>#REF!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3"/>
      <c r="N199" s="8">
        <f t="shared" si="0"/>
        <v>0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4" x14ac:dyDescent="0.3">
      <c r="A200" s="9" t="e">
        <f>IF('Registro de Contratos'!#REF!="","-",'Registro de Contratos'!#REF!&amp;" - "&amp;'Registro de Contratos'!#REF!&amp;" - "&amp;'Registro de Contratos'!#REF!)</f>
        <v>#REF!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1"/>
      <c r="N200" s="8">
        <f t="shared" si="0"/>
        <v>0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4" x14ac:dyDescent="0.3">
      <c r="A201" s="4" t="e">
        <f>IF('Registro de Contratos'!#REF!="","-",'Registro de Contratos'!#REF!&amp;" - "&amp;'Registro de Contratos'!#REF!&amp;" - "&amp;'Registro de Contratos'!#REF!)</f>
        <v>#REF!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3"/>
      <c r="N201" s="8">
        <f t="shared" si="0"/>
        <v>0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4" x14ac:dyDescent="0.3">
      <c r="A202" s="9" t="e">
        <f>IF('Registro de Contratos'!#REF!="","-",'Registro de Contratos'!#REF!&amp;" - "&amp;'Registro de Contratos'!#REF!&amp;" - "&amp;'Registro de Contratos'!#REF!)</f>
        <v>#REF!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1"/>
      <c r="N202" s="8">
        <f t="shared" si="0"/>
        <v>0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4" x14ac:dyDescent="0.3">
      <c r="A203" s="4" t="e">
        <f>IF('Registro de Contratos'!#REF!="","-",'Registro de Contratos'!#REF!&amp;" - "&amp;'Registro de Contratos'!#REF!&amp;" - "&amp;'Registro de Contratos'!#REF!)</f>
        <v>#REF!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3"/>
      <c r="N203" s="8">
        <f t="shared" si="0"/>
        <v>0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4" x14ac:dyDescent="0.3">
      <c r="A204" s="9" t="e">
        <f>IF('Registro de Contratos'!#REF!="","-",'Registro de Contratos'!#REF!&amp;" - "&amp;'Registro de Contratos'!#REF!&amp;" - "&amp;'Registro de Contratos'!#REF!)</f>
        <v>#REF!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1"/>
      <c r="N204" s="8">
        <f t="shared" si="0"/>
        <v>0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4" x14ac:dyDescent="0.3">
      <c r="A205" s="4" t="e">
        <f>IF('Registro de Contratos'!#REF!="","-",'Registro de Contratos'!#REF!&amp;" - "&amp;'Registro de Contratos'!#REF!&amp;" - "&amp;'Registro de Contratos'!#REF!)</f>
        <v>#REF!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3"/>
      <c r="N205" s="8">
        <f t="shared" si="0"/>
        <v>0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4" x14ac:dyDescent="0.3">
      <c r="A206" s="9" t="e">
        <f>IF('Registro de Contratos'!#REF!="","-",'Registro de Contratos'!#REF!&amp;" - "&amp;'Registro de Contratos'!#REF!&amp;" - "&amp;'Registro de Contratos'!#REF!)</f>
        <v>#REF!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1"/>
      <c r="N206" s="8">
        <f t="shared" si="0"/>
        <v>0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4" x14ac:dyDescent="0.3">
      <c r="A207" s="4" t="e">
        <f>IF('Registro de Contratos'!#REF!="","-",'Registro de Contratos'!#REF!&amp;" - "&amp;'Registro de Contratos'!#REF!&amp;" - "&amp;'Registro de Contratos'!#REF!)</f>
        <v>#REF!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3"/>
      <c r="N207" s="8">
        <f t="shared" si="0"/>
        <v>0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4" x14ac:dyDescent="0.3">
      <c r="A208" s="9" t="e">
        <f>IF('Registro de Contratos'!#REF!="","-",'Registro de Contratos'!#REF!&amp;" - "&amp;'Registro de Contratos'!#REF!&amp;" - "&amp;'Registro de Contratos'!#REF!)</f>
        <v>#REF!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1"/>
      <c r="N208" s="8">
        <f t="shared" si="0"/>
        <v>0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4" x14ac:dyDescent="0.3">
      <c r="A209" s="4" t="e">
        <f>IF('Registro de Contratos'!#REF!="","-",'Registro de Contratos'!#REF!&amp;" - "&amp;'Registro de Contratos'!#REF!&amp;" - "&amp;'Registro de Contratos'!#REF!)</f>
        <v>#REF!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3"/>
      <c r="N209" s="8">
        <f t="shared" si="0"/>
        <v>0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4" x14ac:dyDescent="0.3">
      <c r="A210" s="9" t="e">
        <f>IF('Registro de Contratos'!#REF!="","-",'Registro de Contratos'!#REF!&amp;" - "&amp;'Registro de Contratos'!#REF!&amp;" - "&amp;'Registro de Contratos'!#REF!)</f>
        <v>#REF!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  <c r="N210" s="8">
        <f t="shared" si="0"/>
        <v>0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4" x14ac:dyDescent="0.3">
      <c r="A211" s="4" t="e">
        <f>IF('Registro de Contratos'!#REF!="","-",'Registro de Contratos'!#REF!&amp;" - "&amp;'Registro de Contratos'!#REF!&amp;" - "&amp;'Registro de Contratos'!#REF!)</f>
        <v>#REF!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3"/>
      <c r="N211" s="8">
        <f t="shared" si="0"/>
        <v>0</v>
      </c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4" x14ac:dyDescent="0.3">
      <c r="A212" s="9" t="e">
        <f>IF('Registro de Contratos'!#REF!="","-",'Registro de Contratos'!#REF!&amp;" - "&amp;'Registro de Contratos'!#REF!&amp;" - "&amp;'Registro de Contratos'!#REF!)</f>
        <v>#REF!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1"/>
      <c r="N212" s="8">
        <f t="shared" si="0"/>
        <v>0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4" x14ac:dyDescent="0.3">
      <c r="A213" s="4" t="e">
        <f>IF('Registro de Contratos'!#REF!="","-",'Registro de Contratos'!#REF!&amp;" - "&amp;'Registro de Contratos'!#REF!&amp;" - "&amp;'Registro de Contratos'!#REF!)</f>
        <v>#REF!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3"/>
      <c r="N213" s="8">
        <f t="shared" si="0"/>
        <v>0</v>
      </c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4" x14ac:dyDescent="0.3">
      <c r="A214" s="9" t="e">
        <f>IF('Registro de Contratos'!#REF!="","-",'Registro de Contratos'!#REF!&amp;" - "&amp;'Registro de Contratos'!#REF!&amp;" - "&amp;'Registro de Contratos'!#REF!)</f>
        <v>#REF!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1"/>
      <c r="N214" s="8">
        <f t="shared" si="0"/>
        <v>0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4" x14ac:dyDescent="0.3">
      <c r="A215" s="4" t="e">
        <f>IF('Registro de Contratos'!#REF!="","-",'Registro de Contratos'!#REF!&amp;" - "&amp;'Registro de Contratos'!#REF!&amp;" - "&amp;'Registro de Contratos'!#REF!)</f>
        <v>#REF!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3"/>
      <c r="N215" s="8">
        <f t="shared" si="0"/>
        <v>0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4" x14ac:dyDescent="0.3">
      <c r="A216" s="9" t="e">
        <f>IF('Registro de Contratos'!#REF!="","-",'Registro de Contratos'!#REF!&amp;" - "&amp;'Registro de Contratos'!#REF!&amp;" - "&amp;'Registro de Contratos'!#REF!)</f>
        <v>#REF!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1"/>
      <c r="N216" s="8">
        <f t="shared" si="0"/>
        <v>0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4" x14ac:dyDescent="0.3">
      <c r="A217" s="4" t="e">
        <f>IF('Registro de Contratos'!#REF!="","-",'Registro de Contratos'!#REF!&amp;" - "&amp;'Registro de Contratos'!#REF!&amp;" - "&amp;'Registro de Contratos'!#REF!)</f>
        <v>#REF!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3"/>
      <c r="N217" s="8">
        <f t="shared" si="0"/>
        <v>0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4" x14ac:dyDescent="0.3">
      <c r="A218" s="9" t="e">
        <f>IF('Registro de Contratos'!#REF!="","-",'Registro de Contratos'!#REF!&amp;" - "&amp;'Registro de Contratos'!#REF!&amp;" - "&amp;'Registro de Contratos'!#REF!)</f>
        <v>#REF!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1"/>
      <c r="N218" s="8">
        <f t="shared" si="0"/>
        <v>0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4" x14ac:dyDescent="0.3">
      <c r="A219" s="4" t="e">
        <f>IF('Registro de Contratos'!#REF!="","-",'Registro de Contratos'!#REF!&amp;" - "&amp;'Registro de Contratos'!#REF!&amp;" - "&amp;'Registro de Contratos'!#REF!)</f>
        <v>#REF!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3"/>
      <c r="N219" s="8">
        <f t="shared" si="0"/>
        <v>0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4" x14ac:dyDescent="0.3">
      <c r="A220" s="9" t="e">
        <f>IF('Registro de Contratos'!#REF!="","-",'Registro de Contratos'!#REF!&amp;" - "&amp;'Registro de Contratos'!#REF!&amp;" - "&amp;'Registro de Contratos'!#REF!)</f>
        <v>#REF!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1"/>
      <c r="N220" s="8">
        <f t="shared" si="0"/>
        <v>0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4" x14ac:dyDescent="0.3">
      <c r="A221" s="4" t="e">
        <f>IF('Registro de Contratos'!#REF!="","-",'Registro de Contratos'!#REF!&amp;" - "&amp;'Registro de Contratos'!#REF!&amp;" - "&amp;'Registro de Contratos'!#REF!)</f>
        <v>#REF!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3"/>
      <c r="N221" s="8">
        <f t="shared" si="0"/>
        <v>0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4" x14ac:dyDescent="0.3">
      <c r="A222" s="9" t="e">
        <f>IF('Registro de Contratos'!#REF!="","-",'Registro de Contratos'!#REF!&amp;" - "&amp;'Registro de Contratos'!#REF!&amp;" - "&amp;'Registro de Contratos'!#REF!)</f>
        <v>#REF!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  <c r="N222" s="8">
        <f t="shared" si="0"/>
        <v>0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4" x14ac:dyDescent="0.3">
      <c r="A223" s="4" t="e">
        <f>IF('Registro de Contratos'!#REF!="","-",'Registro de Contratos'!#REF!&amp;" - "&amp;'Registro de Contratos'!#REF!&amp;" - "&amp;'Registro de Contratos'!#REF!)</f>
        <v>#REF!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3"/>
      <c r="N223" s="8">
        <f t="shared" si="0"/>
        <v>0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4" x14ac:dyDescent="0.3">
      <c r="A224" s="9" t="e">
        <f>IF('Registro de Contratos'!#REF!="","-",'Registro de Contratos'!#REF!&amp;" - "&amp;'Registro de Contratos'!#REF!&amp;" - "&amp;'Registro de Contratos'!#REF!)</f>
        <v>#REF!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1"/>
      <c r="N224" s="8">
        <f t="shared" si="0"/>
        <v>0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4" x14ac:dyDescent="0.3">
      <c r="A225" s="4" t="e">
        <f>IF('Registro de Contratos'!#REF!="","-",'Registro de Contratos'!#REF!&amp;" - "&amp;'Registro de Contratos'!#REF!&amp;" - "&amp;'Registro de Contratos'!#REF!)</f>
        <v>#REF!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3"/>
      <c r="N225" s="8">
        <f t="shared" si="0"/>
        <v>0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4" x14ac:dyDescent="0.3">
      <c r="A226" s="9" t="e">
        <f>IF('Registro de Contratos'!#REF!="","-",'Registro de Contratos'!#REF!&amp;" - "&amp;'Registro de Contratos'!#REF!&amp;" - "&amp;'Registro de Contratos'!#REF!)</f>
        <v>#REF!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1"/>
      <c r="N226" s="8">
        <f t="shared" si="0"/>
        <v>0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4" x14ac:dyDescent="0.3">
      <c r="A227" s="4" t="e">
        <f>IF('Registro de Contratos'!#REF!="","-",'Registro de Contratos'!#REF!&amp;" - "&amp;'Registro de Contratos'!#REF!&amp;" - "&amp;'Registro de Contratos'!#REF!)</f>
        <v>#REF!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3"/>
      <c r="N227" s="8">
        <f t="shared" si="0"/>
        <v>0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4" x14ac:dyDescent="0.3">
      <c r="A228" s="9" t="e">
        <f>IF('Registro de Contratos'!#REF!="","-",'Registro de Contratos'!#REF!&amp;" - "&amp;'Registro de Contratos'!#REF!&amp;" - "&amp;'Registro de Contratos'!#REF!)</f>
        <v>#REF!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1"/>
      <c r="N228" s="8">
        <f t="shared" si="0"/>
        <v>0</v>
      </c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4" x14ac:dyDescent="0.3">
      <c r="A229" s="4" t="e">
        <f>IF('Registro de Contratos'!#REF!="","-",'Registro de Contratos'!#REF!&amp;" - "&amp;'Registro de Contratos'!#REF!&amp;" - "&amp;'Registro de Contratos'!#REF!)</f>
        <v>#REF!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3"/>
      <c r="N229" s="8">
        <f t="shared" si="0"/>
        <v>0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4" x14ac:dyDescent="0.3">
      <c r="A230" s="9" t="e">
        <f>IF('Registro de Contratos'!#REF!="","-",'Registro de Contratos'!#REF!&amp;" - "&amp;'Registro de Contratos'!#REF!&amp;" - "&amp;'Registro de Contratos'!#REF!)</f>
        <v>#REF!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  <c r="N230" s="8">
        <f t="shared" si="0"/>
        <v>0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4" x14ac:dyDescent="0.3">
      <c r="A231" s="4" t="e">
        <f>IF('Registro de Contratos'!#REF!="","-",'Registro de Contratos'!#REF!&amp;" - "&amp;'Registro de Contratos'!#REF!&amp;" - "&amp;'Registro de Contratos'!#REF!)</f>
        <v>#REF!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3"/>
      <c r="N231" s="8">
        <f t="shared" si="0"/>
        <v>0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4" x14ac:dyDescent="0.3">
      <c r="A232" s="9" t="e">
        <f>IF('Registro de Contratos'!#REF!="","-",'Registro de Contratos'!#REF!&amp;" - "&amp;'Registro de Contratos'!#REF!&amp;" - "&amp;'Registro de Contratos'!#REF!)</f>
        <v>#REF!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  <c r="N232" s="8">
        <f t="shared" si="0"/>
        <v>0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4" x14ac:dyDescent="0.3">
      <c r="A233" s="4" t="e">
        <f>IF('Registro de Contratos'!#REF!="","-",'Registro de Contratos'!#REF!&amp;" - "&amp;'Registro de Contratos'!#REF!&amp;" - "&amp;'Registro de Contratos'!#REF!)</f>
        <v>#REF!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3"/>
      <c r="N233" s="8">
        <f t="shared" si="0"/>
        <v>0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4" x14ac:dyDescent="0.3">
      <c r="A234" s="9" t="e">
        <f>IF('Registro de Contratos'!#REF!="","-",'Registro de Contratos'!#REF!&amp;" - "&amp;'Registro de Contratos'!#REF!&amp;" - "&amp;'Registro de Contratos'!#REF!)</f>
        <v>#REF!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1"/>
      <c r="N234" s="8">
        <f t="shared" si="0"/>
        <v>0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4" x14ac:dyDescent="0.3">
      <c r="A235" s="4" t="e">
        <f>IF('Registro de Contratos'!#REF!="","-",'Registro de Contratos'!#REF!&amp;" - "&amp;'Registro de Contratos'!#REF!&amp;" - "&amp;'Registro de Contratos'!#REF!)</f>
        <v>#REF!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3"/>
      <c r="N235" s="8">
        <f t="shared" si="0"/>
        <v>0</v>
      </c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4" x14ac:dyDescent="0.3">
      <c r="A236" s="9" t="e">
        <f>IF('Registro de Contratos'!#REF!="","-",'Registro de Contratos'!#REF!&amp;" - "&amp;'Registro de Contratos'!#REF!&amp;" - "&amp;'Registro de Contratos'!#REF!)</f>
        <v>#REF!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1"/>
      <c r="N236" s="8">
        <f t="shared" si="0"/>
        <v>0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4" x14ac:dyDescent="0.3">
      <c r="A237" s="4" t="e">
        <f>IF('Registro de Contratos'!#REF!="","-",'Registro de Contratos'!#REF!&amp;" - "&amp;'Registro de Contratos'!#REF!&amp;" - "&amp;'Registro de Contratos'!#REF!)</f>
        <v>#REF!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3"/>
      <c r="N237" s="8">
        <f t="shared" si="0"/>
        <v>0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4" x14ac:dyDescent="0.3">
      <c r="A238" s="9" t="e">
        <f>IF('Registro de Contratos'!#REF!="","-",'Registro de Contratos'!#REF!&amp;" - "&amp;'Registro de Contratos'!#REF!&amp;" - "&amp;'Registro de Contratos'!#REF!)</f>
        <v>#REF!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1"/>
      <c r="N238" s="8">
        <f t="shared" si="0"/>
        <v>0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4" x14ac:dyDescent="0.3">
      <c r="A239" s="4" t="e">
        <f>IF('Registro de Contratos'!#REF!="","-",'Registro de Contratos'!#REF!&amp;" - "&amp;'Registro de Contratos'!#REF!&amp;" - "&amp;'Registro de Contratos'!#REF!)</f>
        <v>#REF!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3"/>
      <c r="N239" s="8">
        <f t="shared" si="0"/>
        <v>0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4" x14ac:dyDescent="0.3">
      <c r="A240" s="9" t="e">
        <f>IF('Registro de Contratos'!#REF!="","-",'Registro de Contratos'!#REF!&amp;" - "&amp;'Registro de Contratos'!#REF!&amp;" - "&amp;'Registro de Contratos'!#REF!)</f>
        <v>#REF!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1"/>
      <c r="N240" s="8">
        <f t="shared" si="0"/>
        <v>0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4" x14ac:dyDescent="0.3">
      <c r="A241" s="4" t="e">
        <f>IF('Registro de Contratos'!#REF!="","-",'Registro de Contratos'!#REF!&amp;" - "&amp;'Registro de Contratos'!#REF!&amp;" - "&amp;'Registro de Contratos'!#REF!)</f>
        <v>#REF!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3"/>
      <c r="N241" s="8">
        <f t="shared" si="0"/>
        <v>0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4" x14ac:dyDescent="0.3">
      <c r="A242" s="9" t="e">
        <f>IF('Registro de Contratos'!#REF!="","-",'Registro de Contratos'!#REF!&amp;" - "&amp;'Registro de Contratos'!#REF!&amp;" - "&amp;'Registro de Contratos'!#REF!)</f>
        <v>#REF!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1"/>
      <c r="N242" s="8">
        <f t="shared" si="0"/>
        <v>0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4" x14ac:dyDescent="0.3">
      <c r="A243" s="4" t="e">
        <f>IF('Registro de Contratos'!#REF!="","-",'Registro de Contratos'!#REF!&amp;" - "&amp;'Registro de Contratos'!#REF!&amp;" - "&amp;'Registro de Contratos'!#REF!)</f>
        <v>#REF!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3"/>
      <c r="N243" s="8">
        <f t="shared" si="0"/>
        <v>0</v>
      </c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4" x14ac:dyDescent="0.3">
      <c r="A244" s="9" t="e">
        <f>IF('Registro de Contratos'!#REF!="","-",'Registro de Contratos'!#REF!&amp;" - "&amp;'Registro de Contratos'!#REF!&amp;" - "&amp;'Registro de Contratos'!#REF!)</f>
        <v>#REF!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1"/>
      <c r="N244" s="8">
        <f t="shared" si="0"/>
        <v>0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4" x14ac:dyDescent="0.3">
      <c r="A245" s="4" t="e">
        <f>IF('Registro de Contratos'!#REF!="","-",'Registro de Contratos'!#REF!&amp;" - "&amp;'Registro de Contratos'!#REF!&amp;" - "&amp;'Registro de Contratos'!#REF!)</f>
        <v>#REF!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3"/>
      <c r="N245" s="8">
        <f t="shared" si="0"/>
        <v>0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4" x14ac:dyDescent="0.3">
      <c r="A246" s="9" t="e">
        <f>IF('Registro de Contratos'!#REF!="","-",'Registro de Contratos'!#REF!&amp;" - "&amp;'Registro de Contratos'!#REF!&amp;" - "&amp;'Registro de Contratos'!#REF!)</f>
        <v>#REF!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1"/>
      <c r="N246" s="8">
        <f t="shared" si="0"/>
        <v>0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4" x14ac:dyDescent="0.3">
      <c r="A247" s="4" t="e">
        <f>IF('Registro de Contratos'!#REF!="","-",'Registro de Contratos'!#REF!&amp;" - "&amp;'Registro de Contratos'!#REF!&amp;" - "&amp;'Registro de Contratos'!#REF!)</f>
        <v>#REF!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3"/>
      <c r="N247" s="8">
        <f t="shared" si="0"/>
        <v>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4" x14ac:dyDescent="0.3">
      <c r="A248" s="9" t="e">
        <f>IF('Registro de Contratos'!#REF!="","-",'Registro de Contratos'!#REF!&amp;" - "&amp;'Registro de Contratos'!#REF!&amp;" - "&amp;'Registro de Contratos'!#REF!)</f>
        <v>#REF!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1"/>
      <c r="N248" s="8">
        <f t="shared" si="0"/>
        <v>0</v>
      </c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4" x14ac:dyDescent="0.3">
      <c r="A249" s="4" t="e">
        <f>IF('Registro de Contratos'!#REF!="","-",'Registro de Contratos'!#REF!&amp;" - "&amp;'Registro de Contratos'!#REF!&amp;" - "&amp;'Registro de Contratos'!#REF!)</f>
        <v>#REF!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3"/>
      <c r="N249" s="8">
        <f t="shared" si="0"/>
        <v>0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4" x14ac:dyDescent="0.3">
      <c r="A250" s="9" t="e">
        <f>IF('Registro de Contratos'!#REF!="","-",'Registro de Contratos'!#REF!&amp;" - "&amp;'Registro de Contratos'!#REF!&amp;" - "&amp;'Registro de Contratos'!#REF!)</f>
        <v>#REF!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1"/>
      <c r="N250" s="8">
        <f t="shared" si="0"/>
        <v>0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4" x14ac:dyDescent="0.3">
      <c r="A251" s="4" t="e">
        <f>IF('Registro de Contratos'!#REF!="","-",'Registro de Contratos'!#REF!&amp;" - "&amp;'Registro de Contratos'!#REF!&amp;" - "&amp;'Registro de Contratos'!#REF!)</f>
        <v>#REF!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3"/>
      <c r="N251" s="8">
        <f t="shared" si="0"/>
        <v>0</v>
      </c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4" x14ac:dyDescent="0.3">
      <c r="A252" s="9" t="e">
        <f>IF('Registro de Contratos'!#REF!="","-",'Registro de Contratos'!#REF!&amp;" - "&amp;'Registro de Contratos'!#REF!&amp;" - "&amp;'Registro de Contratos'!#REF!)</f>
        <v>#REF!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1"/>
      <c r="N252" s="8">
        <f t="shared" si="0"/>
        <v>0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4" x14ac:dyDescent="0.3">
      <c r="A253" s="4" t="e">
        <f>IF('Registro de Contratos'!#REF!="","-",'Registro de Contratos'!#REF!&amp;" - "&amp;'Registro de Contratos'!#REF!&amp;" - "&amp;'Registro de Contratos'!#REF!)</f>
        <v>#REF!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3"/>
      <c r="N253" s="8">
        <f t="shared" si="0"/>
        <v>0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4" x14ac:dyDescent="0.3">
      <c r="A254" s="9" t="e">
        <f>IF('Registro de Contratos'!#REF!="","-",'Registro de Contratos'!#REF!&amp;" - "&amp;'Registro de Contratos'!#REF!&amp;" - "&amp;'Registro de Contratos'!#REF!)</f>
        <v>#REF!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  <c r="N254" s="8">
        <f t="shared" si="0"/>
        <v>0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4" x14ac:dyDescent="0.3">
      <c r="A255" s="4" t="e">
        <f>IF('Registro de Contratos'!#REF!="","-",'Registro de Contratos'!#REF!&amp;" - "&amp;'Registro de Contratos'!#REF!&amp;" - "&amp;'Registro de Contratos'!#REF!)</f>
        <v>#REF!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3"/>
      <c r="N255" s="8">
        <f t="shared" si="0"/>
        <v>0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4" x14ac:dyDescent="0.3">
      <c r="A256" s="9" t="e">
        <f>IF('Registro de Contratos'!#REF!="","-",'Registro de Contratos'!#REF!&amp;" - "&amp;'Registro de Contratos'!#REF!&amp;" - "&amp;'Registro de Contratos'!#REF!)</f>
        <v>#REF!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1"/>
      <c r="N256" s="8">
        <f t="shared" si="0"/>
        <v>0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4" x14ac:dyDescent="0.3">
      <c r="A257" s="4" t="e">
        <f>IF('Registro de Contratos'!#REF!="","-",'Registro de Contratos'!#REF!&amp;" - "&amp;'Registro de Contratos'!#REF!&amp;" - "&amp;'Registro de Contratos'!#REF!)</f>
        <v>#REF!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3"/>
      <c r="N257" s="8">
        <f t="shared" si="0"/>
        <v>0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4" x14ac:dyDescent="0.3">
      <c r="A258" s="9" t="e">
        <f>IF('Registro de Contratos'!#REF!="","-",'Registro de Contratos'!#REF!&amp;" - "&amp;'Registro de Contratos'!#REF!&amp;" - "&amp;'Registro de Contratos'!#REF!)</f>
        <v>#REF!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1"/>
      <c r="N258" s="8">
        <f t="shared" si="0"/>
        <v>0</v>
      </c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4" x14ac:dyDescent="0.3">
      <c r="A259" s="4" t="e">
        <f>IF('Registro de Contratos'!#REF!="","-",'Registro de Contratos'!#REF!&amp;" - "&amp;'Registro de Contratos'!#REF!&amp;" - "&amp;'Registro de Contratos'!#REF!)</f>
        <v>#REF!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3"/>
      <c r="N259" s="8">
        <f t="shared" si="0"/>
        <v>0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4" x14ac:dyDescent="0.3">
      <c r="A260" s="9" t="e">
        <f>IF('Registro de Contratos'!#REF!="","-",'Registro de Contratos'!#REF!&amp;" - "&amp;'Registro de Contratos'!#REF!&amp;" - "&amp;'Registro de Contratos'!#REF!)</f>
        <v>#REF!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1"/>
      <c r="N260" s="8">
        <f t="shared" ref="N260:N514" si="1">SUM(B260:M260)</f>
        <v>0</v>
      </c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4" x14ac:dyDescent="0.3">
      <c r="A261" s="4" t="e">
        <f>IF('Registro de Contratos'!#REF!="","-",'Registro de Contratos'!#REF!&amp;" - "&amp;'Registro de Contratos'!#REF!&amp;" - "&amp;'Registro de Contratos'!#REF!)</f>
        <v>#REF!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3"/>
      <c r="N261" s="8">
        <f t="shared" si="1"/>
        <v>0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4" x14ac:dyDescent="0.3">
      <c r="A262" s="9" t="e">
        <f>IF('Registro de Contratos'!#REF!="","-",'Registro de Contratos'!#REF!&amp;" - "&amp;'Registro de Contratos'!#REF!&amp;" - "&amp;'Registro de Contratos'!#REF!)</f>
        <v>#REF!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1"/>
      <c r="N262" s="8">
        <f t="shared" si="1"/>
        <v>0</v>
      </c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4" x14ac:dyDescent="0.3">
      <c r="A263" s="4" t="e">
        <f>IF('Registro de Contratos'!#REF!="","-",'Registro de Contratos'!#REF!&amp;" - "&amp;'Registro de Contratos'!#REF!&amp;" - "&amp;'Registro de Contratos'!#REF!)</f>
        <v>#REF!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3"/>
      <c r="N263" s="8">
        <f t="shared" si="1"/>
        <v>0</v>
      </c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4" x14ac:dyDescent="0.3">
      <c r="A264" s="9" t="e">
        <f>IF('Registro de Contratos'!#REF!="","-",'Registro de Contratos'!#REF!&amp;" - "&amp;'Registro de Contratos'!#REF!&amp;" - "&amp;'Registro de Contratos'!#REF!)</f>
        <v>#REF!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1"/>
      <c r="N264" s="8">
        <f t="shared" si="1"/>
        <v>0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4" x14ac:dyDescent="0.3">
      <c r="A265" s="4" t="e">
        <f>IF('Registro de Contratos'!#REF!="","-",'Registro de Contratos'!#REF!&amp;" - "&amp;'Registro de Contratos'!#REF!&amp;" - "&amp;'Registro de Contratos'!#REF!)</f>
        <v>#REF!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3"/>
      <c r="N265" s="8">
        <f t="shared" si="1"/>
        <v>0</v>
      </c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4" x14ac:dyDescent="0.3">
      <c r="A266" s="9" t="e">
        <f>IF('Registro de Contratos'!#REF!="","-",'Registro de Contratos'!#REF!&amp;" - "&amp;'Registro de Contratos'!#REF!&amp;" - "&amp;'Registro de Contratos'!#REF!)</f>
        <v>#REF!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1"/>
      <c r="N266" s="8">
        <f t="shared" si="1"/>
        <v>0</v>
      </c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4" x14ac:dyDescent="0.3">
      <c r="A267" s="4" t="e">
        <f>IF('Registro de Contratos'!#REF!="","-",'Registro de Contratos'!#REF!&amp;" - "&amp;'Registro de Contratos'!#REF!&amp;" - "&amp;'Registro de Contratos'!#REF!)</f>
        <v>#REF!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3"/>
      <c r="N267" s="8">
        <f t="shared" si="1"/>
        <v>0</v>
      </c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4" x14ac:dyDescent="0.3">
      <c r="A268" s="9" t="e">
        <f>IF('Registro de Contratos'!#REF!="","-",'Registro de Contratos'!#REF!&amp;" - "&amp;'Registro de Contratos'!#REF!&amp;" - "&amp;'Registro de Contratos'!#REF!)</f>
        <v>#REF!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1"/>
      <c r="N268" s="8">
        <f t="shared" si="1"/>
        <v>0</v>
      </c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4" x14ac:dyDescent="0.3">
      <c r="A269" s="4" t="e">
        <f>IF('Registro de Contratos'!#REF!="","-",'Registro de Contratos'!#REF!&amp;" - "&amp;'Registro de Contratos'!#REF!&amp;" - "&amp;'Registro de Contratos'!#REF!)</f>
        <v>#REF!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"/>
      <c r="N269" s="8">
        <f t="shared" si="1"/>
        <v>0</v>
      </c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4" x14ac:dyDescent="0.3">
      <c r="A270" s="9" t="e">
        <f>IF('Registro de Contratos'!#REF!="","-",'Registro de Contratos'!#REF!&amp;" - "&amp;'Registro de Contratos'!#REF!&amp;" - "&amp;'Registro de Contratos'!#REF!)</f>
        <v>#REF!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1"/>
      <c r="N270" s="8">
        <f t="shared" si="1"/>
        <v>0</v>
      </c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4" x14ac:dyDescent="0.3">
      <c r="A271" s="4" t="e">
        <f>IF('Registro de Contratos'!#REF!="","-",'Registro de Contratos'!#REF!&amp;" - "&amp;'Registro de Contratos'!#REF!&amp;" - "&amp;'Registro de Contratos'!#REF!)</f>
        <v>#REF!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3"/>
      <c r="N271" s="8">
        <f t="shared" si="1"/>
        <v>0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4" x14ac:dyDescent="0.3">
      <c r="A272" s="9" t="e">
        <f>IF('Registro de Contratos'!#REF!="","-",'Registro de Contratos'!#REF!&amp;" - "&amp;'Registro de Contratos'!#REF!&amp;" - "&amp;'Registro de Contratos'!#REF!)</f>
        <v>#REF!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1"/>
      <c r="N272" s="8">
        <f t="shared" si="1"/>
        <v>0</v>
      </c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4" x14ac:dyDescent="0.3">
      <c r="A273" s="4" t="e">
        <f>IF('Registro de Contratos'!#REF!="","-",'Registro de Contratos'!#REF!&amp;" - "&amp;'Registro de Contratos'!#REF!&amp;" - "&amp;'Registro de Contratos'!#REF!)</f>
        <v>#REF!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3"/>
      <c r="N273" s="8">
        <f t="shared" si="1"/>
        <v>0</v>
      </c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4" x14ac:dyDescent="0.3">
      <c r="A274" s="9" t="e">
        <f>IF('Registro de Contratos'!#REF!="","-",'Registro de Contratos'!#REF!&amp;" - "&amp;'Registro de Contratos'!#REF!&amp;" - "&amp;'Registro de Contratos'!#REF!)</f>
        <v>#REF!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1"/>
      <c r="N274" s="8">
        <f t="shared" si="1"/>
        <v>0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4" x14ac:dyDescent="0.3">
      <c r="A275" s="4" t="e">
        <f>IF('Registro de Contratos'!#REF!="","-",'Registro de Contratos'!#REF!&amp;" - "&amp;'Registro de Contratos'!#REF!&amp;" - "&amp;'Registro de Contratos'!#REF!)</f>
        <v>#REF!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3"/>
      <c r="N275" s="8">
        <f t="shared" si="1"/>
        <v>0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4" x14ac:dyDescent="0.3">
      <c r="A276" s="9" t="e">
        <f>IF('Registro de Contratos'!#REF!="","-",'Registro de Contratos'!#REF!&amp;" - "&amp;'Registro de Contratos'!#REF!&amp;" - "&amp;'Registro de Contratos'!#REF!)</f>
        <v>#REF!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  <c r="N276" s="8">
        <f t="shared" si="1"/>
        <v>0</v>
      </c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4" x14ac:dyDescent="0.3">
      <c r="A277" s="4" t="e">
        <f>IF('Registro de Contratos'!#REF!="","-",'Registro de Contratos'!#REF!&amp;" - "&amp;'Registro de Contratos'!#REF!&amp;" - "&amp;'Registro de Contratos'!#REF!)</f>
        <v>#REF!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3"/>
      <c r="N277" s="8">
        <f t="shared" si="1"/>
        <v>0</v>
      </c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4" x14ac:dyDescent="0.3">
      <c r="A278" s="9" t="e">
        <f>IF('Registro de Contratos'!#REF!="","-",'Registro de Contratos'!#REF!&amp;" - "&amp;'Registro de Contratos'!#REF!&amp;" - "&amp;'Registro de Contratos'!#REF!)</f>
        <v>#REF!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1"/>
      <c r="N278" s="8">
        <f t="shared" si="1"/>
        <v>0</v>
      </c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4" x14ac:dyDescent="0.3">
      <c r="A279" s="4" t="e">
        <f>IF('Registro de Contratos'!#REF!="","-",'Registro de Contratos'!#REF!&amp;" - "&amp;'Registro de Contratos'!#REF!&amp;" - "&amp;'Registro de Contratos'!#REF!)</f>
        <v>#REF!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3"/>
      <c r="N279" s="8">
        <f t="shared" si="1"/>
        <v>0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4" x14ac:dyDescent="0.3">
      <c r="A280" s="9" t="e">
        <f>IF('Registro de Contratos'!#REF!="","-",'Registro de Contratos'!#REF!&amp;" - "&amp;'Registro de Contratos'!#REF!&amp;" - "&amp;'Registro de Contratos'!#REF!)</f>
        <v>#REF!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1"/>
      <c r="N280" s="8">
        <f t="shared" si="1"/>
        <v>0</v>
      </c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4" x14ac:dyDescent="0.3">
      <c r="A281" s="4" t="e">
        <f>IF('Registro de Contratos'!#REF!="","-",'Registro de Contratos'!#REF!&amp;" - "&amp;'Registro de Contratos'!#REF!&amp;" - "&amp;'Registro de Contratos'!#REF!)</f>
        <v>#REF!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3"/>
      <c r="N281" s="8">
        <f t="shared" si="1"/>
        <v>0</v>
      </c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4" x14ac:dyDescent="0.3">
      <c r="A282" s="9" t="e">
        <f>IF('Registro de Contratos'!#REF!="","-",'Registro de Contratos'!#REF!&amp;" - "&amp;'Registro de Contratos'!#REF!&amp;" - "&amp;'Registro de Contratos'!#REF!)</f>
        <v>#REF!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1"/>
      <c r="N282" s="8">
        <f t="shared" si="1"/>
        <v>0</v>
      </c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4" x14ac:dyDescent="0.3">
      <c r="A283" s="4" t="e">
        <f>IF('Registro de Contratos'!#REF!="","-",'Registro de Contratos'!#REF!&amp;" - "&amp;'Registro de Contratos'!#REF!&amp;" - "&amp;'Registro de Contratos'!#REF!)</f>
        <v>#REF!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3"/>
      <c r="N283" s="8">
        <f t="shared" si="1"/>
        <v>0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4" x14ac:dyDescent="0.3">
      <c r="A284" s="9" t="e">
        <f>IF('Registro de Contratos'!#REF!="","-",'Registro de Contratos'!#REF!&amp;" - "&amp;'Registro de Contratos'!#REF!&amp;" - "&amp;'Registro de Contratos'!#REF!)</f>
        <v>#REF!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1"/>
      <c r="N284" s="8">
        <f t="shared" si="1"/>
        <v>0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4" x14ac:dyDescent="0.3">
      <c r="A285" s="4" t="e">
        <f>IF('Registro de Contratos'!#REF!="","-",'Registro de Contratos'!#REF!&amp;" - "&amp;'Registro de Contratos'!#REF!&amp;" - "&amp;'Registro de Contratos'!#REF!)</f>
        <v>#REF!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3"/>
      <c r="N285" s="8">
        <f t="shared" si="1"/>
        <v>0</v>
      </c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4" x14ac:dyDescent="0.3">
      <c r="A286" s="9" t="e">
        <f>IF('Registro de Contratos'!#REF!="","-",'Registro de Contratos'!#REF!&amp;" - "&amp;'Registro de Contratos'!#REF!&amp;" - "&amp;'Registro de Contratos'!#REF!)</f>
        <v>#REF!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1"/>
      <c r="N286" s="8">
        <f t="shared" si="1"/>
        <v>0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4" x14ac:dyDescent="0.3">
      <c r="A287" s="4" t="e">
        <f>IF('Registro de Contratos'!#REF!="","-",'Registro de Contratos'!#REF!&amp;" - "&amp;'Registro de Contratos'!#REF!&amp;" - "&amp;'Registro de Contratos'!#REF!)</f>
        <v>#REF!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3"/>
      <c r="N287" s="8">
        <f t="shared" si="1"/>
        <v>0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4" x14ac:dyDescent="0.3">
      <c r="A288" s="9" t="e">
        <f>IF('Registro de Contratos'!#REF!="","-",'Registro de Contratos'!#REF!&amp;" - "&amp;'Registro de Contratos'!#REF!&amp;" - "&amp;'Registro de Contratos'!#REF!)</f>
        <v>#REF!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1"/>
      <c r="N288" s="8">
        <f t="shared" si="1"/>
        <v>0</v>
      </c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4" x14ac:dyDescent="0.3">
      <c r="A289" s="4" t="e">
        <f>IF('Registro de Contratos'!#REF!="","-",'Registro de Contratos'!#REF!&amp;" - "&amp;'Registro de Contratos'!#REF!&amp;" - "&amp;'Registro de Contratos'!#REF!)</f>
        <v>#REF!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3"/>
      <c r="N289" s="8">
        <f t="shared" si="1"/>
        <v>0</v>
      </c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4" x14ac:dyDescent="0.3">
      <c r="A290" s="9" t="e">
        <f>IF('Registro de Contratos'!#REF!="","-",'Registro de Contratos'!#REF!&amp;" - "&amp;'Registro de Contratos'!#REF!&amp;" - "&amp;'Registro de Contratos'!#REF!)</f>
        <v>#REF!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1"/>
      <c r="N290" s="8">
        <f t="shared" si="1"/>
        <v>0</v>
      </c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4" x14ac:dyDescent="0.3">
      <c r="A291" s="4" t="e">
        <f>IF('Registro de Contratos'!#REF!="","-",'Registro de Contratos'!#REF!&amp;" - "&amp;'Registro de Contratos'!#REF!&amp;" - "&amp;'Registro de Contratos'!#REF!)</f>
        <v>#REF!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3"/>
      <c r="N291" s="8">
        <f t="shared" si="1"/>
        <v>0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4" x14ac:dyDescent="0.3">
      <c r="A292" s="9" t="e">
        <f>IF('Registro de Contratos'!#REF!="","-",'Registro de Contratos'!#REF!&amp;" - "&amp;'Registro de Contratos'!#REF!&amp;" - "&amp;'Registro de Contratos'!#REF!)</f>
        <v>#REF!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1"/>
      <c r="N292" s="8">
        <f t="shared" si="1"/>
        <v>0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4" x14ac:dyDescent="0.3">
      <c r="A293" s="4" t="e">
        <f>IF('Registro de Contratos'!#REF!="","-",'Registro de Contratos'!#REF!&amp;" - "&amp;'Registro de Contratos'!#REF!&amp;" - "&amp;'Registro de Contratos'!#REF!)</f>
        <v>#REF!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3"/>
      <c r="N293" s="8">
        <f t="shared" si="1"/>
        <v>0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4" x14ac:dyDescent="0.3">
      <c r="A294" s="9" t="e">
        <f>IF('Registro de Contratos'!#REF!="","-",'Registro de Contratos'!#REF!&amp;" - "&amp;'Registro de Contratos'!#REF!&amp;" - "&amp;'Registro de Contratos'!#REF!)</f>
        <v>#REF!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1"/>
      <c r="N294" s="8">
        <f t="shared" si="1"/>
        <v>0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4" x14ac:dyDescent="0.3">
      <c r="A295" s="4" t="e">
        <f>IF('Registro de Contratos'!#REF!="","-",'Registro de Contratos'!#REF!&amp;" - "&amp;'Registro de Contratos'!#REF!&amp;" - "&amp;'Registro de Contratos'!#REF!)</f>
        <v>#REF!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3"/>
      <c r="N295" s="8">
        <f t="shared" si="1"/>
        <v>0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4" x14ac:dyDescent="0.3">
      <c r="A296" s="9" t="e">
        <f>IF('Registro de Contratos'!#REF!="","-",'Registro de Contratos'!#REF!&amp;" - "&amp;'Registro de Contratos'!#REF!&amp;" - "&amp;'Registro de Contratos'!#REF!)</f>
        <v>#REF!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1"/>
      <c r="N296" s="8">
        <f t="shared" si="1"/>
        <v>0</v>
      </c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4" x14ac:dyDescent="0.3">
      <c r="A297" s="4" t="e">
        <f>IF('Registro de Contratos'!#REF!="","-",'Registro de Contratos'!#REF!&amp;" - "&amp;'Registro de Contratos'!#REF!&amp;" - "&amp;'Registro de Contratos'!#REF!)</f>
        <v>#REF!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3"/>
      <c r="N297" s="8">
        <f t="shared" si="1"/>
        <v>0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4" x14ac:dyDescent="0.3">
      <c r="A298" s="9" t="e">
        <f>IF('Registro de Contratos'!#REF!="","-",'Registro de Contratos'!#REF!&amp;" - "&amp;'Registro de Contratos'!#REF!&amp;" - "&amp;'Registro de Contratos'!#REF!)</f>
        <v>#REF!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  <c r="N298" s="8">
        <f t="shared" si="1"/>
        <v>0</v>
      </c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4" x14ac:dyDescent="0.3">
      <c r="A299" s="4" t="e">
        <f>IF('Registro de Contratos'!#REF!="","-",'Registro de Contratos'!#REF!&amp;" - "&amp;'Registro de Contratos'!#REF!&amp;" - "&amp;'Registro de Contratos'!#REF!)</f>
        <v>#REF!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3"/>
      <c r="N299" s="8">
        <f t="shared" si="1"/>
        <v>0</v>
      </c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4" x14ac:dyDescent="0.3">
      <c r="A300" s="9" t="e">
        <f>IF('Registro de Contratos'!#REF!="","-",'Registro de Contratos'!#REF!&amp;" - "&amp;'Registro de Contratos'!#REF!&amp;" - "&amp;'Registro de Contratos'!#REF!)</f>
        <v>#REF!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1"/>
      <c r="N300" s="8">
        <f t="shared" si="1"/>
        <v>0</v>
      </c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4" x14ac:dyDescent="0.3">
      <c r="A301" s="4" t="e">
        <f>IF('Registro de Contratos'!#REF!="","-",'Registro de Contratos'!#REF!&amp;" - "&amp;'Registro de Contratos'!#REF!&amp;" - "&amp;'Registro de Contratos'!#REF!)</f>
        <v>#REF!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3"/>
      <c r="N301" s="8">
        <f t="shared" si="1"/>
        <v>0</v>
      </c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4" x14ac:dyDescent="0.3">
      <c r="A302" s="9" t="e">
        <f>IF('Registro de Contratos'!#REF!="","-",'Registro de Contratos'!#REF!&amp;" - "&amp;'Registro de Contratos'!#REF!&amp;" - "&amp;'Registro de Contratos'!#REF!)</f>
        <v>#REF!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1"/>
      <c r="N302" s="8">
        <f t="shared" si="1"/>
        <v>0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4" x14ac:dyDescent="0.3">
      <c r="A303" s="4" t="e">
        <f>IF('Registro de Contratos'!#REF!="","-",'Registro de Contratos'!#REF!&amp;" - "&amp;'Registro de Contratos'!#REF!&amp;" - "&amp;'Registro de Contratos'!#REF!)</f>
        <v>#REF!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3"/>
      <c r="N303" s="8">
        <f t="shared" si="1"/>
        <v>0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4" x14ac:dyDescent="0.3">
      <c r="A304" s="9" t="e">
        <f>IF('Registro de Contratos'!#REF!="","-",'Registro de Contratos'!#REF!&amp;" - "&amp;'Registro de Contratos'!#REF!&amp;" - "&amp;'Registro de Contratos'!#REF!)</f>
        <v>#REF!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1"/>
      <c r="N304" s="8">
        <f t="shared" si="1"/>
        <v>0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4" x14ac:dyDescent="0.3">
      <c r="A305" s="4" t="e">
        <f>IF('Registro de Contratos'!#REF!="","-",'Registro de Contratos'!#REF!&amp;" - "&amp;'Registro de Contratos'!#REF!&amp;" - "&amp;'Registro de Contratos'!#REF!)</f>
        <v>#REF!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3"/>
      <c r="N305" s="8">
        <f t="shared" si="1"/>
        <v>0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4" x14ac:dyDescent="0.3">
      <c r="A306" s="9" t="e">
        <f>IF('Registro de Contratos'!#REF!="","-",'Registro de Contratos'!#REF!&amp;" - "&amp;'Registro de Contratos'!#REF!&amp;" - "&amp;'Registro de Contratos'!#REF!)</f>
        <v>#REF!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1"/>
      <c r="N306" s="8">
        <f t="shared" si="1"/>
        <v>0</v>
      </c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4" x14ac:dyDescent="0.3">
      <c r="A307" s="4" t="e">
        <f>IF('Registro de Contratos'!#REF!="","-",'Registro de Contratos'!#REF!&amp;" - "&amp;'Registro de Contratos'!#REF!&amp;" - "&amp;'Registro de Contratos'!#REF!)</f>
        <v>#REF!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3"/>
      <c r="N307" s="8">
        <f t="shared" si="1"/>
        <v>0</v>
      </c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4" x14ac:dyDescent="0.3">
      <c r="A308" s="9" t="e">
        <f>IF('Registro de Contratos'!#REF!="","-",'Registro de Contratos'!#REF!&amp;" - "&amp;'Registro de Contratos'!#REF!&amp;" - "&amp;'Registro de Contratos'!#REF!)</f>
        <v>#REF!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1"/>
      <c r="N308" s="8">
        <f t="shared" si="1"/>
        <v>0</v>
      </c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4" x14ac:dyDescent="0.3">
      <c r="A309" s="4" t="e">
        <f>IF('Registro de Contratos'!#REF!="","-",'Registro de Contratos'!#REF!&amp;" - "&amp;'Registro de Contratos'!#REF!&amp;" - "&amp;'Registro de Contratos'!#REF!)</f>
        <v>#REF!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3"/>
      <c r="N309" s="8">
        <f t="shared" si="1"/>
        <v>0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4" x14ac:dyDescent="0.3">
      <c r="A310" s="9" t="e">
        <f>IF('Registro de Contratos'!#REF!="","-",'Registro de Contratos'!#REF!&amp;" - "&amp;'Registro de Contratos'!#REF!&amp;" - "&amp;'Registro de Contratos'!#REF!)</f>
        <v>#REF!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1"/>
      <c r="N310" s="8">
        <f t="shared" si="1"/>
        <v>0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4" x14ac:dyDescent="0.3">
      <c r="A311" s="4" t="e">
        <f>IF('Registro de Contratos'!#REF!="","-",'Registro de Contratos'!#REF!&amp;" - "&amp;'Registro de Contratos'!#REF!&amp;" - "&amp;'Registro de Contratos'!#REF!)</f>
        <v>#REF!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3"/>
      <c r="N311" s="8">
        <f t="shared" si="1"/>
        <v>0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4" x14ac:dyDescent="0.3">
      <c r="A312" s="9" t="e">
        <f>IF('Registro de Contratos'!#REF!="","-",'Registro de Contratos'!#REF!&amp;" - "&amp;'Registro de Contratos'!#REF!&amp;" - "&amp;'Registro de Contratos'!#REF!)</f>
        <v>#REF!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1"/>
      <c r="N312" s="8">
        <f t="shared" si="1"/>
        <v>0</v>
      </c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4" x14ac:dyDescent="0.3">
      <c r="A313" s="4" t="e">
        <f>IF('Registro de Contratos'!#REF!="","-",'Registro de Contratos'!#REF!&amp;" - "&amp;'Registro de Contratos'!#REF!&amp;" - "&amp;'Registro de Contratos'!#REF!)</f>
        <v>#REF!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3"/>
      <c r="N313" s="8">
        <f t="shared" si="1"/>
        <v>0</v>
      </c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4" x14ac:dyDescent="0.3">
      <c r="A314" s="9" t="e">
        <f>IF('Registro de Contratos'!#REF!="","-",'Registro de Contratos'!#REF!&amp;" - "&amp;'Registro de Contratos'!#REF!&amp;" - "&amp;'Registro de Contratos'!#REF!)</f>
        <v>#REF!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1"/>
      <c r="N314" s="8">
        <f t="shared" si="1"/>
        <v>0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4" x14ac:dyDescent="0.3">
      <c r="A315" s="4" t="e">
        <f>IF('Registro de Contratos'!#REF!="","-",'Registro de Contratos'!#REF!&amp;" - "&amp;'Registro de Contratos'!#REF!&amp;" - "&amp;'Registro de Contratos'!#REF!)</f>
        <v>#REF!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3"/>
      <c r="N315" s="8">
        <f t="shared" si="1"/>
        <v>0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4" x14ac:dyDescent="0.3">
      <c r="A316" s="9" t="e">
        <f>IF('Registro de Contratos'!#REF!="","-",'Registro de Contratos'!#REF!&amp;" - "&amp;'Registro de Contratos'!#REF!&amp;" - "&amp;'Registro de Contratos'!#REF!)</f>
        <v>#REF!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1"/>
      <c r="N316" s="8">
        <f t="shared" si="1"/>
        <v>0</v>
      </c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4" x14ac:dyDescent="0.3">
      <c r="A317" s="4" t="e">
        <f>IF('Registro de Contratos'!#REF!="","-",'Registro de Contratos'!#REF!&amp;" - "&amp;'Registro de Contratos'!#REF!&amp;" - "&amp;'Registro de Contratos'!#REF!)</f>
        <v>#REF!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3"/>
      <c r="N317" s="8">
        <f t="shared" si="1"/>
        <v>0</v>
      </c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4" x14ac:dyDescent="0.3">
      <c r="A318" s="9" t="e">
        <f>IF('Registro de Contratos'!#REF!="","-",'Registro de Contratos'!#REF!&amp;" - "&amp;'Registro de Contratos'!#REF!&amp;" - "&amp;'Registro de Contratos'!#REF!)</f>
        <v>#REF!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1"/>
      <c r="N318" s="8">
        <f t="shared" si="1"/>
        <v>0</v>
      </c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4" x14ac:dyDescent="0.3">
      <c r="A319" s="4" t="e">
        <f>IF('Registro de Contratos'!#REF!="","-",'Registro de Contratos'!#REF!&amp;" - "&amp;'Registro de Contratos'!#REF!&amp;" - "&amp;'Registro de Contratos'!#REF!)</f>
        <v>#REF!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3"/>
      <c r="N319" s="8">
        <f t="shared" si="1"/>
        <v>0</v>
      </c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4" x14ac:dyDescent="0.3">
      <c r="A320" s="9" t="e">
        <f>IF('Registro de Contratos'!#REF!="","-",'Registro de Contratos'!#REF!&amp;" - "&amp;'Registro de Contratos'!#REF!&amp;" - "&amp;'Registro de Contratos'!#REF!)</f>
        <v>#REF!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  <c r="N320" s="8">
        <f t="shared" si="1"/>
        <v>0</v>
      </c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4" x14ac:dyDescent="0.3">
      <c r="A321" s="4" t="e">
        <f>IF('Registro de Contratos'!#REF!="","-",'Registro de Contratos'!#REF!&amp;" - "&amp;'Registro de Contratos'!#REF!&amp;" - "&amp;'Registro de Contratos'!#REF!)</f>
        <v>#REF!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3"/>
      <c r="N321" s="8">
        <f t="shared" si="1"/>
        <v>0</v>
      </c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4" x14ac:dyDescent="0.3">
      <c r="A322" s="9" t="e">
        <f>IF('Registro de Contratos'!#REF!="","-",'Registro de Contratos'!#REF!&amp;" - "&amp;'Registro de Contratos'!#REF!&amp;" - "&amp;'Registro de Contratos'!#REF!)</f>
        <v>#REF!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1"/>
      <c r="N322" s="8">
        <f t="shared" si="1"/>
        <v>0</v>
      </c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4" x14ac:dyDescent="0.3">
      <c r="A323" s="4" t="e">
        <f>IF('Registro de Contratos'!#REF!="","-",'Registro de Contratos'!#REF!&amp;" - "&amp;'Registro de Contratos'!#REF!&amp;" - "&amp;'Registro de Contratos'!#REF!)</f>
        <v>#REF!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3"/>
      <c r="N323" s="8">
        <f t="shared" si="1"/>
        <v>0</v>
      </c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4" x14ac:dyDescent="0.3">
      <c r="A324" s="9" t="e">
        <f>IF('Registro de Contratos'!#REF!="","-",'Registro de Contratos'!#REF!&amp;" - "&amp;'Registro de Contratos'!#REF!&amp;" - "&amp;'Registro de Contratos'!#REF!)</f>
        <v>#REF!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1"/>
      <c r="N324" s="8">
        <f t="shared" si="1"/>
        <v>0</v>
      </c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4" x14ac:dyDescent="0.3">
      <c r="A325" s="4" t="e">
        <f>IF('Registro de Contratos'!#REF!="","-",'Registro de Contratos'!#REF!&amp;" - "&amp;'Registro de Contratos'!#REF!&amp;" - "&amp;'Registro de Contratos'!#REF!)</f>
        <v>#REF!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3"/>
      <c r="N325" s="8">
        <f t="shared" si="1"/>
        <v>0</v>
      </c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4" x14ac:dyDescent="0.3">
      <c r="A326" s="9" t="e">
        <f>IF('Registro de Contratos'!#REF!="","-",'Registro de Contratos'!#REF!&amp;" - "&amp;'Registro de Contratos'!#REF!&amp;" - "&amp;'Registro de Contratos'!#REF!)</f>
        <v>#REF!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1"/>
      <c r="N326" s="8">
        <f t="shared" si="1"/>
        <v>0</v>
      </c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4" x14ac:dyDescent="0.3">
      <c r="A327" s="4" t="e">
        <f>IF('Registro de Contratos'!#REF!="","-",'Registro de Contratos'!#REF!&amp;" - "&amp;'Registro de Contratos'!#REF!&amp;" - "&amp;'Registro de Contratos'!#REF!)</f>
        <v>#REF!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3"/>
      <c r="N327" s="8">
        <f t="shared" si="1"/>
        <v>0</v>
      </c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4" x14ac:dyDescent="0.3">
      <c r="A328" s="9" t="e">
        <f>IF('Registro de Contratos'!#REF!="","-",'Registro de Contratos'!#REF!&amp;" - "&amp;'Registro de Contratos'!#REF!&amp;" - "&amp;'Registro de Contratos'!#REF!)</f>
        <v>#REF!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1"/>
      <c r="N328" s="8">
        <f t="shared" si="1"/>
        <v>0</v>
      </c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4" x14ac:dyDescent="0.3">
      <c r="A329" s="4" t="e">
        <f>IF('Registro de Contratos'!#REF!="","-",'Registro de Contratos'!#REF!&amp;" - "&amp;'Registro de Contratos'!#REF!&amp;" - "&amp;'Registro de Contratos'!#REF!)</f>
        <v>#REF!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3"/>
      <c r="N329" s="8">
        <f t="shared" si="1"/>
        <v>0</v>
      </c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4" x14ac:dyDescent="0.3">
      <c r="A330" s="9" t="e">
        <f>IF('Registro de Contratos'!#REF!="","-",'Registro de Contratos'!#REF!&amp;" - "&amp;'Registro de Contratos'!#REF!&amp;" - "&amp;'Registro de Contratos'!#REF!)</f>
        <v>#REF!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1"/>
      <c r="N330" s="8">
        <f t="shared" si="1"/>
        <v>0</v>
      </c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4" x14ac:dyDescent="0.3">
      <c r="A331" s="4" t="e">
        <f>IF('Registro de Contratos'!#REF!="","-",'Registro de Contratos'!#REF!&amp;" - "&amp;'Registro de Contratos'!#REF!&amp;" - "&amp;'Registro de Contratos'!#REF!)</f>
        <v>#REF!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3"/>
      <c r="N331" s="8">
        <f t="shared" si="1"/>
        <v>0</v>
      </c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4" x14ac:dyDescent="0.3">
      <c r="A332" s="9" t="e">
        <f>IF('Registro de Contratos'!#REF!="","-",'Registro de Contratos'!#REF!&amp;" - "&amp;'Registro de Contratos'!#REF!&amp;" - "&amp;'Registro de Contratos'!#REF!)</f>
        <v>#REF!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1"/>
      <c r="N332" s="8">
        <f t="shared" si="1"/>
        <v>0</v>
      </c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4" x14ac:dyDescent="0.3">
      <c r="A333" s="4" t="e">
        <f>IF('Registro de Contratos'!#REF!="","-",'Registro de Contratos'!#REF!&amp;" - "&amp;'Registro de Contratos'!#REF!&amp;" - "&amp;'Registro de Contratos'!#REF!)</f>
        <v>#REF!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3"/>
      <c r="N333" s="8">
        <f t="shared" si="1"/>
        <v>0</v>
      </c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4" x14ac:dyDescent="0.3">
      <c r="A334" s="9" t="e">
        <f>IF('Registro de Contratos'!#REF!="","-",'Registro de Contratos'!#REF!&amp;" - "&amp;'Registro de Contratos'!#REF!&amp;" - "&amp;'Registro de Contratos'!#REF!)</f>
        <v>#REF!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1"/>
      <c r="N334" s="8">
        <f t="shared" si="1"/>
        <v>0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4" x14ac:dyDescent="0.3">
      <c r="A335" s="4" t="e">
        <f>IF('Registro de Contratos'!#REF!="","-",'Registro de Contratos'!#REF!&amp;" - "&amp;'Registro de Contratos'!#REF!&amp;" - "&amp;'Registro de Contratos'!#REF!)</f>
        <v>#REF!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3"/>
      <c r="N335" s="8">
        <f t="shared" si="1"/>
        <v>0</v>
      </c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4" x14ac:dyDescent="0.3">
      <c r="A336" s="9" t="e">
        <f>IF('Registro de Contratos'!#REF!="","-",'Registro de Contratos'!#REF!&amp;" - "&amp;'Registro de Contratos'!#REF!&amp;" - "&amp;'Registro de Contratos'!#REF!)</f>
        <v>#REF!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1"/>
      <c r="N336" s="8">
        <f t="shared" si="1"/>
        <v>0</v>
      </c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4" x14ac:dyDescent="0.3">
      <c r="A337" s="4" t="e">
        <f>IF('Registro de Contratos'!#REF!="","-",'Registro de Contratos'!#REF!&amp;" - "&amp;'Registro de Contratos'!#REF!&amp;" - "&amp;'Registro de Contratos'!#REF!)</f>
        <v>#REF!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3"/>
      <c r="N337" s="8">
        <f t="shared" si="1"/>
        <v>0</v>
      </c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4" x14ac:dyDescent="0.3">
      <c r="A338" s="9" t="e">
        <f>IF('Registro de Contratos'!#REF!="","-",'Registro de Contratos'!#REF!&amp;" - "&amp;'Registro de Contratos'!#REF!&amp;" - "&amp;'Registro de Contratos'!#REF!)</f>
        <v>#REF!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1"/>
      <c r="N338" s="8">
        <f t="shared" si="1"/>
        <v>0</v>
      </c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4" x14ac:dyDescent="0.3">
      <c r="A339" s="4" t="e">
        <f>IF('Registro de Contratos'!#REF!="","-",'Registro de Contratos'!#REF!&amp;" - "&amp;'Registro de Contratos'!#REF!&amp;" - "&amp;'Registro de Contratos'!#REF!)</f>
        <v>#REF!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3"/>
      <c r="N339" s="8">
        <f t="shared" si="1"/>
        <v>0</v>
      </c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4" x14ac:dyDescent="0.3">
      <c r="A340" s="9" t="e">
        <f>IF('Registro de Contratos'!#REF!="","-",'Registro de Contratos'!#REF!&amp;" - "&amp;'Registro de Contratos'!#REF!&amp;" - "&amp;'Registro de Contratos'!#REF!)</f>
        <v>#REF!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1"/>
      <c r="N340" s="8">
        <f t="shared" si="1"/>
        <v>0</v>
      </c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4" x14ac:dyDescent="0.3">
      <c r="A341" s="4" t="e">
        <f>IF('Registro de Contratos'!#REF!="","-",'Registro de Contratos'!#REF!&amp;" - "&amp;'Registro de Contratos'!#REF!&amp;" - "&amp;'Registro de Contratos'!#REF!)</f>
        <v>#REF!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3"/>
      <c r="N341" s="8">
        <f t="shared" si="1"/>
        <v>0</v>
      </c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4" x14ac:dyDescent="0.3">
      <c r="A342" s="9" t="e">
        <f>IF('Registro de Contratos'!#REF!="","-",'Registro de Contratos'!#REF!&amp;" - "&amp;'Registro de Contratos'!#REF!&amp;" - "&amp;'Registro de Contratos'!#REF!)</f>
        <v>#REF!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  <c r="N342" s="8">
        <f t="shared" si="1"/>
        <v>0</v>
      </c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4" x14ac:dyDescent="0.3">
      <c r="A343" s="4" t="e">
        <f>IF('Registro de Contratos'!#REF!="","-",'Registro de Contratos'!#REF!&amp;" - "&amp;'Registro de Contratos'!#REF!&amp;" - "&amp;'Registro de Contratos'!#REF!)</f>
        <v>#REF!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3"/>
      <c r="N343" s="8">
        <f t="shared" si="1"/>
        <v>0</v>
      </c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4" x14ac:dyDescent="0.3">
      <c r="A344" s="9" t="e">
        <f>IF('Registro de Contratos'!#REF!="","-",'Registro de Contratos'!#REF!&amp;" - "&amp;'Registro de Contratos'!#REF!&amp;" - "&amp;'Registro de Contratos'!#REF!)</f>
        <v>#REF!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1"/>
      <c r="N344" s="8">
        <f t="shared" si="1"/>
        <v>0</v>
      </c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4" x14ac:dyDescent="0.3">
      <c r="A345" s="4" t="e">
        <f>IF('Registro de Contratos'!#REF!="","-",'Registro de Contratos'!#REF!&amp;" - "&amp;'Registro de Contratos'!#REF!&amp;" - "&amp;'Registro de Contratos'!#REF!)</f>
        <v>#REF!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3"/>
      <c r="N345" s="8">
        <f t="shared" si="1"/>
        <v>0</v>
      </c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4" x14ac:dyDescent="0.3">
      <c r="A346" s="9" t="e">
        <f>IF('Registro de Contratos'!#REF!="","-",'Registro de Contratos'!#REF!&amp;" - "&amp;'Registro de Contratos'!#REF!&amp;" - "&amp;'Registro de Contratos'!#REF!)</f>
        <v>#REF!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1"/>
      <c r="N346" s="8">
        <f t="shared" si="1"/>
        <v>0</v>
      </c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4" x14ac:dyDescent="0.3">
      <c r="A347" s="4" t="e">
        <f>IF('Registro de Contratos'!#REF!="","-",'Registro de Contratos'!#REF!&amp;" - "&amp;'Registro de Contratos'!#REF!&amp;" - "&amp;'Registro de Contratos'!#REF!)</f>
        <v>#REF!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3"/>
      <c r="N347" s="8">
        <f t="shared" si="1"/>
        <v>0</v>
      </c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4" x14ac:dyDescent="0.3">
      <c r="A348" s="9" t="e">
        <f>IF('Registro de Contratos'!#REF!="","-",'Registro de Contratos'!#REF!&amp;" - "&amp;'Registro de Contratos'!#REF!&amp;" - "&amp;'Registro de Contratos'!#REF!)</f>
        <v>#REF!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1"/>
      <c r="N348" s="8">
        <f t="shared" si="1"/>
        <v>0</v>
      </c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4" x14ac:dyDescent="0.3">
      <c r="A349" s="4" t="e">
        <f>IF('Registro de Contratos'!#REF!="","-",'Registro de Contratos'!#REF!&amp;" - "&amp;'Registro de Contratos'!#REF!&amp;" - "&amp;'Registro de Contratos'!#REF!)</f>
        <v>#REF!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3"/>
      <c r="N349" s="8">
        <f t="shared" si="1"/>
        <v>0</v>
      </c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4" x14ac:dyDescent="0.3">
      <c r="A350" s="9" t="e">
        <f>IF('Registro de Contratos'!#REF!="","-",'Registro de Contratos'!#REF!&amp;" - "&amp;'Registro de Contratos'!#REF!&amp;" - "&amp;'Registro de Contratos'!#REF!)</f>
        <v>#REF!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1"/>
      <c r="N350" s="8">
        <f t="shared" si="1"/>
        <v>0</v>
      </c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4" x14ac:dyDescent="0.3">
      <c r="A351" s="4" t="e">
        <f>IF('Registro de Contratos'!#REF!="","-",'Registro de Contratos'!#REF!&amp;" - "&amp;'Registro de Contratos'!#REF!&amp;" - "&amp;'Registro de Contratos'!#REF!)</f>
        <v>#REF!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3"/>
      <c r="N351" s="8">
        <f t="shared" si="1"/>
        <v>0</v>
      </c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4" x14ac:dyDescent="0.3">
      <c r="A352" s="9" t="e">
        <f>IF('Registro de Contratos'!#REF!="","-",'Registro de Contratos'!#REF!&amp;" - "&amp;'Registro de Contratos'!#REF!&amp;" - "&amp;'Registro de Contratos'!#REF!)</f>
        <v>#REF!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1"/>
      <c r="N352" s="8">
        <f t="shared" si="1"/>
        <v>0</v>
      </c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4" x14ac:dyDescent="0.3">
      <c r="A353" s="4" t="e">
        <f>IF('Registro de Contratos'!#REF!="","-",'Registro de Contratos'!#REF!&amp;" - "&amp;'Registro de Contratos'!#REF!&amp;" - "&amp;'Registro de Contratos'!#REF!)</f>
        <v>#REF!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3"/>
      <c r="N353" s="8">
        <f t="shared" si="1"/>
        <v>0</v>
      </c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4" x14ac:dyDescent="0.3">
      <c r="A354" s="9" t="e">
        <f>IF('Registro de Contratos'!#REF!="","-",'Registro de Contratos'!#REF!&amp;" - "&amp;'Registro de Contratos'!#REF!&amp;" - "&amp;'Registro de Contratos'!#REF!)</f>
        <v>#REF!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1"/>
      <c r="N354" s="8">
        <f t="shared" si="1"/>
        <v>0</v>
      </c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4" x14ac:dyDescent="0.3">
      <c r="A355" s="4" t="e">
        <f>IF('Registro de Contratos'!#REF!="","-",'Registro de Contratos'!#REF!&amp;" - "&amp;'Registro de Contratos'!#REF!&amp;" - "&amp;'Registro de Contratos'!#REF!)</f>
        <v>#REF!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3"/>
      <c r="N355" s="8">
        <f t="shared" si="1"/>
        <v>0</v>
      </c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4" x14ac:dyDescent="0.3">
      <c r="A356" s="9" t="e">
        <f>IF('Registro de Contratos'!#REF!="","-",'Registro de Contratos'!#REF!&amp;" - "&amp;'Registro de Contratos'!#REF!&amp;" - "&amp;'Registro de Contratos'!#REF!)</f>
        <v>#REF!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1"/>
      <c r="N356" s="8">
        <f t="shared" si="1"/>
        <v>0</v>
      </c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4" x14ac:dyDescent="0.3">
      <c r="A357" s="4" t="e">
        <f>IF('Registro de Contratos'!#REF!="","-",'Registro de Contratos'!#REF!&amp;" - "&amp;'Registro de Contratos'!#REF!&amp;" - "&amp;'Registro de Contratos'!#REF!)</f>
        <v>#REF!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3"/>
      <c r="N357" s="8">
        <f t="shared" si="1"/>
        <v>0</v>
      </c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4" x14ac:dyDescent="0.3">
      <c r="A358" s="9" t="e">
        <f>IF('Registro de Contratos'!#REF!="","-",'Registro de Contratos'!#REF!&amp;" - "&amp;'Registro de Contratos'!#REF!&amp;" - "&amp;'Registro de Contratos'!#REF!)</f>
        <v>#REF!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1"/>
      <c r="N358" s="8">
        <f t="shared" si="1"/>
        <v>0</v>
      </c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4" x14ac:dyDescent="0.3">
      <c r="A359" s="4" t="e">
        <f>IF('Registro de Contratos'!#REF!="","-",'Registro de Contratos'!#REF!&amp;" - "&amp;'Registro de Contratos'!#REF!&amp;" - "&amp;'Registro de Contratos'!#REF!)</f>
        <v>#REF!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3"/>
      <c r="N359" s="8">
        <f t="shared" si="1"/>
        <v>0</v>
      </c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4" x14ac:dyDescent="0.3">
      <c r="A360" s="9" t="e">
        <f>IF('Registro de Contratos'!#REF!="","-",'Registro de Contratos'!#REF!&amp;" - "&amp;'Registro de Contratos'!#REF!&amp;" - "&amp;'Registro de Contratos'!#REF!)</f>
        <v>#REF!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1"/>
      <c r="N360" s="8">
        <f t="shared" si="1"/>
        <v>0</v>
      </c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4" x14ac:dyDescent="0.3">
      <c r="A361" s="4" t="e">
        <f>IF('Registro de Contratos'!#REF!="","-",'Registro de Contratos'!#REF!&amp;" - "&amp;'Registro de Contratos'!#REF!&amp;" - "&amp;'Registro de Contratos'!#REF!)</f>
        <v>#REF!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3"/>
      <c r="N361" s="8">
        <f t="shared" si="1"/>
        <v>0</v>
      </c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4" x14ac:dyDescent="0.3">
      <c r="A362" s="9" t="e">
        <f>IF('Registro de Contratos'!#REF!="","-",'Registro de Contratos'!#REF!&amp;" - "&amp;'Registro de Contratos'!#REF!&amp;" - "&amp;'Registro de Contratos'!#REF!)</f>
        <v>#REF!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1"/>
      <c r="N362" s="8">
        <f t="shared" si="1"/>
        <v>0</v>
      </c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4" x14ac:dyDescent="0.3">
      <c r="A363" s="4" t="e">
        <f>IF('Registro de Contratos'!#REF!="","-",'Registro de Contratos'!#REF!&amp;" - "&amp;'Registro de Contratos'!#REF!&amp;" - "&amp;'Registro de Contratos'!#REF!)</f>
        <v>#REF!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3"/>
      <c r="N363" s="8">
        <f t="shared" si="1"/>
        <v>0</v>
      </c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4" x14ac:dyDescent="0.3">
      <c r="A364" s="9" t="e">
        <f>IF('Registro de Contratos'!#REF!="","-",'Registro de Contratos'!#REF!&amp;" - "&amp;'Registro de Contratos'!#REF!&amp;" - "&amp;'Registro de Contratos'!#REF!)</f>
        <v>#REF!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  <c r="N364" s="8">
        <f t="shared" si="1"/>
        <v>0</v>
      </c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4" x14ac:dyDescent="0.3">
      <c r="A365" s="4" t="e">
        <f>IF('Registro de Contratos'!#REF!="","-",'Registro de Contratos'!#REF!&amp;" - "&amp;'Registro de Contratos'!#REF!&amp;" - "&amp;'Registro de Contratos'!#REF!)</f>
        <v>#REF!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3"/>
      <c r="N365" s="8">
        <f t="shared" si="1"/>
        <v>0</v>
      </c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4" x14ac:dyDescent="0.3">
      <c r="A366" s="9" t="e">
        <f>IF('Registro de Contratos'!#REF!="","-",'Registro de Contratos'!#REF!&amp;" - "&amp;'Registro de Contratos'!#REF!&amp;" - "&amp;'Registro de Contratos'!#REF!)</f>
        <v>#REF!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1"/>
      <c r="N366" s="8">
        <f t="shared" si="1"/>
        <v>0</v>
      </c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4" x14ac:dyDescent="0.3">
      <c r="A367" s="4" t="e">
        <f>IF('Registro de Contratos'!#REF!="","-",'Registro de Contratos'!#REF!&amp;" - "&amp;'Registro de Contratos'!#REF!&amp;" - "&amp;'Registro de Contratos'!#REF!)</f>
        <v>#REF!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3"/>
      <c r="N367" s="8">
        <f t="shared" si="1"/>
        <v>0</v>
      </c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4" x14ac:dyDescent="0.3">
      <c r="A368" s="9" t="e">
        <f>IF('Registro de Contratos'!#REF!="","-",'Registro de Contratos'!#REF!&amp;" - "&amp;'Registro de Contratos'!#REF!&amp;" - "&amp;'Registro de Contratos'!#REF!)</f>
        <v>#REF!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1"/>
      <c r="N368" s="8">
        <f t="shared" si="1"/>
        <v>0</v>
      </c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4" x14ac:dyDescent="0.3">
      <c r="A369" s="4" t="e">
        <f>IF('Registro de Contratos'!#REF!="","-",'Registro de Contratos'!#REF!&amp;" - "&amp;'Registro de Contratos'!#REF!&amp;" - "&amp;'Registro de Contratos'!#REF!)</f>
        <v>#REF!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3"/>
      <c r="N369" s="8">
        <f t="shared" si="1"/>
        <v>0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4" x14ac:dyDescent="0.3">
      <c r="A370" s="9" t="e">
        <f>IF('Registro de Contratos'!#REF!="","-",'Registro de Contratos'!#REF!&amp;" - "&amp;'Registro de Contratos'!#REF!&amp;" - "&amp;'Registro de Contratos'!#REF!)</f>
        <v>#REF!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1"/>
      <c r="N370" s="8">
        <f t="shared" si="1"/>
        <v>0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4" x14ac:dyDescent="0.3">
      <c r="A371" s="4" t="e">
        <f>IF('Registro de Contratos'!#REF!="","-",'Registro de Contratos'!#REF!&amp;" - "&amp;'Registro de Contratos'!#REF!&amp;" - "&amp;'Registro de Contratos'!#REF!)</f>
        <v>#REF!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3"/>
      <c r="N371" s="8">
        <f t="shared" si="1"/>
        <v>0</v>
      </c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4" x14ac:dyDescent="0.3">
      <c r="A372" s="9" t="e">
        <f>IF('Registro de Contratos'!#REF!="","-",'Registro de Contratos'!#REF!&amp;" - "&amp;'Registro de Contratos'!#REF!&amp;" - "&amp;'Registro de Contratos'!#REF!)</f>
        <v>#REF!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1"/>
      <c r="N372" s="8">
        <f t="shared" si="1"/>
        <v>0</v>
      </c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4" x14ac:dyDescent="0.3">
      <c r="A373" s="4" t="e">
        <f>IF('Registro de Contratos'!#REF!="","-",'Registro de Contratos'!#REF!&amp;" - "&amp;'Registro de Contratos'!#REF!&amp;" - "&amp;'Registro de Contratos'!#REF!)</f>
        <v>#REF!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3"/>
      <c r="N373" s="8">
        <f t="shared" si="1"/>
        <v>0</v>
      </c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4" x14ac:dyDescent="0.3">
      <c r="A374" s="9" t="e">
        <f>IF('Registro de Contratos'!#REF!="","-",'Registro de Contratos'!#REF!&amp;" - "&amp;'Registro de Contratos'!#REF!&amp;" - "&amp;'Registro de Contratos'!#REF!)</f>
        <v>#REF!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1"/>
      <c r="N374" s="8">
        <f t="shared" si="1"/>
        <v>0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4" x14ac:dyDescent="0.3">
      <c r="A375" s="4" t="e">
        <f>IF('Registro de Contratos'!#REF!="","-",'Registro de Contratos'!#REF!&amp;" - "&amp;'Registro de Contratos'!#REF!&amp;" - "&amp;'Registro de Contratos'!#REF!)</f>
        <v>#REF!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3"/>
      <c r="N375" s="8">
        <f t="shared" si="1"/>
        <v>0</v>
      </c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4" x14ac:dyDescent="0.3">
      <c r="A376" s="9" t="e">
        <f>IF('Registro de Contratos'!#REF!="","-",'Registro de Contratos'!#REF!&amp;" - "&amp;'Registro de Contratos'!#REF!&amp;" - "&amp;'Registro de Contratos'!#REF!)</f>
        <v>#REF!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1"/>
      <c r="N376" s="8">
        <f t="shared" si="1"/>
        <v>0</v>
      </c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4" x14ac:dyDescent="0.3">
      <c r="A377" s="4" t="e">
        <f>IF('Registro de Contratos'!#REF!="","-",'Registro de Contratos'!#REF!&amp;" - "&amp;'Registro de Contratos'!#REF!&amp;" - "&amp;'Registro de Contratos'!#REF!)</f>
        <v>#REF!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3"/>
      <c r="N377" s="8">
        <f t="shared" si="1"/>
        <v>0</v>
      </c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4" x14ac:dyDescent="0.3">
      <c r="A378" s="9" t="e">
        <f>IF('Registro de Contratos'!#REF!="","-",'Registro de Contratos'!#REF!&amp;" - "&amp;'Registro de Contratos'!#REF!&amp;" - "&amp;'Registro de Contratos'!#REF!)</f>
        <v>#REF!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1"/>
      <c r="N378" s="8">
        <f t="shared" si="1"/>
        <v>0</v>
      </c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4" x14ac:dyDescent="0.3">
      <c r="A379" s="4" t="e">
        <f>IF('Registro de Contratos'!#REF!="","-",'Registro de Contratos'!#REF!&amp;" - "&amp;'Registro de Contratos'!#REF!&amp;" - "&amp;'Registro de Contratos'!#REF!)</f>
        <v>#REF!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3"/>
      <c r="N379" s="8">
        <f t="shared" si="1"/>
        <v>0</v>
      </c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4" x14ac:dyDescent="0.3">
      <c r="A380" s="9" t="e">
        <f>IF('Registro de Contratos'!#REF!="","-",'Registro de Contratos'!#REF!&amp;" - "&amp;'Registro de Contratos'!#REF!&amp;" - "&amp;'Registro de Contratos'!#REF!)</f>
        <v>#REF!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1"/>
      <c r="N380" s="8">
        <f t="shared" si="1"/>
        <v>0</v>
      </c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4" x14ac:dyDescent="0.3">
      <c r="A381" s="4" t="e">
        <f>IF('Registro de Contratos'!#REF!="","-",'Registro de Contratos'!#REF!&amp;" - "&amp;'Registro de Contratos'!#REF!&amp;" - "&amp;'Registro de Contratos'!#REF!)</f>
        <v>#REF!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3"/>
      <c r="N381" s="8">
        <f t="shared" si="1"/>
        <v>0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4" x14ac:dyDescent="0.3">
      <c r="A382" s="9" t="e">
        <f>IF('Registro de Contratos'!#REF!="","-",'Registro de Contratos'!#REF!&amp;" - "&amp;'Registro de Contratos'!#REF!&amp;" - "&amp;'Registro de Contratos'!#REF!)</f>
        <v>#REF!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1"/>
      <c r="N382" s="8">
        <f t="shared" si="1"/>
        <v>0</v>
      </c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4" x14ac:dyDescent="0.3">
      <c r="A383" s="4" t="e">
        <f>IF('Registro de Contratos'!#REF!="","-",'Registro de Contratos'!#REF!&amp;" - "&amp;'Registro de Contratos'!#REF!&amp;" - "&amp;'Registro de Contratos'!#REF!)</f>
        <v>#REF!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3"/>
      <c r="N383" s="8">
        <f t="shared" si="1"/>
        <v>0</v>
      </c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4" x14ac:dyDescent="0.3">
      <c r="A384" s="9" t="e">
        <f>IF('Registro de Contratos'!#REF!="","-",'Registro de Contratos'!#REF!&amp;" - "&amp;'Registro de Contratos'!#REF!&amp;" - "&amp;'Registro de Contratos'!#REF!)</f>
        <v>#REF!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1"/>
      <c r="N384" s="8">
        <f t="shared" si="1"/>
        <v>0</v>
      </c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4" x14ac:dyDescent="0.3">
      <c r="A385" s="4" t="e">
        <f>IF('Registro de Contratos'!#REF!="","-",'Registro de Contratos'!#REF!&amp;" - "&amp;'Registro de Contratos'!#REF!&amp;" - "&amp;'Registro de Contratos'!#REF!)</f>
        <v>#REF!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3"/>
      <c r="N385" s="8">
        <f t="shared" si="1"/>
        <v>0</v>
      </c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4" x14ac:dyDescent="0.3">
      <c r="A386" s="9" t="e">
        <f>IF('Registro de Contratos'!#REF!="","-",'Registro de Contratos'!#REF!&amp;" - "&amp;'Registro de Contratos'!#REF!&amp;" - "&amp;'Registro de Contratos'!#REF!)</f>
        <v>#REF!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  <c r="N386" s="8">
        <f t="shared" si="1"/>
        <v>0</v>
      </c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4" x14ac:dyDescent="0.3">
      <c r="A387" s="4" t="e">
        <f>IF('Registro de Contratos'!#REF!="","-",'Registro de Contratos'!#REF!&amp;" - "&amp;'Registro de Contratos'!#REF!&amp;" - "&amp;'Registro de Contratos'!#REF!)</f>
        <v>#REF!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3"/>
      <c r="N387" s="8">
        <f t="shared" si="1"/>
        <v>0</v>
      </c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4" x14ac:dyDescent="0.3">
      <c r="A388" s="9" t="e">
        <f>IF('Registro de Contratos'!#REF!="","-",'Registro de Contratos'!#REF!&amp;" - "&amp;'Registro de Contratos'!#REF!&amp;" - "&amp;'Registro de Contratos'!#REF!)</f>
        <v>#REF!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1"/>
      <c r="N388" s="8">
        <f t="shared" si="1"/>
        <v>0</v>
      </c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4" x14ac:dyDescent="0.3">
      <c r="A389" s="4" t="e">
        <f>IF('Registro de Contratos'!#REF!="","-",'Registro de Contratos'!#REF!&amp;" - "&amp;'Registro de Contratos'!#REF!&amp;" - "&amp;'Registro de Contratos'!#REF!)</f>
        <v>#REF!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3"/>
      <c r="N389" s="8">
        <f t="shared" si="1"/>
        <v>0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4" x14ac:dyDescent="0.3">
      <c r="A390" s="9" t="e">
        <f>IF('Registro de Contratos'!#REF!="","-",'Registro de Contratos'!#REF!&amp;" - "&amp;'Registro de Contratos'!#REF!&amp;" - "&amp;'Registro de Contratos'!#REF!)</f>
        <v>#REF!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1"/>
      <c r="N390" s="8">
        <f t="shared" si="1"/>
        <v>0</v>
      </c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4" x14ac:dyDescent="0.3">
      <c r="A391" s="4" t="e">
        <f>IF('Registro de Contratos'!#REF!="","-",'Registro de Contratos'!#REF!&amp;" - "&amp;'Registro de Contratos'!#REF!&amp;" - "&amp;'Registro de Contratos'!#REF!)</f>
        <v>#REF!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3"/>
      <c r="N391" s="8">
        <f t="shared" si="1"/>
        <v>0</v>
      </c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4" x14ac:dyDescent="0.3">
      <c r="A392" s="9" t="e">
        <f>IF('Registro de Contratos'!#REF!="","-",'Registro de Contratos'!#REF!&amp;" - "&amp;'Registro de Contratos'!#REF!&amp;" - "&amp;'Registro de Contratos'!#REF!)</f>
        <v>#REF!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1"/>
      <c r="N392" s="8">
        <f t="shared" si="1"/>
        <v>0</v>
      </c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4" x14ac:dyDescent="0.3">
      <c r="A393" s="4" t="e">
        <f>IF('Registro de Contratos'!#REF!="","-",'Registro de Contratos'!#REF!&amp;" - "&amp;'Registro de Contratos'!#REF!&amp;" - "&amp;'Registro de Contratos'!#REF!)</f>
        <v>#REF!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3"/>
      <c r="N393" s="8">
        <f t="shared" si="1"/>
        <v>0</v>
      </c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4" x14ac:dyDescent="0.3">
      <c r="A394" s="9" t="e">
        <f>IF('Registro de Contratos'!#REF!="","-",'Registro de Contratos'!#REF!&amp;" - "&amp;'Registro de Contratos'!#REF!&amp;" - "&amp;'Registro de Contratos'!#REF!)</f>
        <v>#REF!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1"/>
      <c r="N394" s="8">
        <f t="shared" si="1"/>
        <v>0</v>
      </c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4" x14ac:dyDescent="0.3">
      <c r="A395" s="4" t="e">
        <f>IF('Registro de Contratos'!#REF!="","-",'Registro de Contratos'!#REF!&amp;" - "&amp;'Registro de Contratos'!#REF!&amp;" - "&amp;'Registro de Contratos'!#REF!)</f>
        <v>#REF!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3"/>
      <c r="N395" s="8">
        <f t="shared" si="1"/>
        <v>0</v>
      </c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4" x14ac:dyDescent="0.3">
      <c r="A396" s="9" t="e">
        <f>IF('Registro de Contratos'!#REF!="","-",'Registro de Contratos'!#REF!&amp;" - "&amp;'Registro de Contratos'!#REF!&amp;" - "&amp;'Registro de Contratos'!#REF!)</f>
        <v>#REF!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1"/>
      <c r="N396" s="8">
        <f t="shared" si="1"/>
        <v>0</v>
      </c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4" x14ac:dyDescent="0.3">
      <c r="A397" s="4" t="e">
        <f>IF('Registro de Contratos'!#REF!="","-",'Registro de Contratos'!#REF!&amp;" - "&amp;'Registro de Contratos'!#REF!&amp;" - "&amp;'Registro de Contratos'!#REF!)</f>
        <v>#REF!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3"/>
      <c r="N397" s="8">
        <f t="shared" si="1"/>
        <v>0</v>
      </c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4" x14ac:dyDescent="0.3">
      <c r="A398" s="9" t="e">
        <f>IF('Registro de Contratos'!#REF!="","-",'Registro de Contratos'!#REF!&amp;" - "&amp;'Registro de Contratos'!#REF!&amp;" - "&amp;'Registro de Contratos'!#REF!)</f>
        <v>#REF!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1"/>
      <c r="N398" s="8">
        <f t="shared" si="1"/>
        <v>0</v>
      </c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4" x14ac:dyDescent="0.3">
      <c r="A399" s="4" t="e">
        <f>IF('Registro de Contratos'!#REF!="","-",'Registro de Contratos'!#REF!&amp;" - "&amp;'Registro de Contratos'!#REF!&amp;" - "&amp;'Registro de Contratos'!#REF!)</f>
        <v>#REF!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3"/>
      <c r="N399" s="8">
        <f t="shared" si="1"/>
        <v>0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4" x14ac:dyDescent="0.3">
      <c r="A400" s="9" t="e">
        <f>IF('Registro de Contratos'!#REF!="","-",'Registro de Contratos'!#REF!&amp;" - "&amp;'Registro de Contratos'!#REF!&amp;" - "&amp;'Registro de Contratos'!#REF!)</f>
        <v>#REF!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1"/>
      <c r="N400" s="8">
        <f t="shared" si="1"/>
        <v>0</v>
      </c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4" x14ac:dyDescent="0.3">
      <c r="A401" s="4" t="e">
        <f>IF('Registro de Contratos'!#REF!="","-",'Registro de Contratos'!#REF!&amp;" - "&amp;'Registro de Contratos'!#REF!&amp;" - "&amp;'Registro de Contratos'!#REF!)</f>
        <v>#REF!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3"/>
      <c r="N401" s="8">
        <f t="shared" si="1"/>
        <v>0</v>
      </c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4" x14ac:dyDescent="0.3">
      <c r="A402" s="9" t="e">
        <f>IF('Registro de Contratos'!#REF!="","-",'Registro de Contratos'!#REF!&amp;" - "&amp;'Registro de Contratos'!#REF!&amp;" - "&amp;'Registro de Contratos'!#REF!)</f>
        <v>#REF!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1"/>
      <c r="N402" s="8">
        <f t="shared" si="1"/>
        <v>0</v>
      </c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4" x14ac:dyDescent="0.3">
      <c r="A403" s="4" t="e">
        <f>IF('Registro de Contratos'!#REF!="","-",'Registro de Contratos'!#REF!&amp;" - "&amp;'Registro de Contratos'!#REF!&amp;" - "&amp;'Registro de Contratos'!#REF!)</f>
        <v>#REF!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3"/>
      <c r="N403" s="8">
        <f t="shared" si="1"/>
        <v>0</v>
      </c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4" x14ac:dyDescent="0.3">
      <c r="A404" s="9" t="e">
        <f>IF('Registro de Contratos'!#REF!="","-",'Registro de Contratos'!#REF!&amp;" - "&amp;'Registro de Contratos'!#REF!&amp;" - "&amp;'Registro de Contratos'!#REF!)</f>
        <v>#REF!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1"/>
      <c r="N404" s="8">
        <f t="shared" si="1"/>
        <v>0</v>
      </c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4" x14ac:dyDescent="0.3">
      <c r="A405" s="4" t="e">
        <f>IF('Registro de Contratos'!#REF!="","-",'Registro de Contratos'!#REF!&amp;" - "&amp;'Registro de Contratos'!#REF!&amp;" - "&amp;'Registro de Contratos'!#REF!)</f>
        <v>#REF!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3"/>
      <c r="N405" s="8">
        <f t="shared" si="1"/>
        <v>0</v>
      </c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4" x14ac:dyDescent="0.3">
      <c r="A406" s="9" t="e">
        <f>IF('Registro de Contratos'!#REF!="","-",'Registro de Contratos'!#REF!&amp;" - "&amp;'Registro de Contratos'!#REF!&amp;" - "&amp;'Registro de Contratos'!#REF!)</f>
        <v>#REF!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1"/>
      <c r="N406" s="8">
        <f t="shared" si="1"/>
        <v>0</v>
      </c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4" x14ac:dyDescent="0.3">
      <c r="A407" s="4" t="e">
        <f>IF('Registro de Contratos'!#REF!="","-",'Registro de Contratos'!#REF!&amp;" - "&amp;'Registro de Contratos'!#REF!&amp;" - "&amp;'Registro de Contratos'!#REF!)</f>
        <v>#REF!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3"/>
      <c r="N407" s="8">
        <f t="shared" si="1"/>
        <v>0</v>
      </c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4" x14ac:dyDescent="0.3">
      <c r="A408" s="9" t="e">
        <f>IF('Registro de Contratos'!#REF!="","-",'Registro de Contratos'!#REF!&amp;" - "&amp;'Registro de Contratos'!#REF!&amp;" - "&amp;'Registro de Contratos'!#REF!)</f>
        <v>#REF!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  <c r="N408" s="8">
        <f t="shared" si="1"/>
        <v>0</v>
      </c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4" x14ac:dyDescent="0.3">
      <c r="A409" s="4" t="e">
        <f>IF('Registro de Contratos'!#REF!="","-",'Registro de Contratos'!#REF!&amp;" - "&amp;'Registro de Contratos'!#REF!&amp;" - "&amp;'Registro de Contratos'!#REF!)</f>
        <v>#REF!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3"/>
      <c r="N409" s="8">
        <f t="shared" si="1"/>
        <v>0</v>
      </c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4" x14ac:dyDescent="0.3">
      <c r="A410" s="9" t="e">
        <f>IF('Registro de Contratos'!#REF!="","-",'Registro de Contratos'!#REF!&amp;" - "&amp;'Registro de Contratos'!#REF!&amp;" - "&amp;'Registro de Contratos'!#REF!)</f>
        <v>#REF!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1"/>
      <c r="N410" s="8">
        <f t="shared" si="1"/>
        <v>0</v>
      </c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4" x14ac:dyDescent="0.3">
      <c r="A411" s="4" t="e">
        <f>IF('Registro de Contratos'!#REF!="","-",'Registro de Contratos'!#REF!&amp;" - "&amp;'Registro de Contratos'!#REF!&amp;" - "&amp;'Registro de Contratos'!#REF!)</f>
        <v>#REF!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3"/>
      <c r="N411" s="8">
        <f t="shared" si="1"/>
        <v>0</v>
      </c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4" x14ac:dyDescent="0.3">
      <c r="A412" s="9" t="e">
        <f>IF('Registro de Contratos'!#REF!="","-",'Registro de Contratos'!#REF!&amp;" - "&amp;'Registro de Contratos'!#REF!&amp;" - "&amp;'Registro de Contratos'!#REF!)</f>
        <v>#REF!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1"/>
      <c r="N412" s="8">
        <f t="shared" si="1"/>
        <v>0</v>
      </c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4" x14ac:dyDescent="0.3">
      <c r="A413" s="4" t="e">
        <f>IF('Registro de Contratos'!#REF!="","-",'Registro de Contratos'!#REF!&amp;" - "&amp;'Registro de Contratos'!#REF!&amp;" - "&amp;'Registro de Contratos'!#REF!)</f>
        <v>#REF!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3"/>
      <c r="N413" s="8">
        <f t="shared" si="1"/>
        <v>0</v>
      </c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4" x14ac:dyDescent="0.3">
      <c r="A414" s="9" t="e">
        <f>IF('Registro de Contratos'!#REF!="","-",'Registro de Contratos'!#REF!&amp;" - "&amp;'Registro de Contratos'!#REF!&amp;" - "&amp;'Registro de Contratos'!#REF!)</f>
        <v>#REF!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1"/>
      <c r="N414" s="8">
        <f t="shared" si="1"/>
        <v>0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4" x14ac:dyDescent="0.3">
      <c r="A415" s="4" t="e">
        <f>IF('Registro de Contratos'!#REF!="","-",'Registro de Contratos'!#REF!&amp;" - "&amp;'Registro de Contratos'!#REF!&amp;" - "&amp;'Registro de Contratos'!#REF!)</f>
        <v>#REF!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3"/>
      <c r="N415" s="8">
        <f t="shared" si="1"/>
        <v>0</v>
      </c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4" x14ac:dyDescent="0.3">
      <c r="A416" s="9" t="e">
        <f>IF('Registro de Contratos'!#REF!="","-",'Registro de Contratos'!#REF!&amp;" - "&amp;'Registro de Contratos'!#REF!&amp;" - "&amp;'Registro de Contratos'!#REF!)</f>
        <v>#REF!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1"/>
      <c r="N416" s="8">
        <f t="shared" si="1"/>
        <v>0</v>
      </c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4" x14ac:dyDescent="0.3">
      <c r="A417" s="4" t="e">
        <f>IF('Registro de Contratos'!#REF!="","-",'Registro de Contratos'!#REF!&amp;" - "&amp;'Registro de Contratos'!#REF!&amp;" - "&amp;'Registro de Contratos'!#REF!)</f>
        <v>#REF!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3"/>
      <c r="N417" s="8">
        <f t="shared" si="1"/>
        <v>0</v>
      </c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4" x14ac:dyDescent="0.3">
      <c r="A418" s="9" t="e">
        <f>IF('Registro de Contratos'!#REF!="","-",'Registro de Contratos'!#REF!&amp;" - "&amp;'Registro de Contratos'!#REF!&amp;" - "&amp;'Registro de Contratos'!#REF!)</f>
        <v>#REF!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1"/>
      <c r="N418" s="8">
        <f t="shared" si="1"/>
        <v>0</v>
      </c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4" x14ac:dyDescent="0.3">
      <c r="A419" s="4" t="e">
        <f>IF('Registro de Contratos'!#REF!="","-",'Registro de Contratos'!#REF!&amp;" - "&amp;'Registro de Contratos'!#REF!&amp;" - "&amp;'Registro de Contratos'!#REF!)</f>
        <v>#REF!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3"/>
      <c r="N419" s="8">
        <f t="shared" si="1"/>
        <v>0</v>
      </c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4" x14ac:dyDescent="0.3">
      <c r="A420" s="9" t="e">
        <f>IF('Registro de Contratos'!#REF!="","-",'Registro de Contratos'!#REF!&amp;" - "&amp;'Registro de Contratos'!#REF!&amp;" - "&amp;'Registro de Contratos'!#REF!)</f>
        <v>#REF!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1"/>
      <c r="N420" s="8">
        <f t="shared" si="1"/>
        <v>0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4" x14ac:dyDescent="0.3">
      <c r="A421" s="4" t="e">
        <f>IF('Registro de Contratos'!#REF!="","-",'Registro de Contratos'!#REF!&amp;" - "&amp;'Registro de Contratos'!#REF!&amp;" - "&amp;'Registro de Contratos'!#REF!)</f>
        <v>#REF!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3"/>
      <c r="N421" s="8">
        <f t="shared" si="1"/>
        <v>0</v>
      </c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4" x14ac:dyDescent="0.3">
      <c r="A422" s="9" t="e">
        <f>IF('Registro de Contratos'!#REF!="","-",'Registro de Contratos'!#REF!&amp;" - "&amp;'Registro de Contratos'!#REF!&amp;" - "&amp;'Registro de Contratos'!#REF!)</f>
        <v>#REF!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1"/>
      <c r="N422" s="8">
        <f t="shared" si="1"/>
        <v>0</v>
      </c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4" x14ac:dyDescent="0.3">
      <c r="A423" s="4" t="e">
        <f>IF('Registro de Contratos'!#REF!="","-",'Registro de Contratos'!#REF!&amp;" - "&amp;'Registro de Contratos'!#REF!&amp;" - "&amp;'Registro de Contratos'!#REF!)</f>
        <v>#REF!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3"/>
      <c r="N423" s="8">
        <f t="shared" si="1"/>
        <v>0</v>
      </c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4" x14ac:dyDescent="0.3">
      <c r="A424" s="9" t="e">
        <f>IF('Registro de Contratos'!#REF!="","-",'Registro de Contratos'!#REF!&amp;" - "&amp;'Registro de Contratos'!#REF!&amp;" - "&amp;'Registro de Contratos'!#REF!)</f>
        <v>#REF!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1"/>
      <c r="N424" s="8">
        <f t="shared" si="1"/>
        <v>0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4" x14ac:dyDescent="0.3">
      <c r="A425" s="4" t="e">
        <f>IF('Registro de Contratos'!#REF!="","-",'Registro de Contratos'!#REF!&amp;" - "&amp;'Registro de Contratos'!#REF!&amp;" - "&amp;'Registro de Contratos'!#REF!)</f>
        <v>#REF!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3"/>
      <c r="N425" s="8">
        <f t="shared" si="1"/>
        <v>0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4" x14ac:dyDescent="0.3">
      <c r="A426" s="9" t="e">
        <f>IF('Registro de Contratos'!#REF!="","-",'Registro de Contratos'!#REF!&amp;" - "&amp;'Registro de Contratos'!#REF!&amp;" - "&amp;'Registro de Contratos'!#REF!)</f>
        <v>#REF!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1"/>
      <c r="N426" s="8">
        <f t="shared" si="1"/>
        <v>0</v>
      </c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4" x14ac:dyDescent="0.3">
      <c r="A427" s="4" t="e">
        <f>IF('Registro de Contratos'!#REF!="","-",'Registro de Contratos'!#REF!&amp;" - "&amp;'Registro de Contratos'!#REF!&amp;" - "&amp;'Registro de Contratos'!#REF!)</f>
        <v>#REF!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3"/>
      <c r="N427" s="8">
        <f t="shared" si="1"/>
        <v>0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4" x14ac:dyDescent="0.3">
      <c r="A428" s="9" t="e">
        <f>IF('Registro de Contratos'!#REF!="","-",'Registro de Contratos'!#REF!&amp;" - "&amp;'Registro de Contratos'!#REF!&amp;" - "&amp;'Registro de Contratos'!#REF!)</f>
        <v>#REF!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1"/>
      <c r="N428" s="8">
        <f t="shared" si="1"/>
        <v>0</v>
      </c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4" x14ac:dyDescent="0.3">
      <c r="A429" s="4" t="e">
        <f>IF('Registro de Contratos'!#REF!="","-",'Registro de Contratos'!#REF!&amp;" - "&amp;'Registro de Contratos'!#REF!&amp;" - "&amp;'Registro de Contratos'!#REF!)</f>
        <v>#REF!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3"/>
      <c r="N429" s="8">
        <f t="shared" si="1"/>
        <v>0</v>
      </c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4" x14ac:dyDescent="0.3">
      <c r="A430" s="9" t="e">
        <f>IF('Registro de Contratos'!#REF!="","-",'Registro de Contratos'!#REF!&amp;" - "&amp;'Registro de Contratos'!#REF!&amp;" - "&amp;'Registro de Contratos'!#REF!)</f>
        <v>#REF!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  <c r="N430" s="8">
        <f t="shared" si="1"/>
        <v>0</v>
      </c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4" x14ac:dyDescent="0.3">
      <c r="A431" s="4" t="e">
        <f>IF('Registro de Contratos'!#REF!="","-",'Registro de Contratos'!#REF!&amp;" - "&amp;'Registro de Contratos'!#REF!&amp;" - "&amp;'Registro de Contratos'!#REF!)</f>
        <v>#REF!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3"/>
      <c r="N431" s="8">
        <f t="shared" si="1"/>
        <v>0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4" x14ac:dyDescent="0.3">
      <c r="A432" s="9" t="e">
        <f>IF('Registro de Contratos'!#REF!="","-",'Registro de Contratos'!#REF!&amp;" - "&amp;'Registro de Contratos'!#REF!&amp;" - "&amp;'Registro de Contratos'!#REF!)</f>
        <v>#REF!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1"/>
      <c r="N432" s="8">
        <f t="shared" si="1"/>
        <v>0</v>
      </c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4" x14ac:dyDescent="0.3">
      <c r="A433" s="4" t="e">
        <f>IF('Registro de Contratos'!#REF!="","-",'Registro de Contratos'!#REF!&amp;" - "&amp;'Registro de Contratos'!#REF!&amp;" - "&amp;'Registro de Contratos'!#REF!)</f>
        <v>#REF!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3"/>
      <c r="N433" s="8">
        <f t="shared" si="1"/>
        <v>0</v>
      </c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4" x14ac:dyDescent="0.3">
      <c r="A434" s="9" t="e">
        <f>IF('Registro de Contratos'!#REF!="","-",'Registro de Contratos'!#REF!&amp;" - "&amp;'Registro de Contratos'!#REF!&amp;" - "&amp;'Registro de Contratos'!#REF!)</f>
        <v>#REF!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1"/>
      <c r="N434" s="8">
        <f t="shared" si="1"/>
        <v>0</v>
      </c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4" x14ac:dyDescent="0.3">
      <c r="A435" s="4" t="e">
        <f>IF('Registro de Contratos'!#REF!="","-",'Registro de Contratos'!#REF!&amp;" - "&amp;'Registro de Contratos'!#REF!&amp;" - "&amp;'Registro de Contratos'!#REF!)</f>
        <v>#REF!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3"/>
      <c r="N435" s="8">
        <f t="shared" si="1"/>
        <v>0</v>
      </c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4" x14ac:dyDescent="0.3">
      <c r="A436" s="9" t="e">
        <f>IF('Registro de Contratos'!#REF!="","-",'Registro de Contratos'!#REF!&amp;" - "&amp;'Registro de Contratos'!#REF!&amp;" - "&amp;'Registro de Contratos'!#REF!)</f>
        <v>#REF!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1"/>
      <c r="N436" s="8">
        <f t="shared" si="1"/>
        <v>0</v>
      </c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4" x14ac:dyDescent="0.3">
      <c r="A437" s="4" t="e">
        <f>IF('Registro de Contratos'!#REF!="","-",'Registro de Contratos'!#REF!&amp;" - "&amp;'Registro de Contratos'!#REF!&amp;" - "&amp;'Registro de Contratos'!#REF!)</f>
        <v>#REF!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3"/>
      <c r="N437" s="8">
        <f t="shared" si="1"/>
        <v>0</v>
      </c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4" x14ac:dyDescent="0.3">
      <c r="A438" s="9" t="e">
        <f>IF('Registro de Contratos'!#REF!="","-",'Registro de Contratos'!#REF!&amp;" - "&amp;'Registro de Contratos'!#REF!&amp;" - "&amp;'Registro de Contratos'!#REF!)</f>
        <v>#REF!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1"/>
      <c r="N438" s="8">
        <f t="shared" si="1"/>
        <v>0</v>
      </c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4" x14ac:dyDescent="0.3">
      <c r="A439" s="4" t="e">
        <f>IF('Registro de Contratos'!#REF!="","-",'Registro de Contratos'!#REF!&amp;" - "&amp;'Registro de Contratos'!#REF!&amp;" - "&amp;'Registro de Contratos'!#REF!)</f>
        <v>#REF!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3"/>
      <c r="N439" s="8">
        <f t="shared" si="1"/>
        <v>0</v>
      </c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4" x14ac:dyDescent="0.3">
      <c r="A440" s="9" t="e">
        <f>IF('Registro de Contratos'!#REF!="","-",'Registro de Contratos'!#REF!&amp;" - "&amp;'Registro de Contratos'!#REF!&amp;" - "&amp;'Registro de Contratos'!#REF!)</f>
        <v>#REF!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1"/>
      <c r="N440" s="8">
        <f t="shared" si="1"/>
        <v>0</v>
      </c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4" x14ac:dyDescent="0.3">
      <c r="A441" s="4" t="e">
        <f>IF('Registro de Contratos'!#REF!="","-",'Registro de Contratos'!#REF!&amp;" - "&amp;'Registro de Contratos'!#REF!&amp;" - "&amp;'Registro de Contratos'!#REF!)</f>
        <v>#REF!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3"/>
      <c r="N441" s="8">
        <f t="shared" si="1"/>
        <v>0</v>
      </c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4" x14ac:dyDescent="0.3">
      <c r="A442" s="9" t="e">
        <f>IF('Registro de Contratos'!#REF!="","-",'Registro de Contratos'!#REF!&amp;" - "&amp;'Registro de Contratos'!#REF!&amp;" - "&amp;'Registro de Contratos'!#REF!)</f>
        <v>#REF!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1"/>
      <c r="N442" s="8">
        <f t="shared" si="1"/>
        <v>0</v>
      </c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4" x14ac:dyDescent="0.3">
      <c r="A443" s="4" t="e">
        <f>IF('Registro de Contratos'!#REF!="","-",'Registro de Contratos'!#REF!&amp;" - "&amp;'Registro de Contratos'!#REF!&amp;" - "&amp;'Registro de Contratos'!#REF!)</f>
        <v>#REF!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3"/>
      <c r="N443" s="8">
        <f t="shared" si="1"/>
        <v>0</v>
      </c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4" x14ac:dyDescent="0.3">
      <c r="A444" s="9" t="e">
        <f>IF('Registro de Contratos'!#REF!="","-",'Registro de Contratos'!#REF!&amp;" - "&amp;'Registro de Contratos'!#REF!&amp;" - "&amp;'Registro de Contratos'!#REF!)</f>
        <v>#REF!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1"/>
      <c r="N444" s="8">
        <f t="shared" si="1"/>
        <v>0</v>
      </c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4" x14ac:dyDescent="0.3">
      <c r="A445" s="4" t="e">
        <f>IF('Registro de Contratos'!#REF!="","-",'Registro de Contratos'!#REF!&amp;" - "&amp;'Registro de Contratos'!#REF!&amp;" - "&amp;'Registro de Contratos'!#REF!)</f>
        <v>#REF!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3"/>
      <c r="N445" s="8">
        <f t="shared" si="1"/>
        <v>0</v>
      </c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4" x14ac:dyDescent="0.3">
      <c r="A446" s="9" t="e">
        <f>IF('Registro de Contratos'!#REF!="","-",'Registro de Contratos'!#REF!&amp;" - "&amp;'Registro de Contratos'!#REF!&amp;" - "&amp;'Registro de Contratos'!#REF!)</f>
        <v>#REF!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1"/>
      <c r="N446" s="8">
        <f t="shared" si="1"/>
        <v>0</v>
      </c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4" x14ac:dyDescent="0.3">
      <c r="A447" s="4" t="e">
        <f>IF('Registro de Contratos'!#REF!="","-",'Registro de Contratos'!#REF!&amp;" - "&amp;'Registro de Contratos'!#REF!&amp;" - "&amp;'Registro de Contratos'!#REF!)</f>
        <v>#REF!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3"/>
      <c r="N447" s="8">
        <f t="shared" si="1"/>
        <v>0</v>
      </c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4" x14ac:dyDescent="0.3">
      <c r="A448" s="9" t="e">
        <f>IF('Registro de Contratos'!#REF!="","-",'Registro de Contratos'!#REF!&amp;" - "&amp;'Registro de Contratos'!#REF!&amp;" - "&amp;'Registro de Contratos'!#REF!)</f>
        <v>#REF!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1"/>
      <c r="N448" s="8">
        <f t="shared" si="1"/>
        <v>0</v>
      </c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4" x14ac:dyDescent="0.3">
      <c r="A449" s="4" t="e">
        <f>IF('Registro de Contratos'!#REF!="","-",'Registro de Contratos'!#REF!&amp;" - "&amp;'Registro de Contratos'!#REF!&amp;" - "&amp;'Registro de Contratos'!#REF!)</f>
        <v>#REF!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3"/>
      <c r="N449" s="8">
        <f t="shared" si="1"/>
        <v>0</v>
      </c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4" x14ac:dyDescent="0.3">
      <c r="A450" s="9" t="e">
        <f>IF('Registro de Contratos'!#REF!="","-",'Registro de Contratos'!#REF!&amp;" - "&amp;'Registro de Contratos'!#REF!&amp;" - "&amp;'Registro de Contratos'!#REF!)</f>
        <v>#REF!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1"/>
      <c r="N450" s="8">
        <f t="shared" si="1"/>
        <v>0</v>
      </c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4" x14ac:dyDescent="0.3">
      <c r="A451" s="4" t="e">
        <f>IF('Registro de Contratos'!#REF!="","-",'Registro de Contratos'!#REF!&amp;" - "&amp;'Registro de Contratos'!#REF!&amp;" - "&amp;'Registro de Contratos'!#REF!)</f>
        <v>#REF!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3"/>
      <c r="N451" s="8">
        <f t="shared" si="1"/>
        <v>0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4" x14ac:dyDescent="0.3">
      <c r="A452" s="9" t="e">
        <f>IF('Registro de Contratos'!#REF!="","-",'Registro de Contratos'!#REF!&amp;" - "&amp;'Registro de Contratos'!#REF!&amp;" - "&amp;'Registro de Contratos'!#REF!)</f>
        <v>#REF!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  <c r="N452" s="8">
        <f t="shared" si="1"/>
        <v>0</v>
      </c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4" x14ac:dyDescent="0.3">
      <c r="A453" s="4" t="e">
        <f>IF('Registro de Contratos'!#REF!="","-",'Registro de Contratos'!#REF!&amp;" - "&amp;'Registro de Contratos'!#REF!&amp;" - "&amp;'Registro de Contratos'!#REF!)</f>
        <v>#REF!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3"/>
      <c r="N453" s="8">
        <f t="shared" si="1"/>
        <v>0</v>
      </c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4" x14ac:dyDescent="0.3">
      <c r="A454" s="9" t="e">
        <f>IF('Registro de Contratos'!#REF!="","-",'Registro de Contratos'!#REF!&amp;" - "&amp;'Registro de Contratos'!#REF!&amp;" - "&amp;'Registro de Contratos'!#REF!)</f>
        <v>#REF!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1"/>
      <c r="N454" s="8">
        <f t="shared" si="1"/>
        <v>0</v>
      </c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4" x14ac:dyDescent="0.3">
      <c r="A455" s="4" t="e">
        <f>IF('Registro de Contratos'!#REF!="","-",'Registro de Contratos'!#REF!&amp;" - "&amp;'Registro de Contratos'!#REF!&amp;" - "&amp;'Registro de Contratos'!#REF!)</f>
        <v>#REF!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3"/>
      <c r="N455" s="8">
        <f t="shared" si="1"/>
        <v>0</v>
      </c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4" x14ac:dyDescent="0.3">
      <c r="A456" s="9" t="e">
        <f>IF('Registro de Contratos'!#REF!="","-",'Registro de Contratos'!#REF!&amp;" - "&amp;'Registro de Contratos'!#REF!&amp;" - "&amp;'Registro de Contratos'!#REF!)</f>
        <v>#REF!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1"/>
      <c r="N456" s="8">
        <f t="shared" si="1"/>
        <v>0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4" x14ac:dyDescent="0.3">
      <c r="A457" s="4" t="e">
        <f>IF('Registro de Contratos'!#REF!="","-",'Registro de Contratos'!#REF!&amp;" - "&amp;'Registro de Contratos'!#REF!&amp;" - "&amp;'Registro de Contratos'!#REF!)</f>
        <v>#REF!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3"/>
      <c r="N457" s="8">
        <f t="shared" si="1"/>
        <v>0</v>
      </c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4" x14ac:dyDescent="0.3">
      <c r="A458" s="9" t="e">
        <f>IF('Registro de Contratos'!#REF!="","-",'Registro de Contratos'!#REF!&amp;" - "&amp;'Registro de Contratos'!#REF!&amp;" - "&amp;'Registro de Contratos'!#REF!)</f>
        <v>#REF!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1"/>
      <c r="N458" s="8">
        <f t="shared" si="1"/>
        <v>0</v>
      </c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4" x14ac:dyDescent="0.3">
      <c r="A459" s="4" t="e">
        <f>IF('Registro de Contratos'!#REF!="","-",'Registro de Contratos'!#REF!&amp;" - "&amp;'Registro de Contratos'!#REF!&amp;" - "&amp;'Registro de Contratos'!#REF!)</f>
        <v>#REF!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3"/>
      <c r="N459" s="8">
        <f t="shared" si="1"/>
        <v>0</v>
      </c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4" x14ac:dyDescent="0.3">
      <c r="A460" s="9" t="e">
        <f>IF('Registro de Contratos'!#REF!="","-",'Registro de Contratos'!#REF!&amp;" - "&amp;'Registro de Contratos'!#REF!&amp;" - "&amp;'Registro de Contratos'!#REF!)</f>
        <v>#REF!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1"/>
      <c r="N460" s="8">
        <f t="shared" si="1"/>
        <v>0</v>
      </c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4" x14ac:dyDescent="0.3">
      <c r="A461" s="4" t="e">
        <f>IF('Registro de Contratos'!#REF!="","-",'Registro de Contratos'!#REF!&amp;" - "&amp;'Registro de Contratos'!#REF!&amp;" - "&amp;'Registro de Contratos'!#REF!)</f>
        <v>#REF!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3"/>
      <c r="N461" s="8">
        <f t="shared" si="1"/>
        <v>0</v>
      </c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4" x14ac:dyDescent="0.3">
      <c r="A462" s="9" t="e">
        <f>IF('Registro de Contratos'!#REF!="","-",'Registro de Contratos'!#REF!&amp;" - "&amp;'Registro de Contratos'!#REF!&amp;" - "&amp;'Registro de Contratos'!#REF!)</f>
        <v>#REF!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1"/>
      <c r="N462" s="8">
        <f t="shared" si="1"/>
        <v>0</v>
      </c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4" x14ac:dyDescent="0.3">
      <c r="A463" s="4" t="e">
        <f>IF('Registro de Contratos'!#REF!="","-",'Registro de Contratos'!#REF!&amp;" - "&amp;'Registro de Contratos'!#REF!&amp;" - "&amp;'Registro de Contratos'!#REF!)</f>
        <v>#REF!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3"/>
      <c r="N463" s="8">
        <f t="shared" si="1"/>
        <v>0</v>
      </c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4" x14ac:dyDescent="0.3">
      <c r="A464" s="9" t="e">
        <f>IF('Registro de Contratos'!#REF!="","-",'Registro de Contratos'!#REF!&amp;" - "&amp;'Registro de Contratos'!#REF!&amp;" - "&amp;'Registro de Contratos'!#REF!)</f>
        <v>#REF!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1"/>
      <c r="N464" s="8">
        <f t="shared" si="1"/>
        <v>0</v>
      </c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4" x14ac:dyDescent="0.3">
      <c r="A465" s="4" t="e">
        <f>IF('Registro de Contratos'!#REF!="","-",'Registro de Contratos'!#REF!&amp;" - "&amp;'Registro de Contratos'!#REF!&amp;" - "&amp;'Registro de Contratos'!#REF!)</f>
        <v>#REF!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3"/>
      <c r="N465" s="8">
        <f t="shared" si="1"/>
        <v>0</v>
      </c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4" x14ac:dyDescent="0.3">
      <c r="A466" s="9" t="e">
        <f>IF('Registro de Contratos'!#REF!="","-",'Registro de Contratos'!#REF!&amp;" - "&amp;'Registro de Contratos'!#REF!&amp;" - "&amp;'Registro de Contratos'!#REF!)</f>
        <v>#REF!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1"/>
      <c r="N466" s="8">
        <f t="shared" si="1"/>
        <v>0</v>
      </c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4" x14ac:dyDescent="0.3">
      <c r="A467" s="4" t="e">
        <f>IF('Registro de Contratos'!#REF!="","-",'Registro de Contratos'!#REF!&amp;" - "&amp;'Registro de Contratos'!#REF!&amp;" - "&amp;'Registro de Contratos'!#REF!)</f>
        <v>#REF!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3"/>
      <c r="N467" s="8">
        <f t="shared" si="1"/>
        <v>0</v>
      </c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4" x14ac:dyDescent="0.3">
      <c r="A468" s="9" t="e">
        <f>IF('Registro de Contratos'!#REF!="","-",'Registro de Contratos'!#REF!&amp;" - "&amp;'Registro de Contratos'!#REF!&amp;" - "&amp;'Registro de Contratos'!#REF!)</f>
        <v>#REF!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1"/>
      <c r="N468" s="8">
        <f t="shared" si="1"/>
        <v>0</v>
      </c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4" x14ac:dyDescent="0.3">
      <c r="A469" s="4" t="e">
        <f>IF('Registro de Contratos'!#REF!="","-",'Registro de Contratos'!#REF!&amp;" - "&amp;'Registro de Contratos'!#REF!&amp;" - "&amp;'Registro de Contratos'!#REF!)</f>
        <v>#REF!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3"/>
      <c r="N469" s="8">
        <f t="shared" si="1"/>
        <v>0</v>
      </c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4" x14ac:dyDescent="0.3">
      <c r="A470" s="9" t="e">
        <f>IF('Registro de Contratos'!#REF!="","-",'Registro de Contratos'!#REF!&amp;" - "&amp;'Registro de Contratos'!#REF!&amp;" - "&amp;'Registro de Contratos'!#REF!)</f>
        <v>#REF!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1"/>
      <c r="N470" s="8">
        <f t="shared" si="1"/>
        <v>0</v>
      </c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4" x14ac:dyDescent="0.3">
      <c r="A471" s="4" t="e">
        <f>IF('Registro de Contratos'!#REF!="","-",'Registro de Contratos'!#REF!&amp;" - "&amp;'Registro de Contratos'!#REF!&amp;" - "&amp;'Registro de Contratos'!#REF!)</f>
        <v>#REF!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3"/>
      <c r="N471" s="8">
        <f t="shared" si="1"/>
        <v>0</v>
      </c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4" x14ac:dyDescent="0.3">
      <c r="A472" s="9" t="e">
        <f>IF('Registro de Contratos'!#REF!="","-",'Registro de Contratos'!#REF!&amp;" - "&amp;'Registro de Contratos'!#REF!&amp;" - "&amp;'Registro de Contratos'!#REF!)</f>
        <v>#REF!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1"/>
      <c r="N472" s="8">
        <f t="shared" si="1"/>
        <v>0</v>
      </c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4" x14ac:dyDescent="0.3">
      <c r="A473" s="4" t="e">
        <f>IF('Registro de Contratos'!#REF!="","-",'Registro de Contratos'!#REF!&amp;" - "&amp;'Registro de Contratos'!#REF!&amp;" - "&amp;'Registro de Contratos'!#REF!)</f>
        <v>#REF!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3"/>
      <c r="N473" s="8">
        <f t="shared" si="1"/>
        <v>0</v>
      </c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4" x14ac:dyDescent="0.3">
      <c r="A474" s="9" t="e">
        <f>IF('Registro de Contratos'!#REF!="","-",'Registro de Contratos'!#REF!&amp;" - "&amp;'Registro de Contratos'!#REF!&amp;" - "&amp;'Registro de Contratos'!#REF!)</f>
        <v>#REF!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  <c r="N474" s="8">
        <f t="shared" si="1"/>
        <v>0</v>
      </c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4" x14ac:dyDescent="0.3">
      <c r="A475" s="4" t="e">
        <f>IF('Registro de Contratos'!#REF!="","-",'Registro de Contratos'!#REF!&amp;" - "&amp;'Registro de Contratos'!#REF!&amp;" - "&amp;'Registro de Contratos'!#REF!)</f>
        <v>#REF!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3"/>
      <c r="N475" s="8">
        <f t="shared" si="1"/>
        <v>0</v>
      </c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4" x14ac:dyDescent="0.3">
      <c r="A476" s="9" t="e">
        <f>IF('Registro de Contratos'!#REF!="","-",'Registro de Contratos'!#REF!&amp;" - "&amp;'Registro de Contratos'!#REF!&amp;" - "&amp;'Registro de Contratos'!#REF!)</f>
        <v>#REF!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1"/>
      <c r="N476" s="8">
        <f t="shared" si="1"/>
        <v>0</v>
      </c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4" x14ac:dyDescent="0.3">
      <c r="A477" s="4" t="e">
        <f>IF('Registro de Contratos'!#REF!="","-",'Registro de Contratos'!#REF!&amp;" - "&amp;'Registro de Contratos'!#REF!&amp;" - "&amp;'Registro de Contratos'!#REF!)</f>
        <v>#REF!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3"/>
      <c r="N477" s="8">
        <f t="shared" si="1"/>
        <v>0</v>
      </c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4" x14ac:dyDescent="0.3">
      <c r="A478" s="9" t="e">
        <f>IF('Registro de Contratos'!#REF!="","-",'Registro de Contratos'!#REF!&amp;" - "&amp;'Registro de Contratos'!#REF!&amp;" - "&amp;'Registro de Contratos'!#REF!)</f>
        <v>#REF!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1"/>
      <c r="N478" s="8">
        <f t="shared" si="1"/>
        <v>0</v>
      </c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4" x14ac:dyDescent="0.3">
      <c r="A479" s="4" t="e">
        <f>IF('Registro de Contratos'!#REF!="","-",'Registro de Contratos'!#REF!&amp;" - "&amp;'Registro de Contratos'!#REF!&amp;" - "&amp;'Registro de Contratos'!#REF!)</f>
        <v>#REF!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3"/>
      <c r="N479" s="8">
        <f t="shared" si="1"/>
        <v>0</v>
      </c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4" x14ac:dyDescent="0.3">
      <c r="A480" s="9" t="e">
        <f>IF('Registro de Contratos'!#REF!="","-",'Registro de Contratos'!#REF!&amp;" - "&amp;'Registro de Contratos'!#REF!&amp;" - "&amp;'Registro de Contratos'!#REF!)</f>
        <v>#REF!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1"/>
      <c r="N480" s="8">
        <f t="shared" si="1"/>
        <v>0</v>
      </c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4" x14ac:dyDescent="0.3">
      <c r="A481" s="4" t="e">
        <f>IF('Registro de Contratos'!#REF!="","-",'Registro de Contratos'!#REF!&amp;" - "&amp;'Registro de Contratos'!#REF!&amp;" - "&amp;'Registro de Contratos'!#REF!)</f>
        <v>#REF!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3"/>
      <c r="N481" s="8">
        <f t="shared" si="1"/>
        <v>0</v>
      </c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4" x14ac:dyDescent="0.3">
      <c r="A482" s="9" t="e">
        <f>IF('Registro de Contratos'!#REF!="","-",'Registro de Contratos'!#REF!&amp;" - "&amp;'Registro de Contratos'!#REF!&amp;" - "&amp;'Registro de Contratos'!#REF!)</f>
        <v>#REF!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1"/>
      <c r="N482" s="8">
        <f t="shared" si="1"/>
        <v>0</v>
      </c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4" x14ac:dyDescent="0.3">
      <c r="A483" s="4" t="e">
        <f>IF('Registro de Contratos'!#REF!="","-",'Registro de Contratos'!#REF!&amp;" - "&amp;'Registro de Contratos'!#REF!&amp;" - "&amp;'Registro de Contratos'!#REF!)</f>
        <v>#REF!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3"/>
      <c r="N483" s="8">
        <f t="shared" si="1"/>
        <v>0</v>
      </c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4" x14ac:dyDescent="0.3">
      <c r="A484" s="9" t="e">
        <f>IF('Registro de Contratos'!#REF!="","-",'Registro de Contratos'!#REF!&amp;" - "&amp;'Registro de Contratos'!#REF!&amp;" - "&amp;'Registro de Contratos'!#REF!)</f>
        <v>#REF!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1"/>
      <c r="N484" s="8">
        <f t="shared" si="1"/>
        <v>0</v>
      </c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4" x14ac:dyDescent="0.3">
      <c r="A485" s="4" t="e">
        <f>IF('Registro de Contratos'!#REF!="","-",'Registro de Contratos'!#REF!&amp;" - "&amp;'Registro de Contratos'!#REF!&amp;" - "&amp;'Registro de Contratos'!#REF!)</f>
        <v>#REF!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3"/>
      <c r="N485" s="8">
        <f t="shared" si="1"/>
        <v>0</v>
      </c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4" x14ac:dyDescent="0.3">
      <c r="A486" s="9" t="e">
        <f>IF('Registro de Contratos'!#REF!="","-",'Registro de Contratos'!#REF!&amp;" - "&amp;'Registro de Contratos'!#REF!&amp;" - "&amp;'Registro de Contratos'!#REF!)</f>
        <v>#REF!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8">
        <f t="shared" si="1"/>
        <v>0</v>
      </c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4" x14ac:dyDescent="0.3">
      <c r="A487" s="4" t="e">
        <f>IF('Registro de Contratos'!#REF!="","-",'Registro de Contratos'!#REF!&amp;" - "&amp;'Registro de Contratos'!#REF!&amp;" - "&amp;'Registro de Contratos'!#REF!)</f>
        <v>#REF!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3"/>
      <c r="N487" s="8">
        <f t="shared" si="1"/>
        <v>0</v>
      </c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4" x14ac:dyDescent="0.3">
      <c r="A488" s="9" t="e">
        <f>IF('Registro de Contratos'!#REF!="","-",'Registro de Contratos'!#REF!&amp;" - "&amp;'Registro de Contratos'!#REF!&amp;" - "&amp;'Registro de Contratos'!#REF!)</f>
        <v>#REF!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1"/>
      <c r="N488" s="8">
        <f t="shared" si="1"/>
        <v>0</v>
      </c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4" x14ac:dyDescent="0.3">
      <c r="A489" s="4" t="e">
        <f>IF('Registro de Contratos'!#REF!="","-",'Registro de Contratos'!#REF!&amp;" - "&amp;'Registro de Contratos'!#REF!&amp;" - "&amp;'Registro de Contratos'!#REF!)</f>
        <v>#REF!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3"/>
      <c r="N489" s="8">
        <f t="shared" si="1"/>
        <v>0</v>
      </c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4" x14ac:dyDescent="0.3">
      <c r="A490" s="9" t="e">
        <f>IF('Registro de Contratos'!#REF!="","-",'Registro de Contratos'!#REF!&amp;" - "&amp;'Registro de Contratos'!#REF!&amp;" - "&amp;'Registro de Contratos'!#REF!)</f>
        <v>#REF!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1"/>
      <c r="N490" s="8">
        <f t="shared" si="1"/>
        <v>0</v>
      </c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4" x14ac:dyDescent="0.3">
      <c r="A491" s="4" t="e">
        <f>IF('Registro de Contratos'!#REF!="","-",'Registro de Contratos'!#REF!&amp;" - "&amp;'Registro de Contratos'!#REF!&amp;" - "&amp;'Registro de Contratos'!#REF!)</f>
        <v>#REF!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3"/>
      <c r="N491" s="8">
        <f t="shared" si="1"/>
        <v>0</v>
      </c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4" x14ac:dyDescent="0.3">
      <c r="A492" s="9" t="e">
        <f>IF('Registro de Contratos'!#REF!="","-",'Registro de Contratos'!#REF!&amp;" - "&amp;'Registro de Contratos'!#REF!&amp;" - "&amp;'Registro de Contratos'!#REF!)</f>
        <v>#REF!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1"/>
      <c r="N492" s="8">
        <f t="shared" si="1"/>
        <v>0</v>
      </c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4" x14ac:dyDescent="0.3">
      <c r="A493" s="4" t="e">
        <f>IF('Registro de Contratos'!#REF!="","-",'Registro de Contratos'!#REF!&amp;" - "&amp;'Registro de Contratos'!#REF!&amp;" - "&amp;'Registro de Contratos'!#REF!)</f>
        <v>#REF!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3"/>
      <c r="N493" s="8">
        <f t="shared" si="1"/>
        <v>0</v>
      </c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4" x14ac:dyDescent="0.3">
      <c r="A494" s="9" t="e">
        <f>IF('Registro de Contratos'!#REF!="","-",'Registro de Contratos'!#REF!&amp;" - "&amp;'Registro de Contratos'!#REF!&amp;" - "&amp;'Registro de Contratos'!#REF!)</f>
        <v>#REF!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1"/>
      <c r="N494" s="8">
        <f t="shared" si="1"/>
        <v>0</v>
      </c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4" x14ac:dyDescent="0.3">
      <c r="A495" s="4" t="e">
        <f>IF('Registro de Contratos'!#REF!="","-",'Registro de Contratos'!#REF!&amp;" - "&amp;'Registro de Contratos'!#REF!&amp;" - "&amp;'Registro de Contratos'!#REF!)</f>
        <v>#REF!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3"/>
      <c r="N495" s="8">
        <f t="shared" si="1"/>
        <v>0</v>
      </c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4" x14ac:dyDescent="0.3">
      <c r="A496" s="9" t="e">
        <f>IF('Registro de Contratos'!#REF!="","-",'Registro de Contratos'!#REF!&amp;" - "&amp;'Registro de Contratos'!#REF!&amp;" - "&amp;'Registro de Contratos'!#REF!)</f>
        <v>#REF!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  <c r="N496" s="8">
        <f t="shared" si="1"/>
        <v>0</v>
      </c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4" x14ac:dyDescent="0.3">
      <c r="A497" s="4" t="e">
        <f>IF('Registro de Contratos'!#REF!="","-",'Registro de Contratos'!#REF!&amp;" - "&amp;'Registro de Contratos'!#REF!&amp;" - "&amp;'Registro de Contratos'!#REF!)</f>
        <v>#REF!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3"/>
      <c r="N497" s="8">
        <f t="shared" si="1"/>
        <v>0</v>
      </c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4" x14ac:dyDescent="0.3">
      <c r="A498" s="9" t="e">
        <f>IF('Registro de Contratos'!#REF!="","-",'Registro de Contratos'!#REF!&amp;" - "&amp;'Registro de Contratos'!#REF!&amp;" - "&amp;'Registro de Contratos'!#REF!)</f>
        <v>#REF!</v>
      </c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1"/>
      <c r="N498" s="8">
        <f t="shared" si="1"/>
        <v>0</v>
      </c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4" x14ac:dyDescent="0.3">
      <c r="A499" s="4" t="e">
        <f>IF('Registro de Contratos'!#REF!="","-",'Registro de Contratos'!#REF!&amp;" - "&amp;'Registro de Contratos'!#REF!&amp;" - "&amp;'Registro de Contratos'!#REF!)</f>
        <v>#REF!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"/>
      <c r="N499" s="8">
        <f t="shared" si="1"/>
        <v>0</v>
      </c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4" x14ac:dyDescent="0.3">
      <c r="A500" s="9" t="e">
        <f>IF('Registro de Contratos'!#REF!="","-",'Registro de Contratos'!#REF!&amp;" - "&amp;'Registro de Contratos'!#REF!&amp;" - "&amp;'Registro de Contratos'!#REF!)</f>
        <v>#REF!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1"/>
      <c r="N500" s="8">
        <f t="shared" si="1"/>
        <v>0</v>
      </c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4" x14ac:dyDescent="0.3">
      <c r="A501" s="4" t="e">
        <f>IF('Registro de Contratos'!#REF!="","-",'Registro de Contratos'!#REF!&amp;" - "&amp;'Registro de Contratos'!#REF!&amp;" - "&amp;'Registro de Contratos'!#REF!)</f>
        <v>#REF!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3"/>
      <c r="N501" s="8">
        <f t="shared" si="1"/>
        <v>0</v>
      </c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4" x14ac:dyDescent="0.3">
      <c r="A502" s="9" t="e">
        <f>IF('Registro de Contratos'!#REF!="","-",'Registro de Contratos'!#REF!&amp;" - "&amp;'Registro de Contratos'!#REF!&amp;" - "&amp;'Registro de Contratos'!#REF!)</f>
        <v>#REF!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1"/>
      <c r="N502" s="8">
        <f t="shared" si="1"/>
        <v>0</v>
      </c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4" x14ac:dyDescent="0.3">
      <c r="A503" s="4" t="e">
        <f>IF('Registro de Contratos'!#REF!="","-",'Registro de Contratos'!#REF!&amp;" - "&amp;'Registro de Contratos'!#REF!&amp;" - "&amp;'Registro de Contratos'!#REF!)</f>
        <v>#REF!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3"/>
      <c r="N503" s="8">
        <f t="shared" si="1"/>
        <v>0</v>
      </c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4" x14ac:dyDescent="0.3">
      <c r="A504" s="9" t="e">
        <f>IF('Registro de Contratos'!#REF!="","-",'Registro de Contratos'!#REF!&amp;" - "&amp;'Registro de Contratos'!#REF!&amp;" - "&amp;'Registro de Contratos'!#REF!)</f>
        <v>#REF!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1"/>
      <c r="N504" s="8">
        <f t="shared" si="1"/>
        <v>0</v>
      </c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4" x14ac:dyDescent="0.3">
      <c r="A505" s="4" t="e">
        <f>IF('Registro de Contratos'!#REF!="","-",'Registro de Contratos'!#REF!&amp;" - "&amp;'Registro de Contratos'!#REF!&amp;" - "&amp;'Registro de Contratos'!#REF!)</f>
        <v>#REF!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3"/>
      <c r="N505" s="8">
        <f t="shared" si="1"/>
        <v>0</v>
      </c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4" x14ac:dyDescent="0.3">
      <c r="A506" s="9" t="e">
        <f>IF('Registro de Contratos'!#REF!="","-",'Registro de Contratos'!#REF!&amp;" - "&amp;'Registro de Contratos'!#REF!&amp;" - "&amp;'Registro de Contratos'!#REF!)</f>
        <v>#REF!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1"/>
      <c r="N506" s="8">
        <f t="shared" si="1"/>
        <v>0</v>
      </c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4" x14ac:dyDescent="0.3">
      <c r="A507" s="4" t="e">
        <f>IF('Registro de Contratos'!#REF!="","-",'Registro de Contratos'!#REF!&amp;" - "&amp;'Registro de Contratos'!#REF!&amp;" - "&amp;'Registro de Contratos'!#REF!)</f>
        <v>#REF!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3"/>
      <c r="N507" s="8">
        <f t="shared" si="1"/>
        <v>0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4" x14ac:dyDescent="0.3">
      <c r="A508" s="9" t="e">
        <f>IF('Registro de Contratos'!#REF!="","-",'Registro de Contratos'!#REF!&amp;" - "&amp;'Registro de Contratos'!#REF!&amp;" - "&amp;'Registro de Contratos'!#REF!)</f>
        <v>#REF!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1"/>
      <c r="N508" s="8">
        <f t="shared" si="1"/>
        <v>0</v>
      </c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4" x14ac:dyDescent="0.3">
      <c r="A509" s="4" t="e">
        <f>IF('Registro de Contratos'!#REF!="","-",'Registro de Contratos'!#REF!&amp;" - "&amp;'Registro de Contratos'!#REF!&amp;" - "&amp;'Registro de Contratos'!#REF!)</f>
        <v>#REF!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3"/>
      <c r="N509" s="8">
        <f t="shared" si="1"/>
        <v>0</v>
      </c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4" x14ac:dyDescent="0.3">
      <c r="A510" s="9" t="e">
        <f>IF('Registro de Contratos'!#REF!="","-",'Registro de Contratos'!#REF!&amp;" - "&amp;'Registro de Contratos'!#REF!&amp;" - "&amp;'Registro de Contratos'!#REF!)</f>
        <v>#REF!</v>
      </c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1"/>
      <c r="N510" s="8">
        <f t="shared" si="1"/>
        <v>0</v>
      </c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4" x14ac:dyDescent="0.3">
      <c r="A511" s="4" t="e">
        <f>IF('Registro de Contratos'!#REF!="","-",'Registro de Contratos'!#REF!&amp;" - "&amp;'Registro de Contratos'!#REF!&amp;" - "&amp;'Registro de Contratos'!#REF!)</f>
        <v>#REF!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3"/>
      <c r="N511" s="8">
        <f t="shared" si="1"/>
        <v>0</v>
      </c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4" x14ac:dyDescent="0.3">
      <c r="A512" s="9" t="e">
        <f>IF('Registro de Contratos'!#REF!="","-",'Registro de Contratos'!#REF!&amp;" - "&amp;'Registro de Contratos'!#REF!&amp;" - "&amp;'Registro de Contratos'!#REF!)</f>
        <v>#REF!</v>
      </c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1"/>
      <c r="N512" s="8">
        <f t="shared" si="1"/>
        <v>0</v>
      </c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4" x14ac:dyDescent="0.3">
      <c r="A513" s="4" t="e">
        <f>IF('Registro de Contratos'!#REF!="","-",'Registro de Contratos'!#REF!&amp;" - "&amp;'Registro de Contratos'!#REF!&amp;" - "&amp;'Registro de Contratos'!#REF!)</f>
        <v>#REF!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3"/>
      <c r="N513" s="8">
        <f t="shared" si="1"/>
        <v>0</v>
      </c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4" x14ac:dyDescent="0.3">
      <c r="A514" s="9" t="e">
        <f>IF('Registro de Contratos'!#REF!="","-",'Registro de Contratos'!#REF!&amp;" - "&amp;'Registro de Contratos'!#REF!&amp;" - "&amp;'Registro de Contratos'!#REF!)</f>
        <v>#REF!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1"/>
      <c r="N514" s="8">
        <f t="shared" si="1"/>
        <v>0</v>
      </c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4" x14ac:dyDescent="0.3">
      <c r="A515" s="4" t="e">
        <f>IF('Registro de Contratos'!#REF!="","-",'Registro de Contratos'!#REF!&amp;" - "&amp;'Registro de Contratos'!#REF!&amp;" - "&amp;'Registro de Contratos'!#REF!)</f>
        <v>#REF!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3"/>
      <c r="N515" s="8">
        <f t="shared" ref="N515:N769" si="2">SUM(B515:M515)</f>
        <v>0</v>
      </c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4" x14ac:dyDescent="0.3">
      <c r="A516" s="9" t="e">
        <f>IF('Registro de Contratos'!#REF!="","-",'Registro de Contratos'!#REF!&amp;" - "&amp;'Registro de Contratos'!#REF!&amp;" - "&amp;'Registro de Contratos'!#REF!)</f>
        <v>#REF!</v>
      </c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1"/>
      <c r="N516" s="8">
        <f t="shared" si="2"/>
        <v>0</v>
      </c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4" x14ac:dyDescent="0.3">
      <c r="A517" s="4" t="e">
        <f>IF('Registro de Contratos'!#REF!="","-",'Registro de Contratos'!#REF!&amp;" - "&amp;'Registro de Contratos'!#REF!&amp;" - "&amp;'Registro de Contratos'!#REF!)</f>
        <v>#REF!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3"/>
      <c r="N517" s="8">
        <f t="shared" si="2"/>
        <v>0</v>
      </c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4" x14ac:dyDescent="0.3">
      <c r="A518" s="9" t="e">
        <f>IF('Registro de Contratos'!#REF!="","-",'Registro de Contratos'!#REF!&amp;" - "&amp;'Registro de Contratos'!#REF!&amp;" - "&amp;'Registro de Contratos'!#REF!)</f>
        <v>#REF!</v>
      </c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8">
        <f t="shared" si="2"/>
        <v>0</v>
      </c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4" x14ac:dyDescent="0.3">
      <c r="A519" s="4" t="e">
        <f>IF('Registro de Contratos'!#REF!="","-",'Registro de Contratos'!#REF!&amp;" - "&amp;'Registro de Contratos'!#REF!&amp;" - "&amp;'Registro de Contratos'!#REF!)</f>
        <v>#REF!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3"/>
      <c r="N519" s="8">
        <f t="shared" si="2"/>
        <v>0</v>
      </c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4" x14ac:dyDescent="0.3">
      <c r="A520" s="9" t="e">
        <f>IF('Registro de Contratos'!#REF!="","-",'Registro de Contratos'!#REF!&amp;" - "&amp;'Registro de Contratos'!#REF!&amp;" - "&amp;'Registro de Contratos'!#REF!)</f>
        <v>#REF!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1"/>
      <c r="N520" s="8">
        <f t="shared" si="2"/>
        <v>0</v>
      </c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4" x14ac:dyDescent="0.3">
      <c r="A521" s="4" t="e">
        <f>IF('Registro de Contratos'!#REF!="","-",'Registro de Contratos'!#REF!&amp;" - "&amp;'Registro de Contratos'!#REF!&amp;" - "&amp;'Registro de Contratos'!#REF!)</f>
        <v>#REF!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3"/>
      <c r="N521" s="8">
        <f t="shared" si="2"/>
        <v>0</v>
      </c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4" x14ac:dyDescent="0.3">
      <c r="A522" s="9" t="e">
        <f>IF('Registro de Contratos'!#REF!="","-",'Registro de Contratos'!#REF!&amp;" - "&amp;'Registro de Contratos'!#REF!&amp;" - "&amp;'Registro de Contratos'!#REF!)</f>
        <v>#REF!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1"/>
      <c r="N522" s="8">
        <f t="shared" si="2"/>
        <v>0</v>
      </c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4" x14ac:dyDescent="0.3">
      <c r="A523" s="4" t="e">
        <f>IF('Registro de Contratos'!#REF!="","-",'Registro de Contratos'!#REF!&amp;" - "&amp;'Registro de Contratos'!#REF!&amp;" - "&amp;'Registro de Contratos'!#REF!)</f>
        <v>#REF!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3"/>
      <c r="N523" s="8">
        <f t="shared" si="2"/>
        <v>0</v>
      </c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4" x14ac:dyDescent="0.3">
      <c r="A524" s="9" t="e">
        <f>IF('Registro de Contratos'!#REF!="","-",'Registro de Contratos'!#REF!&amp;" - "&amp;'Registro de Contratos'!#REF!&amp;" - "&amp;'Registro de Contratos'!#REF!)</f>
        <v>#REF!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1"/>
      <c r="N524" s="8">
        <f t="shared" si="2"/>
        <v>0</v>
      </c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4" x14ac:dyDescent="0.3">
      <c r="A525" s="4" t="e">
        <f>IF('Registro de Contratos'!#REF!="","-",'Registro de Contratos'!#REF!&amp;" - "&amp;'Registro de Contratos'!#REF!&amp;" - "&amp;'Registro de Contratos'!#REF!)</f>
        <v>#REF!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3"/>
      <c r="N525" s="8">
        <f t="shared" si="2"/>
        <v>0</v>
      </c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4" x14ac:dyDescent="0.3">
      <c r="A526" s="9" t="e">
        <f>IF('Registro de Contratos'!#REF!="","-",'Registro de Contratos'!#REF!&amp;" - "&amp;'Registro de Contratos'!#REF!&amp;" - "&amp;'Registro de Contratos'!#REF!)</f>
        <v>#REF!</v>
      </c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1"/>
      <c r="N526" s="8">
        <f t="shared" si="2"/>
        <v>0</v>
      </c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4" x14ac:dyDescent="0.3">
      <c r="A527" s="4" t="e">
        <f>IF('Registro de Contratos'!#REF!="","-",'Registro de Contratos'!#REF!&amp;" - "&amp;'Registro de Contratos'!#REF!&amp;" - "&amp;'Registro de Contratos'!#REF!)</f>
        <v>#REF!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3"/>
      <c r="N527" s="8">
        <f t="shared" si="2"/>
        <v>0</v>
      </c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4" x14ac:dyDescent="0.3">
      <c r="A528" s="9" t="e">
        <f>IF('Registro de Contratos'!#REF!="","-",'Registro de Contratos'!#REF!&amp;" - "&amp;'Registro de Contratos'!#REF!&amp;" - "&amp;'Registro de Contratos'!#REF!)</f>
        <v>#REF!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1"/>
      <c r="N528" s="8">
        <f t="shared" si="2"/>
        <v>0</v>
      </c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4" x14ac:dyDescent="0.3">
      <c r="A529" s="4" t="e">
        <f>IF('Registro de Contratos'!#REF!="","-",'Registro de Contratos'!#REF!&amp;" - "&amp;'Registro de Contratos'!#REF!&amp;" - "&amp;'Registro de Contratos'!#REF!)</f>
        <v>#REF!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3"/>
      <c r="N529" s="8">
        <f t="shared" si="2"/>
        <v>0</v>
      </c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4" x14ac:dyDescent="0.3">
      <c r="A530" s="9" t="e">
        <f>IF('Registro de Contratos'!#REF!="","-",'Registro de Contratos'!#REF!&amp;" - "&amp;'Registro de Contratos'!#REF!&amp;" - "&amp;'Registro de Contratos'!#REF!)</f>
        <v>#REF!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1"/>
      <c r="N530" s="8">
        <f t="shared" si="2"/>
        <v>0</v>
      </c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4" x14ac:dyDescent="0.3">
      <c r="A531" s="4" t="e">
        <f>IF('Registro de Contratos'!#REF!="","-",'Registro de Contratos'!#REF!&amp;" - "&amp;'Registro de Contratos'!#REF!&amp;" - "&amp;'Registro de Contratos'!#REF!)</f>
        <v>#REF!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3"/>
      <c r="N531" s="8">
        <f t="shared" si="2"/>
        <v>0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4" x14ac:dyDescent="0.3">
      <c r="A532" s="9" t="e">
        <f>IF('Registro de Contratos'!#REF!="","-",'Registro de Contratos'!#REF!&amp;" - "&amp;'Registro de Contratos'!#REF!&amp;" - "&amp;'Registro de Contratos'!#REF!)</f>
        <v>#REF!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1"/>
      <c r="N532" s="8">
        <f t="shared" si="2"/>
        <v>0</v>
      </c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4" x14ac:dyDescent="0.3">
      <c r="A533" s="4" t="e">
        <f>IF('Registro de Contratos'!#REF!="","-",'Registro de Contratos'!#REF!&amp;" - "&amp;'Registro de Contratos'!#REF!&amp;" - "&amp;'Registro de Contratos'!#REF!)</f>
        <v>#REF!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3"/>
      <c r="N533" s="8">
        <f t="shared" si="2"/>
        <v>0</v>
      </c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4" x14ac:dyDescent="0.3">
      <c r="A534" s="9" t="e">
        <f>IF('Registro de Contratos'!#REF!="","-",'Registro de Contratos'!#REF!&amp;" - "&amp;'Registro de Contratos'!#REF!&amp;" - "&amp;'Registro de Contratos'!#REF!)</f>
        <v>#REF!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1"/>
      <c r="N534" s="8">
        <f t="shared" si="2"/>
        <v>0</v>
      </c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4" x14ac:dyDescent="0.3">
      <c r="A535" s="4" t="e">
        <f>IF('Registro de Contratos'!#REF!="","-",'Registro de Contratos'!#REF!&amp;" - "&amp;'Registro de Contratos'!#REF!&amp;" - "&amp;'Registro de Contratos'!#REF!)</f>
        <v>#REF!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3"/>
      <c r="N535" s="8">
        <f t="shared" si="2"/>
        <v>0</v>
      </c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4" x14ac:dyDescent="0.3">
      <c r="A536" s="9" t="e">
        <f>IF('Registro de Contratos'!#REF!="","-",'Registro de Contratos'!#REF!&amp;" - "&amp;'Registro de Contratos'!#REF!&amp;" - "&amp;'Registro de Contratos'!#REF!)</f>
        <v>#REF!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1"/>
      <c r="N536" s="8">
        <f t="shared" si="2"/>
        <v>0</v>
      </c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4" x14ac:dyDescent="0.3">
      <c r="A537" s="4" t="e">
        <f>IF('Registro de Contratos'!#REF!="","-",'Registro de Contratos'!#REF!&amp;" - "&amp;'Registro de Contratos'!#REF!&amp;" - "&amp;'Registro de Contratos'!#REF!)</f>
        <v>#REF!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3"/>
      <c r="N537" s="8">
        <f t="shared" si="2"/>
        <v>0</v>
      </c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4" x14ac:dyDescent="0.3">
      <c r="A538" s="9" t="e">
        <f>IF('Registro de Contratos'!#REF!="","-",'Registro de Contratos'!#REF!&amp;" - "&amp;'Registro de Contratos'!#REF!&amp;" - "&amp;'Registro de Contratos'!#REF!)</f>
        <v>#REF!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1"/>
      <c r="N538" s="8">
        <f t="shared" si="2"/>
        <v>0</v>
      </c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4" x14ac:dyDescent="0.3">
      <c r="A539" s="4" t="e">
        <f>IF('Registro de Contratos'!#REF!="","-",'Registro de Contratos'!#REF!&amp;" - "&amp;'Registro de Contratos'!#REF!&amp;" - "&amp;'Registro de Contratos'!#REF!)</f>
        <v>#REF!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3"/>
      <c r="N539" s="8">
        <f t="shared" si="2"/>
        <v>0</v>
      </c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4" x14ac:dyDescent="0.3">
      <c r="A540" s="9" t="e">
        <f>IF('Registro de Contratos'!#REF!="","-",'Registro de Contratos'!#REF!&amp;" - "&amp;'Registro de Contratos'!#REF!&amp;" - "&amp;'Registro de Contratos'!#REF!)</f>
        <v>#REF!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  <c r="N540" s="8">
        <f t="shared" si="2"/>
        <v>0</v>
      </c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4" x14ac:dyDescent="0.3">
      <c r="A541" s="4" t="e">
        <f>IF('Registro de Contratos'!#REF!="","-",'Registro de Contratos'!#REF!&amp;" - "&amp;'Registro de Contratos'!#REF!&amp;" - "&amp;'Registro de Contratos'!#REF!)</f>
        <v>#REF!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3"/>
      <c r="N541" s="8">
        <f t="shared" si="2"/>
        <v>0</v>
      </c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4" x14ac:dyDescent="0.3">
      <c r="A542" s="9" t="e">
        <f>IF('Registro de Contratos'!#REF!="","-",'Registro de Contratos'!#REF!&amp;" - "&amp;'Registro de Contratos'!#REF!&amp;" - "&amp;'Registro de Contratos'!#REF!)</f>
        <v>#REF!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1"/>
      <c r="N542" s="8">
        <f t="shared" si="2"/>
        <v>0</v>
      </c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4" x14ac:dyDescent="0.3">
      <c r="A543" s="4" t="e">
        <f>IF('Registro de Contratos'!#REF!="","-",'Registro de Contratos'!#REF!&amp;" - "&amp;'Registro de Contratos'!#REF!&amp;" - "&amp;'Registro de Contratos'!#REF!)</f>
        <v>#REF!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3"/>
      <c r="N543" s="8">
        <f t="shared" si="2"/>
        <v>0</v>
      </c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4" x14ac:dyDescent="0.3">
      <c r="A544" s="9" t="e">
        <f>IF('Registro de Contratos'!#REF!="","-",'Registro de Contratos'!#REF!&amp;" - "&amp;'Registro de Contratos'!#REF!&amp;" - "&amp;'Registro de Contratos'!#REF!)</f>
        <v>#REF!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1"/>
      <c r="N544" s="8">
        <f t="shared" si="2"/>
        <v>0</v>
      </c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4" x14ac:dyDescent="0.3">
      <c r="A545" s="4" t="e">
        <f>IF('Registro de Contratos'!#REF!="","-",'Registro de Contratos'!#REF!&amp;" - "&amp;'Registro de Contratos'!#REF!&amp;" - "&amp;'Registro de Contratos'!#REF!)</f>
        <v>#REF!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3"/>
      <c r="N545" s="8">
        <f t="shared" si="2"/>
        <v>0</v>
      </c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4" x14ac:dyDescent="0.3">
      <c r="A546" s="9" t="e">
        <f>IF('Registro de Contratos'!#REF!="","-",'Registro de Contratos'!#REF!&amp;" - "&amp;'Registro de Contratos'!#REF!&amp;" - "&amp;'Registro de Contratos'!#REF!)</f>
        <v>#REF!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1"/>
      <c r="N546" s="8">
        <f t="shared" si="2"/>
        <v>0</v>
      </c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4" x14ac:dyDescent="0.3">
      <c r="A547" s="4" t="e">
        <f>IF('Registro de Contratos'!#REF!="","-",'Registro de Contratos'!#REF!&amp;" - "&amp;'Registro de Contratos'!#REF!&amp;" - "&amp;'Registro de Contratos'!#REF!)</f>
        <v>#REF!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3"/>
      <c r="N547" s="8">
        <f t="shared" si="2"/>
        <v>0</v>
      </c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4" x14ac:dyDescent="0.3">
      <c r="A548" s="9" t="e">
        <f>IF('Registro de Contratos'!#REF!="","-",'Registro de Contratos'!#REF!&amp;" - "&amp;'Registro de Contratos'!#REF!&amp;" - "&amp;'Registro de Contratos'!#REF!)</f>
        <v>#REF!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1"/>
      <c r="N548" s="8">
        <f t="shared" si="2"/>
        <v>0</v>
      </c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4" x14ac:dyDescent="0.3">
      <c r="A549" s="4" t="e">
        <f>IF('Registro de Contratos'!#REF!="","-",'Registro de Contratos'!#REF!&amp;" - "&amp;'Registro de Contratos'!#REF!&amp;" - "&amp;'Registro de Contratos'!#REF!)</f>
        <v>#REF!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3"/>
      <c r="N549" s="8">
        <f t="shared" si="2"/>
        <v>0</v>
      </c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4" x14ac:dyDescent="0.3">
      <c r="A550" s="9" t="e">
        <f>IF('Registro de Contratos'!#REF!="","-",'Registro de Contratos'!#REF!&amp;" - "&amp;'Registro de Contratos'!#REF!&amp;" - "&amp;'Registro de Contratos'!#REF!)</f>
        <v>#REF!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1"/>
      <c r="N550" s="8">
        <f t="shared" si="2"/>
        <v>0</v>
      </c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4" x14ac:dyDescent="0.3">
      <c r="A551" s="4" t="e">
        <f>IF('Registro de Contratos'!#REF!="","-",'Registro de Contratos'!#REF!&amp;" - "&amp;'Registro de Contratos'!#REF!&amp;" - "&amp;'Registro de Contratos'!#REF!)</f>
        <v>#REF!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3"/>
      <c r="N551" s="8">
        <f t="shared" si="2"/>
        <v>0</v>
      </c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4" x14ac:dyDescent="0.3">
      <c r="A552" s="9" t="e">
        <f>IF('Registro de Contratos'!#REF!="","-",'Registro de Contratos'!#REF!&amp;" - "&amp;'Registro de Contratos'!#REF!&amp;" - "&amp;'Registro de Contratos'!#REF!)</f>
        <v>#REF!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1"/>
      <c r="N552" s="8">
        <f t="shared" si="2"/>
        <v>0</v>
      </c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4" x14ac:dyDescent="0.3">
      <c r="A553" s="4" t="e">
        <f>IF('Registro de Contratos'!#REF!="","-",'Registro de Contratos'!#REF!&amp;" - "&amp;'Registro de Contratos'!#REF!&amp;" - "&amp;'Registro de Contratos'!#REF!)</f>
        <v>#REF!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3"/>
      <c r="N553" s="8">
        <f t="shared" si="2"/>
        <v>0</v>
      </c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4" x14ac:dyDescent="0.3">
      <c r="A554" s="9" t="e">
        <f>IF('Registro de Contratos'!#REF!="","-",'Registro de Contratos'!#REF!&amp;" - "&amp;'Registro de Contratos'!#REF!&amp;" - "&amp;'Registro de Contratos'!#REF!)</f>
        <v>#REF!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1"/>
      <c r="N554" s="8">
        <f t="shared" si="2"/>
        <v>0</v>
      </c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4" x14ac:dyDescent="0.3">
      <c r="A555" s="4" t="e">
        <f>IF('Registro de Contratos'!#REF!="","-",'Registro de Contratos'!#REF!&amp;" - "&amp;'Registro de Contratos'!#REF!&amp;" - "&amp;'Registro de Contratos'!#REF!)</f>
        <v>#REF!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3"/>
      <c r="N555" s="8">
        <f t="shared" si="2"/>
        <v>0</v>
      </c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4" x14ac:dyDescent="0.3">
      <c r="A556" s="9" t="e">
        <f>IF('Registro de Contratos'!#REF!="","-",'Registro de Contratos'!#REF!&amp;" - "&amp;'Registro de Contratos'!#REF!&amp;" - "&amp;'Registro de Contratos'!#REF!)</f>
        <v>#REF!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1"/>
      <c r="N556" s="8">
        <f t="shared" si="2"/>
        <v>0</v>
      </c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4" x14ac:dyDescent="0.3">
      <c r="A557" s="4" t="e">
        <f>IF('Registro de Contratos'!#REF!="","-",'Registro de Contratos'!#REF!&amp;" - "&amp;'Registro de Contratos'!#REF!&amp;" - "&amp;'Registro de Contratos'!#REF!)</f>
        <v>#REF!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3"/>
      <c r="N557" s="8">
        <f t="shared" si="2"/>
        <v>0</v>
      </c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4" x14ac:dyDescent="0.3">
      <c r="A558" s="9" t="e">
        <f>IF('Registro de Contratos'!#REF!="","-",'Registro de Contratos'!#REF!&amp;" - "&amp;'Registro de Contratos'!#REF!&amp;" - "&amp;'Registro de Contratos'!#REF!)</f>
        <v>#REF!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1"/>
      <c r="N558" s="8">
        <f t="shared" si="2"/>
        <v>0</v>
      </c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4" x14ac:dyDescent="0.3">
      <c r="A559" s="4" t="e">
        <f>IF('Registro de Contratos'!#REF!="","-",'Registro de Contratos'!#REF!&amp;" - "&amp;'Registro de Contratos'!#REF!&amp;" - "&amp;'Registro de Contratos'!#REF!)</f>
        <v>#REF!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3"/>
      <c r="N559" s="8">
        <f t="shared" si="2"/>
        <v>0</v>
      </c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4" x14ac:dyDescent="0.3">
      <c r="A560" s="9" t="e">
        <f>IF('Registro de Contratos'!#REF!="","-",'Registro de Contratos'!#REF!&amp;" - "&amp;'Registro de Contratos'!#REF!&amp;" - "&amp;'Registro de Contratos'!#REF!)</f>
        <v>#REF!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1"/>
      <c r="N560" s="8">
        <f t="shared" si="2"/>
        <v>0</v>
      </c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4" x14ac:dyDescent="0.3">
      <c r="A561" s="4" t="e">
        <f>IF('Registro de Contratos'!#REF!="","-",'Registro de Contratos'!#REF!&amp;" - "&amp;'Registro de Contratos'!#REF!&amp;" - "&amp;'Registro de Contratos'!#REF!)</f>
        <v>#REF!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3"/>
      <c r="N561" s="8">
        <f t="shared" si="2"/>
        <v>0</v>
      </c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4" x14ac:dyDescent="0.3">
      <c r="A562" s="9" t="e">
        <f>IF('Registro de Contratos'!#REF!="","-",'Registro de Contratos'!#REF!&amp;" - "&amp;'Registro de Contratos'!#REF!&amp;" - "&amp;'Registro de Contratos'!#REF!)</f>
        <v>#REF!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  <c r="N562" s="8">
        <f t="shared" si="2"/>
        <v>0</v>
      </c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4" x14ac:dyDescent="0.3">
      <c r="A563" s="4" t="e">
        <f>IF('Registro de Contratos'!#REF!="","-",'Registro de Contratos'!#REF!&amp;" - "&amp;'Registro de Contratos'!#REF!&amp;" - "&amp;'Registro de Contratos'!#REF!)</f>
        <v>#REF!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3"/>
      <c r="N563" s="8">
        <f t="shared" si="2"/>
        <v>0</v>
      </c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4" x14ac:dyDescent="0.3">
      <c r="A564" s="9" t="e">
        <f>IF('Registro de Contratos'!#REF!="","-",'Registro de Contratos'!#REF!&amp;" - "&amp;'Registro de Contratos'!#REF!&amp;" - "&amp;'Registro de Contratos'!#REF!)</f>
        <v>#REF!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1"/>
      <c r="N564" s="8">
        <f t="shared" si="2"/>
        <v>0</v>
      </c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4" x14ac:dyDescent="0.3">
      <c r="A565" s="4" t="e">
        <f>IF('Registro de Contratos'!#REF!="","-",'Registro de Contratos'!#REF!&amp;" - "&amp;'Registro de Contratos'!#REF!&amp;" - "&amp;'Registro de Contratos'!#REF!)</f>
        <v>#REF!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3"/>
      <c r="N565" s="8">
        <f t="shared" si="2"/>
        <v>0</v>
      </c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4" x14ac:dyDescent="0.3">
      <c r="A566" s="9" t="e">
        <f>IF('Registro de Contratos'!#REF!="","-",'Registro de Contratos'!#REF!&amp;" - "&amp;'Registro de Contratos'!#REF!&amp;" - "&amp;'Registro de Contratos'!#REF!)</f>
        <v>#REF!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1"/>
      <c r="N566" s="8">
        <f t="shared" si="2"/>
        <v>0</v>
      </c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4" x14ac:dyDescent="0.3">
      <c r="A567" s="4" t="e">
        <f>IF('Registro de Contratos'!#REF!="","-",'Registro de Contratos'!#REF!&amp;" - "&amp;'Registro de Contratos'!#REF!&amp;" - "&amp;'Registro de Contratos'!#REF!)</f>
        <v>#REF!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3"/>
      <c r="N567" s="8">
        <f t="shared" si="2"/>
        <v>0</v>
      </c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4" x14ac:dyDescent="0.3">
      <c r="A568" s="9" t="e">
        <f>IF('Registro de Contratos'!#REF!="","-",'Registro de Contratos'!#REF!&amp;" - "&amp;'Registro de Contratos'!#REF!&amp;" - "&amp;'Registro de Contratos'!#REF!)</f>
        <v>#REF!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1"/>
      <c r="N568" s="8">
        <f t="shared" si="2"/>
        <v>0</v>
      </c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4" x14ac:dyDescent="0.3">
      <c r="A569" s="4" t="e">
        <f>IF('Registro de Contratos'!#REF!="","-",'Registro de Contratos'!#REF!&amp;" - "&amp;'Registro de Contratos'!#REF!&amp;" - "&amp;'Registro de Contratos'!#REF!)</f>
        <v>#REF!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3"/>
      <c r="N569" s="8">
        <f t="shared" si="2"/>
        <v>0</v>
      </c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4" x14ac:dyDescent="0.3">
      <c r="A570" s="9" t="e">
        <f>IF('Registro de Contratos'!#REF!="","-",'Registro de Contratos'!#REF!&amp;" - "&amp;'Registro de Contratos'!#REF!&amp;" - "&amp;'Registro de Contratos'!#REF!)</f>
        <v>#REF!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1"/>
      <c r="N570" s="8">
        <f t="shared" si="2"/>
        <v>0</v>
      </c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4" x14ac:dyDescent="0.3">
      <c r="A571" s="4" t="e">
        <f>IF('Registro de Contratos'!#REF!="","-",'Registro de Contratos'!#REF!&amp;" - "&amp;'Registro de Contratos'!#REF!&amp;" - "&amp;'Registro de Contratos'!#REF!)</f>
        <v>#REF!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3"/>
      <c r="N571" s="8">
        <f t="shared" si="2"/>
        <v>0</v>
      </c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4" x14ac:dyDescent="0.3">
      <c r="A572" s="9" t="e">
        <f>IF('Registro de Contratos'!#REF!="","-",'Registro de Contratos'!#REF!&amp;" - "&amp;'Registro de Contratos'!#REF!&amp;" - "&amp;'Registro de Contratos'!#REF!)</f>
        <v>#REF!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1"/>
      <c r="N572" s="8">
        <f t="shared" si="2"/>
        <v>0</v>
      </c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4" x14ac:dyDescent="0.3">
      <c r="A573" s="4" t="e">
        <f>IF('Registro de Contratos'!#REF!="","-",'Registro de Contratos'!#REF!&amp;" - "&amp;'Registro de Contratos'!#REF!&amp;" - "&amp;'Registro de Contratos'!#REF!)</f>
        <v>#REF!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3"/>
      <c r="N573" s="8">
        <f t="shared" si="2"/>
        <v>0</v>
      </c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4" x14ac:dyDescent="0.3">
      <c r="A574" s="9" t="e">
        <f>IF('Registro de Contratos'!#REF!="","-",'Registro de Contratos'!#REF!&amp;" - "&amp;'Registro de Contratos'!#REF!&amp;" - "&amp;'Registro de Contratos'!#REF!)</f>
        <v>#REF!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1"/>
      <c r="N574" s="8">
        <f t="shared" si="2"/>
        <v>0</v>
      </c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4" x14ac:dyDescent="0.3">
      <c r="A575" s="4" t="e">
        <f>IF('Registro de Contratos'!#REF!="","-",'Registro de Contratos'!#REF!&amp;" - "&amp;'Registro de Contratos'!#REF!&amp;" - "&amp;'Registro de Contratos'!#REF!)</f>
        <v>#REF!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3"/>
      <c r="N575" s="8">
        <f t="shared" si="2"/>
        <v>0</v>
      </c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4" x14ac:dyDescent="0.3">
      <c r="A576" s="9" t="e">
        <f>IF('Registro de Contratos'!#REF!="","-",'Registro de Contratos'!#REF!&amp;" - "&amp;'Registro de Contratos'!#REF!&amp;" - "&amp;'Registro de Contratos'!#REF!)</f>
        <v>#REF!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1"/>
      <c r="N576" s="8">
        <f t="shared" si="2"/>
        <v>0</v>
      </c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4" x14ac:dyDescent="0.3">
      <c r="A577" s="4" t="e">
        <f>IF('Registro de Contratos'!#REF!="","-",'Registro de Contratos'!#REF!&amp;" - "&amp;'Registro de Contratos'!#REF!&amp;" - "&amp;'Registro de Contratos'!#REF!)</f>
        <v>#REF!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3"/>
      <c r="N577" s="8">
        <f t="shared" si="2"/>
        <v>0</v>
      </c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4" x14ac:dyDescent="0.3">
      <c r="A578" s="9" t="e">
        <f>IF('Registro de Contratos'!#REF!="","-",'Registro de Contratos'!#REF!&amp;" - "&amp;'Registro de Contratos'!#REF!&amp;" - "&amp;'Registro de Contratos'!#REF!)</f>
        <v>#REF!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1"/>
      <c r="N578" s="8">
        <f t="shared" si="2"/>
        <v>0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4" x14ac:dyDescent="0.3">
      <c r="A579" s="4" t="e">
        <f>IF('Registro de Contratos'!#REF!="","-",'Registro de Contratos'!#REF!&amp;" - "&amp;'Registro de Contratos'!#REF!&amp;" - "&amp;'Registro de Contratos'!#REF!)</f>
        <v>#REF!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3"/>
      <c r="N579" s="8">
        <f t="shared" si="2"/>
        <v>0</v>
      </c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4" x14ac:dyDescent="0.3">
      <c r="A580" s="9" t="e">
        <f>IF('Registro de Contratos'!#REF!="","-",'Registro de Contratos'!#REF!&amp;" - "&amp;'Registro de Contratos'!#REF!&amp;" - "&amp;'Registro de Contratos'!#REF!)</f>
        <v>#REF!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1"/>
      <c r="N580" s="8">
        <f t="shared" si="2"/>
        <v>0</v>
      </c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4" x14ac:dyDescent="0.3">
      <c r="A581" s="4" t="e">
        <f>IF('Registro de Contratos'!#REF!="","-",'Registro de Contratos'!#REF!&amp;" - "&amp;'Registro de Contratos'!#REF!&amp;" - "&amp;'Registro de Contratos'!#REF!)</f>
        <v>#REF!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3"/>
      <c r="N581" s="8">
        <f t="shared" si="2"/>
        <v>0</v>
      </c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4" x14ac:dyDescent="0.3">
      <c r="A582" s="9" t="e">
        <f>IF('Registro de Contratos'!#REF!="","-",'Registro de Contratos'!#REF!&amp;" - "&amp;'Registro de Contratos'!#REF!&amp;" - "&amp;'Registro de Contratos'!#REF!)</f>
        <v>#REF!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8">
        <f t="shared" si="2"/>
        <v>0</v>
      </c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4" x14ac:dyDescent="0.3">
      <c r="A583" s="4" t="e">
        <f>IF('Registro de Contratos'!#REF!="","-",'Registro de Contratos'!#REF!&amp;" - "&amp;'Registro de Contratos'!#REF!&amp;" - "&amp;'Registro de Contratos'!#REF!)</f>
        <v>#REF!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3"/>
      <c r="N583" s="8">
        <f t="shared" si="2"/>
        <v>0</v>
      </c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4" x14ac:dyDescent="0.3">
      <c r="A584" s="9" t="e">
        <f>IF('Registro de Contratos'!#REF!="","-",'Registro de Contratos'!#REF!&amp;" - "&amp;'Registro de Contratos'!#REF!&amp;" - "&amp;'Registro de Contratos'!#REF!)</f>
        <v>#REF!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  <c r="N584" s="8">
        <f t="shared" si="2"/>
        <v>0</v>
      </c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4" x14ac:dyDescent="0.3">
      <c r="A585" s="4" t="e">
        <f>IF('Registro de Contratos'!#REF!="","-",'Registro de Contratos'!#REF!&amp;" - "&amp;'Registro de Contratos'!#REF!&amp;" - "&amp;'Registro de Contratos'!#REF!)</f>
        <v>#REF!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3"/>
      <c r="N585" s="8">
        <f t="shared" si="2"/>
        <v>0</v>
      </c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4" x14ac:dyDescent="0.3">
      <c r="A586" s="9" t="e">
        <f>IF('Registro de Contratos'!#REF!="","-",'Registro de Contratos'!#REF!&amp;" - "&amp;'Registro de Contratos'!#REF!&amp;" - "&amp;'Registro de Contratos'!#REF!)</f>
        <v>#REF!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1"/>
      <c r="N586" s="8">
        <f t="shared" si="2"/>
        <v>0</v>
      </c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4" x14ac:dyDescent="0.3">
      <c r="A587" s="4" t="e">
        <f>IF('Registro de Contratos'!#REF!="","-",'Registro de Contratos'!#REF!&amp;" - "&amp;'Registro de Contratos'!#REF!&amp;" - "&amp;'Registro de Contratos'!#REF!)</f>
        <v>#REF!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3"/>
      <c r="N587" s="8">
        <f t="shared" si="2"/>
        <v>0</v>
      </c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4" x14ac:dyDescent="0.3">
      <c r="A588" s="9" t="e">
        <f>IF('Registro de Contratos'!#REF!="","-",'Registro de Contratos'!#REF!&amp;" - "&amp;'Registro de Contratos'!#REF!&amp;" - "&amp;'Registro de Contratos'!#REF!)</f>
        <v>#REF!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1"/>
      <c r="N588" s="8">
        <f t="shared" si="2"/>
        <v>0</v>
      </c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4" x14ac:dyDescent="0.3">
      <c r="A589" s="4" t="e">
        <f>IF('Registro de Contratos'!#REF!="","-",'Registro de Contratos'!#REF!&amp;" - "&amp;'Registro de Contratos'!#REF!&amp;" - "&amp;'Registro de Contratos'!#REF!)</f>
        <v>#REF!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3"/>
      <c r="N589" s="8">
        <f t="shared" si="2"/>
        <v>0</v>
      </c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4" x14ac:dyDescent="0.3">
      <c r="A590" s="9" t="e">
        <f>IF('Registro de Contratos'!#REF!="","-",'Registro de Contratos'!#REF!&amp;" - "&amp;'Registro de Contratos'!#REF!&amp;" - "&amp;'Registro de Contratos'!#REF!)</f>
        <v>#REF!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1"/>
      <c r="N590" s="8">
        <f t="shared" si="2"/>
        <v>0</v>
      </c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4" x14ac:dyDescent="0.3">
      <c r="A591" s="4" t="e">
        <f>IF('Registro de Contratos'!#REF!="","-",'Registro de Contratos'!#REF!&amp;" - "&amp;'Registro de Contratos'!#REF!&amp;" - "&amp;'Registro de Contratos'!#REF!)</f>
        <v>#REF!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3"/>
      <c r="N591" s="8">
        <f t="shared" si="2"/>
        <v>0</v>
      </c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4" x14ac:dyDescent="0.3">
      <c r="A592" s="9" t="e">
        <f>IF('Registro de Contratos'!#REF!="","-",'Registro de Contratos'!#REF!&amp;" - "&amp;'Registro de Contratos'!#REF!&amp;" - "&amp;'Registro de Contratos'!#REF!)</f>
        <v>#REF!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1"/>
      <c r="N592" s="8">
        <f t="shared" si="2"/>
        <v>0</v>
      </c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4" x14ac:dyDescent="0.3">
      <c r="A593" s="4" t="e">
        <f>IF('Registro de Contratos'!#REF!="","-",'Registro de Contratos'!#REF!&amp;" - "&amp;'Registro de Contratos'!#REF!&amp;" - "&amp;'Registro de Contratos'!#REF!)</f>
        <v>#REF!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3"/>
      <c r="N593" s="8">
        <f t="shared" si="2"/>
        <v>0</v>
      </c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4" x14ac:dyDescent="0.3">
      <c r="A594" s="9" t="e">
        <f>IF('Registro de Contratos'!#REF!="","-",'Registro de Contratos'!#REF!&amp;" - "&amp;'Registro de Contratos'!#REF!&amp;" - "&amp;'Registro de Contratos'!#REF!)</f>
        <v>#REF!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1"/>
      <c r="N594" s="8">
        <f t="shared" si="2"/>
        <v>0</v>
      </c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4" x14ac:dyDescent="0.3">
      <c r="A595" s="4" t="e">
        <f>IF('Registro de Contratos'!#REF!="","-",'Registro de Contratos'!#REF!&amp;" - "&amp;'Registro de Contratos'!#REF!&amp;" - "&amp;'Registro de Contratos'!#REF!)</f>
        <v>#REF!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3"/>
      <c r="N595" s="8">
        <f t="shared" si="2"/>
        <v>0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4" x14ac:dyDescent="0.3">
      <c r="A596" s="9" t="e">
        <f>IF('Registro de Contratos'!#REF!="","-",'Registro de Contratos'!#REF!&amp;" - "&amp;'Registro de Contratos'!#REF!&amp;" - "&amp;'Registro de Contratos'!#REF!)</f>
        <v>#REF!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1"/>
      <c r="N596" s="8">
        <f t="shared" si="2"/>
        <v>0</v>
      </c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4" x14ac:dyDescent="0.3">
      <c r="A597" s="4" t="e">
        <f>IF('Registro de Contratos'!#REF!="","-",'Registro de Contratos'!#REF!&amp;" - "&amp;'Registro de Contratos'!#REF!&amp;" - "&amp;'Registro de Contratos'!#REF!)</f>
        <v>#REF!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3"/>
      <c r="N597" s="8">
        <f t="shared" si="2"/>
        <v>0</v>
      </c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4" x14ac:dyDescent="0.3">
      <c r="A598" s="9" t="e">
        <f>IF('Registro de Contratos'!#REF!="","-",'Registro de Contratos'!#REF!&amp;" - "&amp;'Registro de Contratos'!#REF!&amp;" - "&amp;'Registro de Contratos'!#REF!)</f>
        <v>#REF!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1"/>
      <c r="N598" s="8">
        <f t="shared" si="2"/>
        <v>0</v>
      </c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4" x14ac:dyDescent="0.3">
      <c r="A599" s="4" t="e">
        <f>IF('Registro de Contratos'!#REF!="","-",'Registro de Contratos'!#REF!&amp;" - "&amp;'Registro de Contratos'!#REF!&amp;" - "&amp;'Registro de Contratos'!#REF!)</f>
        <v>#REF!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3"/>
      <c r="N599" s="8">
        <f t="shared" si="2"/>
        <v>0</v>
      </c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4" x14ac:dyDescent="0.3">
      <c r="A600" s="9" t="e">
        <f>IF('Registro de Contratos'!#REF!="","-",'Registro de Contratos'!#REF!&amp;" - "&amp;'Registro de Contratos'!#REF!&amp;" - "&amp;'Registro de Contratos'!#REF!)</f>
        <v>#REF!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1"/>
      <c r="N600" s="8">
        <f t="shared" si="2"/>
        <v>0</v>
      </c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4" x14ac:dyDescent="0.3">
      <c r="A601" s="4" t="e">
        <f>IF('Registro de Contratos'!#REF!="","-",'Registro de Contratos'!#REF!&amp;" - "&amp;'Registro de Contratos'!#REF!&amp;" - "&amp;'Registro de Contratos'!#REF!)</f>
        <v>#REF!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3"/>
      <c r="N601" s="8">
        <f t="shared" si="2"/>
        <v>0</v>
      </c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4" x14ac:dyDescent="0.3">
      <c r="A602" s="9" t="e">
        <f>IF('Registro de Contratos'!#REF!="","-",'Registro de Contratos'!#REF!&amp;" - "&amp;'Registro de Contratos'!#REF!&amp;" - "&amp;'Registro de Contratos'!#REF!)</f>
        <v>#REF!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1"/>
      <c r="N602" s="8">
        <f t="shared" si="2"/>
        <v>0</v>
      </c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4" x14ac:dyDescent="0.3">
      <c r="A603" s="4" t="e">
        <f>IF('Registro de Contratos'!#REF!="","-",'Registro de Contratos'!#REF!&amp;" - "&amp;'Registro de Contratos'!#REF!&amp;" - "&amp;'Registro de Contratos'!#REF!)</f>
        <v>#REF!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3"/>
      <c r="N603" s="8">
        <f t="shared" si="2"/>
        <v>0</v>
      </c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4" x14ac:dyDescent="0.3">
      <c r="A604" s="9" t="e">
        <f>IF('Registro de Contratos'!#REF!="","-",'Registro de Contratos'!#REF!&amp;" - "&amp;'Registro de Contratos'!#REF!&amp;" - "&amp;'Registro de Contratos'!#REF!)</f>
        <v>#REF!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1"/>
      <c r="N604" s="8">
        <f t="shared" si="2"/>
        <v>0</v>
      </c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4" x14ac:dyDescent="0.3">
      <c r="A605" s="4" t="e">
        <f>IF('Registro de Contratos'!#REF!="","-",'Registro de Contratos'!#REF!&amp;" - "&amp;'Registro de Contratos'!#REF!&amp;" - "&amp;'Registro de Contratos'!#REF!)</f>
        <v>#REF!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3"/>
      <c r="N605" s="8">
        <f t="shared" si="2"/>
        <v>0</v>
      </c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4" x14ac:dyDescent="0.3">
      <c r="A606" s="9" t="e">
        <f>IF('Registro de Contratos'!#REF!="","-",'Registro de Contratos'!#REF!&amp;" - "&amp;'Registro de Contratos'!#REF!&amp;" - "&amp;'Registro de Contratos'!#REF!)</f>
        <v>#REF!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  <c r="N606" s="8">
        <f t="shared" si="2"/>
        <v>0</v>
      </c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4" x14ac:dyDescent="0.3">
      <c r="A607" s="4" t="e">
        <f>IF('Registro de Contratos'!#REF!="","-",'Registro de Contratos'!#REF!&amp;" - "&amp;'Registro de Contratos'!#REF!&amp;" - "&amp;'Registro de Contratos'!#REF!)</f>
        <v>#REF!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3"/>
      <c r="N607" s="8">
        <f t="shared" si="2"/>
        <v>0</v>
      </c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4" x14ac:dyDescent="0.3">
      <c r="A608" s="9" t="e">
        <f>IF('Registro de Contratos'!#REF!="","-",'Registro de Contratos'!#REF!&amp;" - "&amp;'Registro de Contratos'!#REF!&amp;" - "&amp;'Registro de Contratos'!#REF!)</f>
        <v>#REF!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1"/>
      <c r="N608" s="8">
        <f t="shared" si="2"/>
        <v>0</v>
      </c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4" x14ac:dyDescent="0.3">
      <c r="A609" s="4" t="e">
        <f>IF('Registro de Contratos'!#REF!="","-",'Registro de Contratos'!#REF!&amp;" - "&amp;'Registro de Contratos'!#REF!&amp;" - "&amp;'Registro de Contratos'!#REF!)</f>
        <v>#REF!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3"/>
      <c r="N609" s="8">
        <f t="shared" si="2"/>
        <v>0</v>
      </c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4" x14ac:dyDescent="0.3">
      <c r="A610" s="9" t="e">
        <f>IF('Registro de Contratos'!#REF!="","-",'Registro de Contratos'!#REF!&amp;" - "&amp;'Registro de Contratos'!#REF!&amp;" - "&amp;'Registro de Contratos'!#REF!)</f>
        <v>#REF!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1"/>
      <c r="N610" s="8">
        <f t="shared" si="2"/>
        <v>0</v>
      </c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4" x14ac:dyDescent="0.3">
      <c r="A611" s="4" t="e">
        <f>IF('Registro de Contratos'!#REF!="","-",'Registro de Contratos'!#REF!&amp;" - "&amp;'Registro de Contratos'!#REF!&amp;" - "&amp;'Registro de Contratos'!#REF!)</f>
        <v>#REF!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3"/>
      <c r="N611" s="8">
        <f t="shared" si="2"/>
        <v>0</v>
      </c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4" x14ac:dyDescent="0.3">
      <c r="A612" s="9" t="e">
        <f>IF('Registro de Contratos'!#REF!="","-",'Registro de Contratos'!#REF!&amp;" - "&amp;'Registro de Contratos'!#REF!&amp;" - "&amp;'Registro de Contratos'!#REF!)</f>
        <v>#REF!</v>
      </c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1"/>
      <c r="N612" s="8">
        <f t="shared" si="2"/>
        <v>0</v>
      </c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4" x14ac:dyDescent="0.3">
      <c r="A613" s="4" t="e">
        <f>IF('Registro de Contratos'!#REF!="","-",'Registro de Contratos'!#REF!&amp;" - "&amp;'Registro de Contratos'!#REF!&amp;" - "&amp;'Registro de Contratos'!#REF!)</f>
        <v>#REF!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3"/>
      <c r="N613" s="8">
        <f t="shared" si="2"/>
        <v>0</v>
      </c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4" x14ac:dyDescent="0.3">
      <c r="A614" s="9" t="e">
        <f>IF('Registro de Contratos'!#REF!="","-",'Registro de Contratos'!#REF!&amp;" - "&amp;'Registro de Contratos'!#REF!&amp;" - "&amp;'Registro de Contratos'!#REF!)</f>
        <v>#REF!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8">
        <f t="shared" si="2"/>
        <v>0</v>
      </c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4" x14ac:dyDescent="0.3">
      <c r="A615" s="4" t="e">
        <f>IF('Registro de Contratos'!#REF!="","-",'Registro de Contratos'!#REF!&amp;" - "&amp;'Registro de Contratos'!#REF!&amp;" - "&amp;'Registro de Contratos'!#REF!)</f>
        <v>#REF!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3"/>
      <c r="N615" s="8">
        <f t="shared" si="2"/>
        <v>0</v>
      </c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4" x14ac:dyDescent="0.3">
      <c r="A616" s="9" t="e">
        <f>IF('Registro de Contratos'!#REF!="","-",'Registro de Contratos'!#REF!&amp;" - "&amp;'Registro de Contratos'!#REF!&amp;" - "&amp;'Registro de Contratos'!#REF!)</f>
        <v>#REF!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1"/>
      <c r="N616" s="8">
        <f t="shared" si="2"/>
        <v>0</v>
      </c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4" x14ac:dyDescent="0.3">
      <c r="A617" s="4" t="e">
        <f>IF('Registro de Contratos'!#REF!="","-",'Registro de Contratos'!#REF!&amp;" - "&amp;'Registro de Contratos'!#REF!&amp;" - "&amp;'Registro de Contratos'!#REF!)</f>
        <v>#REF!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3"/>
      <c r="N617" s="8">
        <f t="shared" si="2"/>
        <v>0</v>
      </c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4" x14ac:dyDescent="0.3">
      <c r="A618" s="9" t="e">
        <f>IF('Registro de Contratos'!#REF!="","-",'Registro de Contratos'!#REF!&amp;" - "&amp;'Registro de Contratos'!#REF!&amp;" - "&amp;'Registro de Contratos'!#REF!)</f>
        <v>#REF!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1"/>
      <c r="N618" s="8">
        <f t="shared" si="2"/>
        <v>0</v>
      </c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4" x14ac:dyDescent="0.3">
      <c r="A619" s="4" t="e">
        <f>IF('Registro de Contratos'!#REF!="","-",'Registro de Contratos'!#REF!&amp;" - "&amp;'Registro de Contratos'!#REF!&amp;" - "&amp;'Registro de Contratos'!#REF!)</f>
        <v>#REF!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3"/>
      <c r="N619" s="8">
        <f t="shared" si="2"/>
        <v>0</v>
      </c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4" x14ac:dyDescent="0.3">
      <c r="A620" s="9" t="e">
        <f>IF('Registro de Contratos'!#REF!="","-",'Registro de Contratos'!#REF!&amp;" - "&amp;'Registro de Contratos'!#REF!&amp;" - "&amp;'Registro de Contratos'!#REF!)</f>
        <v>#REF!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1"/>
      <c r="N620" s="8">
        <f t="shared" si="2"/>
        <v>0</v>
      </c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4" x14ac:dyDescent="0.3">
      <c r="A621" s="4" t="e">
        <f>IF('Registro de Contratos'!#REF!="","-",'Registro de Contratos'!#REF!&amp;" - "&amp;'Registro de Contratos'!#REF!&amp;" - "&amp;'Registro de Contratos'!#REF!)</f>
        <v>#REF!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"/>
      <c r="N621" s="8">
        <f t="shared" si="2"/>
        <v>0</v>
      </c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4" x14ac:dyDescent="0.3">
      <c r="A622" s="9" t="e">
        <f>IF('Registro de Contratos'!#REF!="","-",'Registro de Contratos'!#REF!&amp;" - "&amp;'Registro de Contratos'!#REF!&amp;" - "&amp;'Registro de Contratos'!#REF!)</f>
        <v>#REF!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1"/>
      <c r="N622" s="8">
        <f t="shared" si="2"/>
        <v>0</v>
      </c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4" x14ac:dyDescent="0.3">
      <c r="A623" s="4" t="e">
        <f>IF('Registro de Contratos'!#REF!="","-",'Registro de Contratos'!#REF!&amp;" - "&amp;'Registro de Contratos'!#REF!&amp;" - "&amp;'Registro de Contratos'!#REF!)</f>
        <v>#REF!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3"/>
      <c r="N623" s="8">
        <f t="shared" si="2"/>
        <v>0</v>
      </c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4" x14ac:dyDescent="0.3">
      <c r="A624" s="9" t="e">
        <f>IF('Registro de Contratos'!#REF!="","-",'Registro de Contratos'!#REF!&amp;" - "&amp;'Registro de Contratos'!#REF!&amp;" - "&amp;'Registro de Contratos'!#REF!)</f>
        <v>#REF!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1"/>
      <c r="N624" s="8">
        <f t="shared" si="2"/>
        <v>0</v>
      </c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4" x14ac:dyDescent="0.3">
      <c r="A625" s="4" t="e">
        <f>IF('Registro de Contratos'!#REF!="","-",'Registro de Contratos'!#REF!&amp;" - "&amp;'Registro de Contratos'!#REF!&amp;" - "&amp;'Registro de Contratos'!#REF!)</f>
        <v>#REF!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3"/>
      <c r="N625" s="8">
        <f t="shared" si="2"/>
        <v>0</v>
      </c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4" x14ac:dyDescent="0.3">
      <c r="A626" s="9" t="e">
        <f>IF('Registro de Contratos'!#REF!="","-",'Registro de Contratos'!#REF!&amp;" - "&amp;'Registro de Contratos'!#REF!&amp;" - "&amp;'Registro de Contratos'!#REF!)</f>
        <v>#REF!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1"/>
      <c r="N626" s="8">
        <f t="shared" si="2"/>
        <v>0</v>
      </c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4" x14ac:dyDescent="0.3">
      <c r="A627" s="4" t="e">
        <f>IF('Registro de Contratos'!#REF!="","-",'Registro de Contratos'!#REF!&amp;" - "&amp;'Registro de Contratos'!#REF!&amp;" - "&amp;'Registro de Contratos'!#REF!)</f>
        <v>#REF!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3"/>
      <c r="N627" s="8">
        <f t="shared" si="2"/>
        <v>0</v>
      </c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4" x14ac:dyDescent="0.3">
      <c r="A628" s="9" t="e">
        <f>IF('Registro de Contratos'!#REF!="","-",'Registro de Contratos'!#REF!&amp;" - "&amp;'Registro de Contratos'!#REF!&amp;" - "&amp;'Registro de Contratos'!#REF!)</f>
        <v>#REF!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  <c r="N628" s="8">
        <f t="shared" si="2"/>
        <v>0</v>
      </c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4" x14ac:dyDescent="0.3">
      <c r="A629" s="4" t="e">
        <f>IF('Registro de Contratos'!#REF!="","-",'Registro de Contratos'!#REF!&amp;" - "&amp;'Registro de Contratos'!#REF!&amp;" - "&amp;'Registro de Contratos'!#REF!)</f>
        <v>#REF!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3"/>
      <c r="N629" s="8">
        <f t="shared" si="2"/>
        <v>0</v>
      </c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4" x14ac:dyDescent="0.3">
      <c r="A630" s="9" t="e">
        <f>IF('Registro de Contratos'!#REF!="","-",'Registro de Contratos'!#REF!&amp;" - "&amp;'Registro de Contratos'!#REF!&amp;" - "&amp;'Registro de Contratos'!#REF!)</f>
        <v>#REF!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1"/>
      <c r="N630" s="8">
        <f t="shared" si="2"/>
        <v>0</v>
      </c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4" x14ac:dyDescent="0.3">
      <c r="A631" s="4" t="e">
        <f>IF('Registro de Contratos'!#REF!="","-",'Registro de Contratos'!#REF!&amp;" - "&amp;'Registro de Contratos'!#REF!&amp;" - "&amp;'Registro de Contratos'!#REF!)</f>
        <v>#REF!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3"/>
      <c r="N631" s="8">
        <f t="shared" si="2"/>
        <v>0</v>
      </c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4" x14ac:dyDescent="0.3">
      <c r="A632" s="9" t="e">
        <f>IF('Registro de Contratos'!#REF!="","-",'Registro de Contratos'!#REF!&amp;" - "&amp;'Registro de Contratos'!#REF!&amp;" - "&amp;'Registro de Contratos'!#REF!)</f>
        <v>#REF!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1"/>
      <c r="N632" s="8">
        <f t="shared" si="2"/>
        <v>0</v>
      </c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4" x14ac:dyDescent="0.3">
      <c r="A633" s="4" t="e">
        <f>IF('Registro de Contratos'!#REF!="","-",'Registro de Contratos'!#REF!&amp;" - "&amp;'Registro de Contratos'!#REF!&amp;" - "&amp;'Registro de Contratos'!#REF!)</f>
        <v>#REF!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3"/>
      <c r="N633" s="8">
        <f t="shared" si="2"/>
        <v>0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4" x14ac:dyDescent="0.3">
      <c r="A634" s="9" t="e">
        <f>IF('Registro de Contratos'!#REF!="","-",'Registro de Contratos'!#REF!&amp;" - "&amp;'Registro de Contratos'!#REF!&amp;" - "&amp;'Registro de Contratos'!#REF!)</f>
        <v>#REF!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1"/>
      <c r="N634" s="8">
        <f t="shared" si="2"/>
        <v>0</v>
      </c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4" x14ac:dyDescent="0.3">
      <c r="A635" s="4" t="e">
        <f>IF('Registro de Contratos'!#REF!="","-",'Registro de Contratos'!#REF!&amp;" - "&amp;'Registro de Contratos'!#REF!&amp;" - "&amp;'Registro de Contratos'!#REF!)</f>
        <v>#REF!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3"/>
      <c r="N635" s="8">
        <f t="shared" si="2"/>
        <v>0</v>
      </c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4" x14ac:dyDescent="0.3">
      <c r="A636" s="9" t="e">
        <f>IF('Registro de Contratos'!#REF!="","-",'Registro de Contratos'!#REF!&amp;" - "&amp;'Registro de Contratos'!#REF!&amp;" - "&amp;'Registro de Contratos'!#REF!)</f>
        <v>#REF!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1"/>
      <c r="N636" s="8">
        <f t="shared" si="2"/>
        <v>0</v>
      </c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4" x14ac:dyDescent="0.3">
      <c r="A637" s="4" t="e">
        <f>IF('Registro de Contratos'!#REF!="","-",'Registro de Contratos'!#REF!&amp;" - "&amp;'Registro de Contratos'!#REF!&amp;" - "&amp;'Registro de Contratos'!#REF!)</f>
        <v>#REF!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3"/>
      <c r="N637" s="8">
        <f t="shared" si="2"/>
        <v>0</v>
      </c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4" x14ac:dyDescent="0.3">
      <c r="A638" s="9" t="e">
        <f>IF('Registro de Contratos'!#REF!="","-",'Registro de Contratos'!#REF!&amp;" - "&amp;'Registro de Contratos'!#REF!&amp;" - "&amp;'Registro de Contratos'!#REF!)</f>
        <v>#REF!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1"/>
      <c r="N638" s="8">
        <f t="shared" si="2"/>
        <v>0</v>
      </c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4" x14ac:dyDescent="0.3">
      <c r="A639" s="4" t="e">
        <f>IF('Registro de Contratos'!#REF!="","-",'Registro de Contratos'!#REF!&amp;" - "&amp;'Registro de Contratos'!#REF!&amp;" - "&amp;'Registro de Contratos'!#REF!)</f>
        <v>#REF!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3"/>
      <c r="N639" s="8">
        <f t="shared" si="2"/>
        <v>0</v>
      </c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4" x14ac:dyDescent="0.3">
      <c r="A640" s="9" t="e">
        <f>IF('Registro de Contratos'!#REF!="","-",'Registro de Contratos'!#REF!&amp;" - "&amp;'Registro de Contratos'!#REF!&amp;" - "&amp;'Registro de Contratos'!#REF!)</f>
        <v>#REF!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1"/>
      <c r="N640" s="8">
        <f t="shared" si="2"/>
        <v>0</v>
      </c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4" x14ac:dyDescent="0.3">
      <c r="A641" s="4" t="e">
        <f>IF('Registro de Contratos'!#REF!="","-",'Registro de Contratos'!#REF!&amp;" - "&amp;'Registro de Contratos'!#REF!&amp;" - "&amp;'Registro de Contratos'!#REF!)</f>
        <v>#REF!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3"/>
      <c r="N641" s="8">
        <f t="shared" si="2"/>
        <v>0</v>
      </c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4" x14ac:dyDescent="0.3">
      <c r="A642" s="9" t="e">
        <f>IF('Registro de Contratos'!#REF!="","-",'Registro de Contratos'!#REF!&amp;" - "&amp;'Registro de Contratos'!#REF!&amp;" - "&amp;'Registro de Contratos'!#REF!)</f>
        <v>#REF!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1"/>
      <c r="N642" s="8">
        <f t="shared" si="2"/>
        <v>0</v>
      </c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4" x14ac:dyDescent="0.3">
      <c r="A643" s="4" t="e">
        <f>IF('Registro de Contratos'!#REF!="","-",'Registro de Contratos'!#REF!&amp;" - "&amp;'Registro de Contratos'!#REF!&amp;" - "&amp;'Registro de Contratos'!#REF!)</f>
        <v>#REF!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3"/>
      <c r="N643" s="8">
        <f t="shared" si="2"/>
        <v>0</v>
      </c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4" x14ac:dyDescent="0.3">
      <c r="A644" s="9" t="e">
        <f>IF('Registro de Contratos'!#REF!="","-",'Registro de Contratos'!#REF!&amp;" - "&amp;'Registro de Contratos'!#REF!&amp;" - "&amp;'Registro de Contratos'!#REF!)</f>
        <v>#REF!</v>
      </c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1"/>
      <c r="N644" s="8">
        <f t="shared" si="2"/>
        <v>0</v>
      </c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4" x14ac:dyDescent="0.3">
      <c r="A645" s="4" t="e">
        <f>IF('Registro de Contratos'!#REF!="","-",'Registro de Contratos'!#REF!&amp;" - "&amp;'Registro de Contratos'!#REF!&amp;" - "&amp;'Registro de Contratos'!#REF!)</f>
        <v>#REF!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3"/>
      <c r="N645" s="8">
        <f t="shared" si="2"/>
        <v>0</v>
      </c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4" x14ac:dyDescent="0.3">
      <c r="A646" s="9" t="e">
        <f>IF('Registro de Contratos'!#REF!="","-",'Registro de Contratos'!#REF!&amp;" - "&amp;'Registro de Contratos'!#REF!&amp;" - "&amp;'Registro de Contratos'!#REF!)</f>
        <v>#REF!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8">
        <f t="shared" si="2"/>
        <v>0</v>
      </c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4" x14ac:dyDescent="0.3">
      <c r="A647" s="4" t="e">
        <f>IF('Registro de Contratos'!#REF!="","-",'Registro de Contratos'!#REF!&amp;" - "&amp;'Registro de Contratos'!#REF!&amp;" - "&amp;'Registro de Contratos'!#REF!)</f>
        <v>#REF!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3"/>
      <c r="N647" s="8">
        <f t="shared" si="2"/>
        <v>0</v>
      </c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4" x14ac:dyDescent="0.3">
      <c r="A648" s="9" t="e">
        <f>IF('Registro de Contratos'!#REF!="","-",'Registro de Contratos'!#REF!&amp;" - "&amp;'Registro de Contratos'!#REF!&amp;" - "&amp;'Registro de Contratos'!#REF!)</f>
        <v>#REF!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1"/>
      <c r="N648" s="8">
        <f t="shared" si="2"/>
        <v>0</v>
      </c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4" x14ac:dyDescent="0.3">
      <c r="A649" s="4" t="e">
        <f>IF('Registro de Contratos'!#REF!="","-",'Registro de Contratos'!#REF!&amp;" - "&amp;'Registro de Contratos'!#REF!&amp;" - "&amp;'Registro de Contratos'!#REF!)</f>
        <v>#REF!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3"/>
      <c r="N649" s="8">
        <f t="shared" si="2"/>
        <v>0</v>
      </c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4" x14ac:dyDescent="0.3">
      <c r="A650" s="9" t="e">
        <f>IF('Registro de Contratos'!#REF!="","-",'Registro de Contratos'!#REF!&amp;" - "&amp;'Registro de Contratos'!#REF!&amp;" - "&amp;'Registro de Contratos'!#REF!)</f>
        <v>#REF!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  <c r="N650" s="8">
        <f t="shared" si="2"/>
        <v>0</v>
      </c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4" x14ac:dyDescent="0.3">
      <c r="A651" s="4" t="e">
        <f>IF('Registro de Contratos'!#REF!="","-",'Registro de Contratos'!#REF!&amp;" - "&amp;'Registro de Contratos'!#REF!&amp;" - "&amp;'Registro de Contratos'!#REF!)</f>
        <v>#REF!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3"/>
      <c r="N651" s="8">
        <f t="shared" si="2"/>
        <v>0</v>
      </c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4" x14ac:dyDescent="0.3">
      <c r="A652" s="9" t="e">
        <f>IF('Registro de Contratos'!#REF!="","-",'Registro de Contratos'!#REF!&amp;" - "&amp;'Registro de Contratos'!#REF!&amp;" - "&amp;'Registro de Contratos'!#REF!)</f>
        <v>#REF!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1"/>
      <c r="N652" s="8">
        <f t="shared" si="2"/>
        <v>0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4" x14ac:dyDescent="0.3">
      <c r="A653" s="4" t="e">
        <f>IF('Registro de Contratos'!#REF!="","-",'Registro de Contratos'!#REF!&amp;" - "&amp;'Registro de Contratos'!#REF!&amp;" - "&amp;'Registro de Contratos'!#REF!)</f>
        <v>#REF!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3"/>
      <c r="N653" s="8">
        <f t="shared" si="2"/>
        <v>0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4" x14ac:dyDescent="0.3">
      <c r="A654" s="9" t="e">
        <f>IF('Registro de Contratos'!#REF!="","-",'Registro de Contratos'!#REF!&amp;" - "&amp;'Registro de Contratos'!#REF!&amp;" - "&amp;'Registro de Contratos'!#REF!)</f>
        <v>#REF!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1"/>
      <c r="N654" s="8">
        <f t="shared" si="2"/>
        <v>0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4" x14ac:dyDescent="0.3">
      <c r="A655" s="4" t="e">
        <f>IF('Registro de Contratos'!#REF!="","-",'Registro de Contratos'!#REF!&amp;" - "&amp;'Registro de Contratos'!#REF!&amp;" - "&amp;'Registro de Contratos'!#REF!)</f>
        <v>#REF!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3"/>
      <c r="N655" s="8">
        <f t="shared" si="2"/>
        <v>0</v>
      </c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4" x14ac:dyDescent="0.3">
      <c r="A656" s="9" t="e">
        <f>IF('Registro de Contratos'!#REF!="","-",'Registro de Contratos'!#REF!&amp;" - "&amp;'Registro de Contratos'!#REF!&amp;" - "&amp;'Registro de Contratos'!#REF!)</f>
        <v>#REF!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1"/>
      <c r="N656" s="8">
        <f t="shared" si="2"/>
        <v>0</v>
      </c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4" x14ac:dyDescent="0.3">
      <c r="A657" s="4" t="e">
        <f>IF('Registro de Contratos'!#REF!="","-",'Registro de Contratos'!#REF!&amp;" - "&amp;'Registro de Contratos'!#REF!&amp;" - "&amp;'Registro de Contratos'!#REF!)</f>
        <v>#REF!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3"/>
      <c r="N657" s="8">
        <f t="shared" si="2"/>
        <v>0</v>
      </c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4" x14ac:dyDescent="0.3">
      <c r="A658" s="9" t="e">
        <f>IF('Registro de Contratos'!#REF!="","-",'Registro de Contratos'!#REF!&amp;" - "&amp;'Registro de Contratos'!#REF!&amp;" - "&amp;'Registro de Contratos'!#REF!)</f>
        <v>#REF!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1"/>
      <c r="N658" s="8">
        <f t="shared" si="2"/>
        <v>0</v>
      </c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4" x14ac:dyDescent="0.3">
      <c r="A659" s="4" t="e">
        <f>IF('Registro de Contratos'!#REF!="","-",'Registro de Contratos'!#REF!&amp;" - "&amp;'Registro de Contratos'!#REF!&amp;" - "&amp;'Registro de Contratos'!#REF!)</f>
        <v>#REF!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3"/>
      <c r="N659" s="8">
        <f t="shared" si="2"/>
        <v>0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4" x14ac:dyDescent="0.3">
      <c r="A660" s="9" t="e">
        <f>IF('Registro de Contratos'!#REF!="","-",'Registro de Contratos'!#REF!&amp;" - "&amp;'Registro de Contratos'!#REF!&amp;" - "&amp;'Registro de Contratos'!#REF!)</f>
        <v>#REF!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1"/>
      <c r="N660" s="8">
        <f t="shared" si="2"/>
        <v>0</v>
      </c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4" x14ac:dyDescent="0.3">
      <c r="A661" s="4" t="e">
        <f>IF('Registro de Contratos'!#REF!="","-",'Registro de Contratos'!#REF!&amp;" - "&amp;'Registro de Contratos'!#REF!&amp;" - "&amp;'Registro de Contratos'!#REF!)</f>
        <v>#REF!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3"/>
      <c r="N661" s="8">
        <f t="shared" si="2"/>
        <v>0</v>
      </c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4" x14ac:dyDescent="0.3">
      <c r="A662" s="9" t="e">
        <f>IF('Registro de Contratos'!#REF!="","-",'Registro de Contratos'!#REF!&amp;" - "&amp;'Registro de Contratos'!#REF!&amp;" - "&amp;'Registro de Contratos'!#REF!)</f>
        <v>#REF!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1"/>
      <c r="N662" s="8">
        <f t="shared" si="2"/>
        <v>0</v>
      </c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4" x14ac:dyDescent="0.3">
      <c r="A663" s="4" t="e">
        <f>IF('Registro de Contratos'!#REF!="","-",'Registro de Contratos'!#REF!&amp;" - "&amp;'Registro de Contratos'!#REF!&amp;" - "&amp;'Registro de Contratos'!#REF!)</f>
        <v>#REF!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3"/>
      <c r="N663" s="8">
        <f t="shared" si="2"/>
        <v>0</v>
      </c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4" x14ac:dyDescent="0.3">
      <c r="A664" s="9" t="e">
        <f>IF('Registro de Contratos'!#REF!="","-",'Registro de Contratos'!#REF!&amp;" - "&amp;'Registro de Contratos'!#REF!&amp;" - "&amp;'Registro de Contratos'!#REF!)</f>
        <v>#REF!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1"/>
      <c r="N664" s="8">
        <f t="shared" si="2"/>
        <v>0</v>
      </c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4" x14ac:dyDescent="0.3">
      <c r="A665" s="4" t="e">
        <f>IF('Registro de Contratos'!#REF!="","-",'Registro de Contratos'!#REF!&amp;" - "&amp;'Registro de Contratos'!#REF!&amp;" - "&amp;'Registro de Contratos'!#REF!)</f>
        <v>#REF!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3"/>
      <c r="N665" s="8">
        <f t="shared" si="2"/>
        <v>0</v>
      </c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4" x14ac:dyDescent="0.3">
      <c r="A666" s="9" t="e">
        <f>IF('Registro de Contratos'!#REF!="","-",'Registro de Contratos'!#REF!&amp;" - "&amp;'Registro de Contratos'!#REF!&amp;" - "&amp;'Registro de Contratos'!#REF!)</f>
        <v>#REF!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1"/>
      <c r="N666" s="8">
        <f t="shared" si="2"/>
        <v>0</v>
      </c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4" x14ac:dyDescent="0.3">
      <c r="A667" s="4" t="e">
        <f>IF('Registro de Contratos'!#REF!="","-",'Registro de Contratos'!#REF!&amp;" - "&amp;'Registro de Contratos'!#REF!&amp;" - "&amp;'Registro de Contratos'!#REF!)</f>
        <v>#REF!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3"/>
      <c r="N667" s="8">
        <f t="shared" si="2"/>
        <v>0</v>
      </c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4" x14ac:dyDescent="0.3">
      <c r="A668" s="9" t="e">
        <f>IF('Registro de Contratos'!#REF!="","-",'Registro de Contratos'!#REF!&amp;" - "&amp;'Registro de Contratos'!#REF!&amp;" - "&amp;'Registro de Contratos'!#REF!)</f>
        <v>#REF!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1"/>
      <c r="N668" s="8">
        <f t="shared" si="2"/>
        <v>0</v>
      </c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4" x14ac:dyDescent="0.3">
      <c r="A669" s="4" t="e">
        <f>IF('Registro de Contratos'!#REF!="","-",'Registro de Contratos'!#REF!&amp;" - "&amp;'Registro de Contratos'!#REF!&amp;" - "&amp;'Registro de Contratos'!#REF!)</f>
        <v>#REF!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3"/>
      <c r="N669" s="8">
        <f t="shared" si="2"/>
        <v>0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4" x14ac:dyDescent="0.3">
      <c r="A670" s="9" t="e">
        <f>IF('Registro de Contratos'!#REF!="","-",'Registro de Contratos'!#REF!&amp;" - "&amp;'Registro de Contratos'!#REF!&amp;" - "&amp;'Registro de Contratos'!#REF!)</f>
        <v>#REF!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1"/>
      <c r="N670" s="8">
        <f t="shared" si="2"/>
        <v>0</v>
      </c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4" x14ac:dyDescent="0.3">
      <c r="A671" s="4" t="e">
        <f>IF('Registro de Contratos'!#REF!="","-",'Registro de Contratos'!#REF!&amp;" - "&amp;'Registro de Contratos'!#REF!&amp;" - "&amp;'Registro de Contratos'!#REF!)</f>
        <v>#REF!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3"/>
      <c r="N671" s="8">
        <f t="shared" si="2"/>
        <v>0</v>
      </c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4" x14ac:dyDescent="0.3">
      <c r="A672" s="9" t="e">
        <f>IF('Registro de Contratos'!#REF!="","-",'Registro de Contratos'!#REF!&amp;" - "&amp;'Registro de Contratos'!#REF!&amp;" - "&amp;'Registro de Contratos'!#REF!)</f>
        <v>#REF!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  <c r="N672" s="8">
        <f t="shared" si="2"/>
        <v>0</v>
      </c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4" x14ac:dyDescent="0.3">
      <c r="A673" s="4" t="e">
        <f>IF('Registro de Contratos'!#REF!="","-",'Registro de Contratos'!#REF!&amp;" - "&amp;'Registro de Contratos'!#REF!&amp;" - "&amp;'Registro de Contratos'!#REF!)</f>
        <v>#REF!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3"/>
      <c r="N673" s="8">
        <f t="shared" si="2"/>
        <v>0</v>
      </c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4" x14ac:dyDescent="0.3">
      <c r="A674" s="9" t="e">
        <f>IF('Registro de Contratos'!#REF!="","-",'Registro de Contratos'!#REF!&amp;" - "&amp;'Registro de Contratos'!#REF!&amp;" - "&amp;'Registro de Contratos'!#REF!)</f>
        <v>#REF!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1"/>
      <c r="N674" s="8">
        <f t="shared" si="2"/>
        <v>0</v>
      </c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4" x14ac:dyDescent="0.3">
      <c r="A675" s="4" t="e">
        <f>IF('Registro de Contratos'!#REF!="","-",'Registro de Contratos'!#REF!&amp;" - "&amp;'Registro de Contratos'!#REF!&amp;" - "&amp;'Registro de Contratos'!#REF!)</f>
        <v>#REF!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3"/>
      <c r="N675" s="8">
        <f t="shared" si="2"/>
        <v>0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4" x14ac:dyDescent="0.3">
      <c r="A676" s="9" t="e">
        <f>IF('Registro de Contratos'!#REF!="","-",'Registro de Contratos'!#REF!&amp;" - "&amp;'Registro de Contratos'!#REF!&amp;" - "&amp;'Registro de Contratos'!#REF!)</f>
        <v>#REF!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1"/>
      <c r="N676" s="8">
        <f t="shared" si="2"/>
        <v>0</v>
      </c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4" x14ac:dyDescent="0.3">
      <c r="A677" s="4" t="e">
        <f>IF('Registro de Contratos'!#REF!="","-",'Registro de Contratos'!#REF!&amp;" - "&amp;'Registro de Contratos'!#REF!&amp;" - "&amp;'Registro de Contratos'!#REF!)</f>
        <v>#REF!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3"/>
      <c r="N677" s="8">
        <f t="shared" si="2"/>
        <v>0</v>
      </c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4" x14ac:dyDescent="0.3">
      <c r="A678" s="9" t="e">
        <f>IF('Registro de Contratos'!#REF!="","-",'Registro de Contratos'!#REF!&amp;" - "&amp;'Registro de Contratos'!#REF!&amp;" - "&amp;'Registro de Contratos'!#REF!)</f>
        <v>#REF!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8">
        <f t="shared" si="2"/>
        <v>0</v>
      </c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4" x14ac:dyDescent="0.3">
      <c r="A679" s="4" t="e">
        <f>IF('Registro de Contratos'!#REF!="","-",'Registro de Contratos'!#REF!&amp;" - "&amp;'Registro de Contratos'!#REF!&amp;" - "&amp;'Registro de Contratos'!#REF!)</f>
        <v>#REF!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3"/>
      <c r="N679" s="8">
        <f t="shared" si="2"/>
        <v>0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4" x14ac:dyDescent="0.3">
      <c r="A680" s="9" t="e">
        <f>IF('Registro de Contratos'!#REF!="","-",'Registro de Contratos'!#REF!&amp;" - "&amp;'Registro de Contratos'!#REF!&amp;" - "&amp;'Registro de Contratos'!#REF!)</f>
        <v>#REF!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1"/>
      <c r="N680" s="8">
        <f t="shared" si="2"/>
        <v>0</v>
      </c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4" x14ac:dyDescent="0.3">
      <c r="A681" s="4" t="e">
        <f>IF('Registro de Contratos'!#REF!="","-",'Registro de Contratos'!#REF!&amp;" - "&amp;'Registro de Contratos'!#REF!&amp;" - "&amp;'Registro de Contratos'!#REF!)</f>
        <v>#REF!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3"/>
      <c r="N681" s="8">
        <f t="shared" si="2"/>
        <v>0</v>
      </c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4" x14ac:dyDescent="0.3">
      <c r="A682" s="9" t="e">
        <f>IF('Registro de Contratos'!#REF!="","-",'Registro de Contratos'!#REF!&amp;" - "&amp;'Registro de Contratos'!#REF!&amp;" - "&amp;'Registro de Contratos'!#REF!)</f>
        <v>#REF!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1"/>
      <c r="N682" s="8">
        <f t="shared" si="2"/>
        <v>0</v>
      </c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4" x14ac:dyDescent="0.3">
      <c r="A683" s="4" t="e">
        <f>IF('Registro de Contratos'!#REF!="","-",'Registro de Contratos'!#REF!&amp;" - "&amp;'Registro de Contratos'!#REF!&amp;" - "&amp;'Registro de Contratos'!#REF!)</f>
        <v>#REF!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3"/>
      <c r="N683" s="8">
        <f t="shared" si="2"/>
        <v>0</v>
      </c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4" x14ac:dyDescent="0.3">
      <c r="A684" s="9" t="e">
        <f>IF('Registro de Contratos'!#REF!="","-",'Registro de Contratos'!#REF!&amp;" - "&amp;'Registro de Contratos'!#REF!&amp;" - "&amp;'Registro de Contratos'!#REF!)</f>
        <v>#REF!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1"/>
      <c r="N684" s="8">
        <f t="shared" si="2"/>
        <v>0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4" x14ac:dyDescent="0.3">
      <c r="A685" s="4" t="e">
        <f>IF('Registro de Contratos'!#REF!="","-",'Registro de Contratos'!#REF!&amp;" - "&amp;'Registro de Contratos'!#REF!&amp;" - "&amp;'Registro de Contratos'!#REF!)</f>
        <v>#REF!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3"/>
      <c r="N685" s="8">
        <f t="shared" si="2"/>
        <v>0</v>
      </c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4" x14ac:dyDescent="0.3">
      <c r="A686" s="9" t="e">
        <f>IF('Registro de Contratos'!#REF!="","-",'Registro de Contratos'!#REF!&amp;" - "&amp;'Registro de Contratos'!#REF!&amp;" - "&amp;'Registro de Contratos'!#REF!)</f>
        <v>#REF!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1"/>
      <c r="N686" s="8">
        <f t="shared" si="2"/>
        <v>0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4" x14ac:dyDescent="0.3">
      <c r="A687" s="4" t="e">
        <f>IF('Registro de Contratos'!#REF!="","-",'Registro de Contratos'!#REF!&amp;" - "&amp;'Registro de Contratos'!#REF!&amp;" - "&amp;'Registro de Contratos'!#REF!)</f>
        <v>#REF!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3"/>
      <c r="N687" s="8">
        <f t="shared" si="2"/>
        <v>0</v>
      </c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4" x14ac:dyDescent="0.3">
      <c r="A688" s="9" t="e">
        <f>IF('Registro de Contratos'!#REF!="","-",'Registro de Contratos'!#REF!&amp;" - "&amp;'Registro de Contratos'!#REF!&amp;" - "&amp;'Registro de Contratos'!#REF!)</f>
        <v>#REF!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1"/>
      <c r="N688" s="8">
        <f t="shared" si="2"/>
        <v>0</v>
      </c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4" x14ac:dyDescent="0.3">
      <c r="A689" s="4" t="e">
        <f>IF('Registro de Contratos'!#REF!="","-",'Registro de Contratos'!#REF!&amp;" - "&amp;'Registro de Contratos'!#REF!&amp;" - "&amp;'Registro de Contratos'!#REF!)</f>
        <v>#REF!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3"/>
      <c r="N689" s="8">
        <f t="shared" si="2"/>
        <v>0</v>
      </c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4" x14ac:dyDescent="0.3">
      <c r="A690" s="9" t="e">
        <f>IF('Registro de Contratos'!#REF!="","-",'Registro de Contratos'!#REF!&amp;" - "&amp;'Registro de Contratos'!#REF!&amp;" - "&amp;'Registro de Contratos'!#REF!)</f>
        <v>#REF!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1"/>
      <c r="N690" s="8">
        <f t="shared" si="2"/>
        <v>0</v>
      </c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4" x14ac:dyDescent="0.3">
      <c r="A691" s="4" t="e">
        <f>IF('Registro de Contratos'!#REF!="","-",'Registro de Contratos'!#REF!&amp;" - "&amp;'Registro de Contratos'!#REF!&amp;" - "&amp;'Registro de Contratos'!#REF!)</f>
        <v>#REF!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3"/>
      <c r="N691" s="8">
        <f t="shared" si="2"/>
        <v>0</v>
      </c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4" x14ac:dyDescent="0.3">
      <c r="A692" s="9" t="e">
        <f>IF('Registro de Contratos'!#REF!="","-",'Registro de Contratos'!#REF!&amp;" - "&amp;'Registro de Contratos'!#REF!&amp;" - "&amp;'Registro de Contratos'!#REF!)</f>
        <v>#REF!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1"/>
      <c r="N692" s="8">
        <f t="shared" si="2"/>
        <v>0</v>
      </c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4" x14ac:dyDescent="0.3">
      <c r="A693" s="4" t="e">
        <f>IF('Registro de Contratos'!#REF!="","-",'Registro de Contratos'!#REF!&amp;" - "&amp;'Registro de Contratos'!#REF!&amp;" - "&amp;'Registro de Contratos'!#REF!)</f>
        <v>#REF!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3"/>
      <c r="N693" s="8">
        <f t="shared" si="2"/>
        <v>0</v>
      </c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4" x14ac:dyDescent="0.3">
      <c r="A694" s="9" t="e">
        <f>IF('Registro de Contratos'!#REF!="","-",'Registro de Contratos'!#REF!&amp;" - "&amp;'Registro de Contratos'!#REF!&amp;" - "&amp;'Registro de Contratos'!#REF!)</f>
        <v>#REF!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  <c r="N694" s="8">
        <f t="shared" si="2"/>
        <v>0</v>
      </c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4" x14ac:dyDescent="0.3">
      <c r="A695" s="4" t="e">
        <f>IF('Registro de Contratos'!#REF!="","-",'Registro de Contratos'!#REF!&amp;" - "&amp;'Registro de Contratos'!#REF!&amp;" - "&amp;'Registro de Contratos'!#REF!)</f>
        <v>#REF!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3"/>
      <c r="N695" s="8">
        <f t="shared" si="2"/>
        <v>0</v>
      </c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4" x14ac:dyDescent="0.3">
      <c r="A696" s="9" t="e">
        <f>IF('Registro de Contratos'!#REF!="","-",'Registro de Contratos'!#REF!&amp;" - "&amp;'Registro de Contratos'!#REF!&amp;" - "&amp;'Registro de Contratos'!#REF!)</f>
        <v>#REF!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1"/>
      <c r="N696" s="8">
        <f t="shared" si="2"/>
        <v>0</v>
      </c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4" x14ac:dyDescent="0.3">
      <c r="A697" s="4" t="e">
        <f>IF('Registro de Contratos'!#REF!="","-",'Registro de Contratos'!#REF!&amp;" - "&amp;'Registro de Contratos'!#REF!&amp;" - "&amp;'Registro de Contratos'!#REF!)</f>
        <v>#REF!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3"/>
      <c r="N697" s="8">
        <f t="shared" si="2"/>
        <v>0</v>
      </c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4" x14ac:dyDescent="0.3">
      <c r="A698" s="9" t="e">
        <f>IF('Registro de Contratos'!#REF!="","-",'Registro de Contratos'!#REF!&amp;" - "&amp;'Registro de Contratos'!#REF!&amp;" - "&amp;'Registro de Contratos'!#REF!)</f>
        <v>#REF!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1"/>
      <c r="N698" s="8">
        <f t="shared" si="2"/>
        <v>0</v>
      </c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4" x14ac:dyDescent="0.3">
      <c r="A699" s="4" t="e">
        <f>IF('Registro de Contratos'!#REF!="","-",'Registro de Contratos'!#REF!&amp;" - "&amp;'Registro de Contratos'!#REF!&amp;" - "&amp;'Registro de Contratos'!#REF!)</f>
        <v>#REF!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3"/>
      <c r="N699" s="8">
        <f t="shared" si="2"/>
        <v>0</v>
      </c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4" x14ac:dyDescent="0.3">
      <c r="A700" s="9" t="e">
        <f>IF('Registro de Contratos'!#REF!="","-",'Registro de Contratos'!#REF!&amp;" - "&amp;'Registro de Contratos'!#REF!&amp;" - "&amp;'Registro de Contratos'!#REF!)</f>
        <v>#REF!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1"/>
      <c r="N700" s="8">
        <f t="shared" si="2"/>
        <v>0</v>
      </c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4" x14ac:dyDescent="0.3">
      <c r="A701" s="4" t="e">
        <f>IF('Registro de Contratos'!#REF!="","-",'Registro de Contratos'!#REF!&amp;" - "&amp;'Registro de Contratos'!#REF!&amp;" - "&amp;'Registro de Contratos'!#REF!)</f>
        <v>#REF!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3"/>
      <c r="N701" s="8">
        <f t="shared" si="2"/>
        <v>0</v>
      </c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4" x14ac:dyDescent="0.3">
      <c r="A702" s="9" t="e">
        <f>IF('Registro de Contratos'!#REF!="","-",'Registro de Contratos'!#REF!&amp;" - "&amp;'Registro de Contratos'!#REF!&amp;" - "&amp;'Registro de Contratos'!#REF!)</f>
        <v>#REF!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1"/>
      <c r="N702" s="8">
        <f t="shared" si="2"/>
        <v>0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4" x14ac:dyDescent="0.3">
      <c r="A703" s="4" t="e">
        <f>IF('Registro de Contratos'!#REF!="","-",'Registro de Contratos'!#REF!&amp;" - "&amp;'Registro de Contratos'!#REF!&amp;" - "&amp;'Registro de Contratos'!#REF!)</f>
        <v>#REF!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3"/>
      <c r="N703" s="8">
        <f t="shared" si="2"/>
        <v>0</v>
      </c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4" x14ac:dyDescent="0.3">
      <c r="A704" s="9" t="e">
        <f>IF('Registro de Contratos'!#REF!="","-",'Registro de Contratos'!#REF!&amp;" - "&amp;'Registro de Contratos'!#REF!&amp;" - "&amp;'Registro de Contratos'!#REF!)</f>
        <v>#REF!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  <c r="N704" s="8">
        <f t="shared" si="2"/>
        <v>0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4" x14ac:dyDescent="0.3">
      <c r="A705" s="4" t="e">
        <f>IF('Registro de Contratos'!#REF!="","-",'Registro de Contratos'!#REF!&amp;" - "&amp;'Registro de Contratos'!#REF!&amp;" - "&amp;'Registro de Contratos'!#REF!)</f>
        <v>#REF!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3"/>
      <c r="N705" s="8">
        <f t="shared" si="2"/>
        <v>0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4" x14ac:dyDescent="0.3">
      <c r="A706" s="9" t="e">
        <f>IF('Registro de Contratos'!#REF!="","-",'Registro de Contratos'!#REF!&amp;" - "&amp;'Registro de Contratos'!#REF!&amp;" - "&amp;'Registro de Contratos'!#REF!)</f>
        <v>#REF!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1"/>
      <c r="N706" s="8">
        <f t="shared" si="2"/>
        <v>0</v>
      </c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4" x14ac:dyDescent="0.3">
      <c r="A707" s="4" t="e">
        <f>IF('Registro de Contratos'!#REF!="","-",'Registro de Contratos'!#REF!&amp;" - "&amp;'Registro de Contratos'!#REF!&amp;" - "&amp;'Registro de Contratos'!#REF!)</f>
        <v>#REF!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3"/>
      <c r="N707" s="8">
        <f t="shared" si="2"/>
        <v>0</v>
      </c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4" x14ac:dyDescent="0.3">
      <c r="A708" s="9" t="e">
        <f>IF('Registro de Contratos'!#REF!="","-",'Registro de Contratos'!#REF!&amp;" - "&amp;'Registro de Contratos'!#REF!&amp;" - "&amp;'Registro de Contratos'!#REF!)</f>
        <v>#REF!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1"/>
      <c r="N708" s="8">
        <f t="shared" si="2"/>
        <v>0</v>
      </c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4" x14ac:dyDescent="0.3">
      <c r="A709" s="4" t="e">
        <f>IF('Registro de Contratos'!#REF!="","-",'Registro de Contratos'!#REF!&amp;" - "&amp;'Registro de Contratos'!#REF!&amp;" - "&amp;'Registro de Contratos'!#REF!)</f>
        <v>#REF!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3"/>
      <c r="N709" s="8">
        <f t="shared" si="2"/>
        <v>0</v>
      </c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4" x14ac:dyDescent="0.3">
      <c r="A710" s="9" t="e">
        <f>IF('Registro de Contratos'!#REF!="","-",'Registro de Contratos'!#REF!&amp;" - "&amp;'Registro de Contratos'!#REF!&amp;" - "&amp;'Registro de Contratos'!#REF!)</f>
        <v>#REF!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8">
        <f t="shared" si="2"/>
        <v>0</v>
      </c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4" x14ac:dyDescent="0.3">
      <c r="A711" s="4" t="e">
        <f>IF('Registro de Contratos'!#REF!="","-",'Registro de Contratos'!#REF!&amp;" - "&amp;'Registro de Contratos'!#REF!&amp;" - "&amp;'Registro de Contratos'!#REF!)</f>
        <v>#REF!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3"/>
      <c r="N711" s="8">
        <f t="shared" si="2"/>
        <v>0</v>
      </c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4" x14ac:dyDescent="0.3">
      <c r="A712" s="9" t="e">
        <f>IF('Registro de Contratos'!#REF!="","-",'Registro de Contratos'!#REF!&amp;" - "&amp;'Registro de Contratos'!#REF!&amp;" - "&amp;'Registro de Contratos'!#REF!)</f>
        <v>#REF!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1"/>
      <c r="N712" s="8">
        <f t="shared" si="2"/>
        <v>0</v>
      </c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4" x14ac:dyDescent="0.3">
      <c r="A713" s="4" t="e">
        <f>IF('Registro de Contratos'!#REF!="","-",'Registro de Contratos'!#REF!&amp;" - "&amp;'Registro de Contratos'!#REF!&amp;" - "&amp;'Registro de Contratos'!#REF!)</f>
        <v>#REF!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3"/>
      <c r="N713" s="8">
        <f t="shared" si="2"/>
        <v>0</v>
      </c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4" x14ac:dyDescent="0.3">
      <c r="A714" s="9" t="e">
        <f>IF('Registro de Contratos'!#REF!="","-",'Registro de Contratos'!#REF!&amp;" - "&amp;'Registro de Contratos'!#REF!&amp;" - "&amp;'Registro de Contratos'!#REF!)</f>
        <v>#REF!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1"/>
      <c r="N714" s="8">
        <f t="shared" si="2"/>
        <v>0</v>
      </c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4" x14ac:dyDescent="0.3">
      <c r="A715" s="4" t="e">
        <f>IF('Registro de Contratos'!#REF!="","-",'Registro de Contratos'!#REF!&amp;" - "&amp;'Registro de Contratos'!#REF!&amp;" - "&amp;'Registro de Contratos'!#REF!)</f>
        <v>#REF!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3"/>
      <c r="N715" s="8">
        <f t="shared" si="2"/>
        <v>0</v>
      </c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4" x14ac:dyDescent="0.3">
      <c r="A716" s="9" t="e">
        <f>IF('Registro de Contratos'!#REF!="","-",'Registro de Contratos'!#REF!&amp;" - "&amp;'Registro de Contratos'!#REF!&amp;" - "&amp;'Registro de Contratos'!#REF!)</f>
        <v>#REF!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  <c r="N716" s="8">
        <f t="shared" si="2"/>
        <v>0</v>
      </c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4" x14ac:dyDescent="0.3">
      <c r="A717" s="4" t="e">
        <f>IF('Registro de Contratos'!#REF!="","-",'Registro de Contratos'!#REF!&amp;" - "&amp;'Registro de Contratos'!#REF!&amp;" - "&amp;'Registro de Contratos'!#REF!)</f>
        <v>#REF!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3"/>
      <c r="N717" s="8">
        <f t="shared" si="2"/>
        <v>0</v>
      </c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4" x14ac:dyDescent="0.3">
      <c r="A718" s="9" t="e">
        <f>IF('Registro de Contratos'!#REF!="","-",'Registro de Contratos'!#REF!&amp;" - "&amp;'Registro de Contratos'!#REF!&amp;" - "&amp;'Registro de Contratos'!#REF!)</f>
        <v>#REF!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1"/>
      <c r="N718" s="8">
        <f t="shared" si="2"/>
        <v>0</v>
      </c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4" x14ac:dyDescent="0.3">
      <c r="A719" s="4" t="e">
        <f>IF('Registro de Contratos'!#REF!="","-",'Registro de Contratos'!#REF!&amp;" - "&amp;'Registro de Contratos'!#REF!&amp;" - "&amp;'Registro de Contratos'!#REF!)</f>
        <v>#REF!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3"/>
      <c r="N719" s="8">
        <f t="shared" si="2"/>
        <v>0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4" x14ac:dyDescent="0.3">
      <c r="A720" s="9" t="e">
        <f>IF('Registro de Contratos'!#REF!="","-",'Registro de Contratos'!#REF!&amp;" - "&amp;'Registro de Contratos'!#REF!&amp;" - "&amp;'Registro de Contratos'!#REF!)</f>
        <v>#REF!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1"/>
      <c r="N720" s="8">
        <f t="shared" si="2"/>
        <v>0</v>
      </c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4" x14ac:dyDescent="0.3">
      <c r="A721" s="4" t="e">
        <f>IF('Registro de Contratos'!#REF!="","-",'Registro de Contratos'!#REF!&amp;" - "&amp;'Registro de Contratos'!#REF!&amp;" - "&amp;'Registro de Contratos'!#REF!)</f>
        <v>#REF!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3"/>
      <c r="N721" s="8">
        <f t="shared" si="2"/>
        <v>0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4" x14ac:dyDescent="0.3">
      <c r="A722" s="9" t="e">
        <f>IF('Registro de Contratos'!#REF!="","-",'Registro de Contratos'!#REF!&amp;" - "&amp;'Registro de Contratos'!#REF!&amp;" - "&amp;'Registro de Contratos'!#REF!)</f>
        <v>#REF!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1"/>
      <c r="N722" s="8">
        <f t="shared" si="2"/>
        <v>0</v>
      </c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4" x14ac:dyDescent="0.3">
      <c r="A723" s="4" t="e">
        <f>IF('Registro de Contratos'!#REF!="","-",'Registro de Contratos'!#REF!&amp;" - "&amp;'Registro de Contratos'!#REF!&amp;" - "&amp;'Registro de Contratos'!#REF!)</f>
        <v>#REF!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3"/>
      <c r="N723" s="8">
        <f t="shared" si="2"/>
        <v>0</v>
      </c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4" x14ac:dyDescent="0.3">
      <c r="A724" s="9" t="e">
        <f>IF('Registro de Contratos'!#REF!="","-",'Registro de Contratos'!#REF!&amp;" - "&amp;'Registro de Contratos'!#REF!&amp;" - "&amp;'Registro de Contratos'!#REF!)</f>
        <v>#REF!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1"/>
      <c r="N724" s="8">
        <f t="shared" si="2"/>
        <v>0</v>
      </c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4" x14ac:dyDescent="0.3">
      <c r="A725" s="4" t="e">
        <f>IF('Registro de Contratos'!#REF!="","-",'Registro de Contratos'!#REF!&amp;" - "&amp;'Registro de Contratos'!#REF!&amp;" - "&amp;'Registro de Contratos'!#REF!)</f>
        <v>#REF!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3"/>
      <c r="N725" s="8">
        <f t="shared" si="2"/>
        <v>0</v>
      </c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4" x14ac:dyDescent="0.3">
      <c r="A726" s="9" t="e">
        <f>IF('Registro de Contratos'!#REF!="","-",'Registro de Contratos'!#REF!&amp;" - "&amp;'Registro de Contratos'!#REF!&amp;" - "&amp;'Registro de Contratos'!#REF!)</f>
        <v>#REF!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1"/>
      <c r="N726" s="8">
        <f t="shared" si="2"/>
        <v>0</v>
      </c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4" x14ac:dyDescent="0.3">
      <c r="A727" s="4" t="e">
        <f>IF('Registro de Contratos'!#REF!="","-",'Registro de Contratos'!#REF!&amp;" - "&amp;'Registro de Contratos'!#REF!&amp;" - "&amp;'Registro de Contratos'!#REF!)</f>
        <v>#REF!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3"/>
      <c r="N727" s="8">
        <f t="shared" si="2"/>
        <v>0</v>
      </c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4" x14ac:dyDescent="0.3">
      <c r="A728" s="9" t="e">
        <f>IF('Registro de Contratos'!#REF!="","-",'Registro de Contratos'!#REF!&amp;" - "&amp;'Registro de Contratos'!#REF!&amp;" - "&amp;'Registro de Contratos'!#REF!)</f>
        <v>#REF!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1"/>
      <c r="N728" s="8">
        <f t="shared" si="2"/>
        <v>0</v>
      </c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4" x14ac:dyDescent="0.3">
      <c r="A729" s="4" t="e">
        <f>IF('Registro de Contratos'!#REF!="","-",'Registro de Contratos'!#REF!&amp;" - "&amp;'Registro de Contratos'!#REF!&amp;" - "&amp;'Registro de Contratos'!#REF!)</f>
        <v>#REF!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3"/>
      <c r="N729" s="8">
        <f t="shared" si="2"/>
        <v>0</v>
      </c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4" x14ac:dyDescent="0.3">
      <c r="A730" s="9" t="e">
        <f>IF('Registro de Contratos'!#REF!="","-",'Registro de Contratos'!#REF!&amp;" - "&amp;'Registro de Contratos'!#REF!&amp;" - "&amp;'Registro de Contratos'!#REF!)</f>
        <v>#REF!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1"/>
      <c r="N730" s="8">
        <f t="shared" si="2"/>
        <v>0</v>
      </c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4" x14ac:dyDescent="0.3">
      <c r="A731" s="4" t="e">
        <f>IF('Registro de Contratos'!#REF!="","-",'Registro de Contratos'!#REF!&amp;" - "&amp;'Registro de Contratos'!#REF!&amp;" - "&amp;'Registro de Contratos'!#REF!)</f>
        <v>#REF!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3"/>
      <c r="N731" s="8">
        <f t="shared" si="2"/>
        <v>0</v>
      </c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4" x14ac:dyDescent="0.3">
      <c r="A732" s="9" t="e">
        <f>IF('Registro de Contratos'!#REF!="","-",'Registro de Contratos'!#REF!&amp;" - "&amp;'Registro de Contratos'!#REF!&amp;" - "&amp;'Registro de Contratos'!#REF!)</f>
        <v>#REF!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1"/>
      <c r="N732" s="8">
        <f t="shared" si="2"/>
        <v>0</v>
      </c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4" x14ac:dyDescent="0.3">
      <c r="A733" s="4" t="e">
        <f>IF('Registro de Contratos'!#REF!="","-",'Registro de Contratos'!#REF!&amp;" - "&amp;'Registro de Contratos'!#REF!&amp;" - "&amp;'Registro de Contratos'!#REF!)</f>
        <v>#REF!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3"/>
      <c r="N733" s="8">
        <f t="shared" si="2"/>
        <v>0</v>
      </c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4" x14ac:dyDescent="0.3">
      <c r="A734" s="9" t="e">
        <f>IF('Registro de Contratos'!#REF!="","-",'Registro de Contratos'!#REF!&amp;" - "&amp;'Registro de Contratos'!#REF!&amp;" - "&amp;'Registro de Contratos'!#REF!)</f>
        <v>#REF!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1"/>
      <c r="N734" s="8">
        <f t="shared" si="2"/>
        <v>0</v>
      </c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4" x14ac:dyDescent="0.3">
      <c r="A735" s="4" t="e">
        <f>IF('Registro de Contratos'!#REF!="","-",'Registro de Contratos'!#REF!&amp;" - "&amp;'Registro de Contratos'!#REF!&amp;" - "&amp;'Registro de Contratos'!#REF!)</f>
        <v>#REF!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3"/>
      <c r="N735" s="8">
        <f t="shared" si="2"/>
        <v>0</v>
      </c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4" x14ac:dyDescent="0.3">
      <c r="A736" s="9" t="e">
        <f>IF('Registro de Contratos'!#REF!="","-",'Registro de Contratos'!#REF!&amp;" - "&amp;'Registro de Contratos'!#REF!&amp;" - "&amp;'Registro de Contratos'!#REF!)</f>
        <v>#REF!</v>
      </c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1"/>
      <c r="N736" s="8">
        <f t="shared" si="2"/>
        <v>0</v>
      </c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4" x14ac:dyDescent="0.3">
      <c r="A737" s="4" t="e">
        <f>IF('Registro de Contratos'!#REF!="","-",'Registro de Contratos'!#REF!&amp;" - "&amp;'Registro de Contratos'!#REF!&amp;" - "&amp;'Registro de Contratos'!#REF!)</f>
        <v>#REF!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3"/>
      <c r="N737" s="8">
        <f t="shared" si="2"/>
        <v>0</v>
      </c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4" x14ac:dyDescent="0.3">
      <c r="A738" s="9" t="e">
        <f>IF('Registro de Contratos'!#REF!="","-",'Registro de Contratos'!#REF!&amp;" - "&amp;'Registro de Contratos'!#REF!&amp;" - "&amp;'Registro de Contratos'!#REF!)</f>
        <v>#REF!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  <c r="N738" s="8">
        <f t="shared" si="2"/>
        <v>0</v>
      </c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4" x14ac:dyDescent="0.3">
      <c r="A739" s="4" t="e">
        <f>IF('Registro de Contratos'!#REF!="","-",'Registro de Contratos'!#REF!&amp;" - "&amp;'Registro de Contratos'!#REF!&amp;" - "&amp;'Registro de Contratos'!#REF!)</f>
        <v>#REF!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3"/>
      <c r="N739" s="8">
        <f t="shared" si="2"/>
        <v>0</v>
      </c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4" x14ac:dyDescent="0.3">
      <c r="A740" s="9" t="e">
        <f>IF('Registro de Contratos'!#REF!="","-",'Registro de Contratos'!#REF!&amp;" - "&amp;'Registro de Contratos'!#REF!&amp;" - "&amp;'Registro de Contratos'!#REF!)</f>
        <v>#REF!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1"/>
      <c r="N740" s="8">
        <f t="shared" si="2"/>
        <v>0</v>
      </c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4" x14ac:dyDescent="0.3">
      <c r="A741" s="4" t="e">
        <f>IF('Registro de Contratos'!#REF!="","-",'Registro de Contratos'!#REF!&amp;" - "&amp;'Registro de Contratos'!#REF!&amp;" - "&amp;'Registro de Contratos'!#REF!)</f>
        <v>#REF!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3"/>
      <c r="N741" s="8">
        <f t="shared" si="2"/>
        <v>0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4" x14ac:dyDescent="0.3">
      <c r="A742" s="9" t="e">
        <f>IF('Registro de Contratos'!#REF!="","-",'Registro de Contratos'!#REF!&amp;" - "&amp;'Registro de Contratos'!#REF!&amp;" - "&amp;'Registro de Contratos'!#REF!)</f>
        <v>#REF!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8">
        <f t="shared" si="2"/>
        <v>0</v>
      </c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4" x14ac:dyDescent="0.3">
      <c r="A743" s="4" t="e">
        <f>IF('Registro de Contratos'!#REF!="","-",'Registro de Contratos'!#REF!&amp;" - "&amp;'Registro de Contratos'!#REF!&amp;" - "&amp;'Registro de Contratos'!#REF!)</f>
        <v>#REF!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3"/>
      <c r="N743" s="8">
        <f t="shared" si="2"/>
        <v>0</v>
      </c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4" x14ac:dyDescent="0.3">
      <c r="A744" s="9" t="e">
        <f>IF('Registro de Contratos'!#REF!="","-",'Registro de Contratos'!#REF!&amp;" - "&amp;'Registro de Contratos'!#REF!&amp;" - "&amp;'Registro de Contratos'!#REF!)</f>
        <v>#REF!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1"/>
      <c r="N744" s="8">
        <f t="shared" si="2"/>
        <v>0</v>
      </c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4" x14ac:dyDescent="0.3">
      <c r="A745" s="4" t="e">
        <f>IF('Registro de Contratos'!#REF!="","-",'Registro de Contratos'!#REF!&amp;" - "&amp;'Registro de Contratos'!#REF!&amp;" - "&amp;'Registro de Contratos'!#REF!)</f>
        <v>#REF!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3"/>
      <c r="N745" s="8">
        <f t="shared" si="2"/>
        <v>0</v>
      </c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4" x14ac:dyDescent="0.3">
      <c r="A746" s="9" t="e">
        <f>IF('Registro de Contratos'!#REF!="","-",'Registro de Contratos'!#REF!&amp;" - "&amp;'Registro de Contratos'!#REF!&amp;" - "&amp;'Registro de Contratos'!#REF!)</f>
        <v>#REF!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1"/>
      <c r="N746" s="8">
        <f t="shared" si="2"/>
        <v>0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4" x14ac:dyDescent="0.3">
      <c r="A747" s="4" t="e">
        <f>IF('Registro de Contratos'!#REF!="","-",'Registro de Contratos'!#REF!&amp;" - "&amp;'Registro de Contratos'!#REF!&amp;" - "&amp;'Registro de Contratos'!#REF!)</f>
        <v>#REF!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3"/>
      <c r="N747" s="8">
        <f t="shared" si="2"/>
        <v>0</v>
      </c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4" x14ac:dyDescent="0.3">
      <c r="A748" s="9" t="e">
        <f>IF('Registro de Contratos'!#REF!="","-",'Registro de Contratos'!#REF!&amp;" - "&amp;'Registro de Contratos'!#REF!&amp;" - "&amp;'Registro de Contratos'!#REF!)</f>
        <v>#REF!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1"/>
      <c r="N748" s="8">
        <f t="shared" si="2"/>
        <v>0</v>
      </c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4" x14ac:dyDescent="0.3">
      <c r="A749" s="4" t="e">
        <f>IF('Registro de Contratos'!#REF!="","-",'Registro de Contratos'!#REF!&amp;" - "&amp;'Registro de Contratos'!#REF!&amp;" - "&amp;'Registro de Contratos'!#REF!)</f>
        <v>#REF!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3"/>
      <c r="N749" s="8">
        <f t="shared" si="2"/>
        <v>0</v>
      </c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4" x14ac:dyDescent="0.3">
      <c r="A750" s="9" t="e">
        <f>IF('Registro de Contratos'!#REF!="","-",'Registro de Contratos'!#REF!&amp;" - "&amp;'Registro de Contratos'!#REF!&amp;" - "&amp;'Registro de Contratos'!#REF!)</f>
        <v>#REF!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1"/>
      <c r="N750" s="8">
        <f t="shared" si="2"/>
        <v>0</v>
      </c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4" x14ac:dyDescent="0.3">
      <c r="A751" s="4" t="e">
        <f>IF('Registro de Contratos'!#REF!="","-",'Registro de Contratos'!#REF!&amp;" - "&amp;'Registro de Contratos'!#REF!&amp;" - "&amp;'Registro de Contratos'!#REF!)</f>
        <v>#REF!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3"/>
      <c r="N751" s="8">
        <f t="shared" si="2"/>
        <v>0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4" x14ac:dyDescent="0.3">
      <c r="A752" s="9" t="e">
        <f>IF('Registro de Contratos'!#REF!="","-",'Registro de Contratos'!#REF!&amp;" - "&amp;'Registro de Contratos'!#REF!&amp;" - "&amp;'Registro de Contratos'!#REF!)</f>
        <v>#REF!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1"/>
      <c r="N752" s="8">
        <f t="shared" si="2"/>
        <v>0</v>
      </c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4" x14ac:dyDescent="0.3">
      <c r="A753" s="4" t="e">
        <f>IF('Registro de Contratos'!#REF!="","-",'Registro de Contratos'!#REF!&amp;" - "&amp;'Registro de Contratos'!#REF!&amp;" - "&amp;'Registro de Contratos'!#REF!)</f>
        <v>#REF!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3"/>
      <c r="N753" s="8">
        <f t="shared" si="2"/>
        <v>0</v>
      </c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4" x14ac:dyDescent="0.3">
      <c r="A754" s="9" t="e">
        <f>IF('Registro de Contratos'!#REF!="","-",'Registro de Contratos'!#REF!&amp;" - "&amp;'Registro de Contratos'!#REF!&amp;" - "&amp;'Registro de Contratos'!#REF!)</f>
        <v>#REF!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1"/>
      <c r="N754" s="8">
        <f t="shared" si="2"/>
        <v>0</v>
      </c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4" x14ac:dyDescent="0.3">
      <c r="A755" s="4" t="e">
        <f>IF('Registro de Contratos'!#REF!="","-",'Registro de Contratos'!#REF!&amp;" - "&amp;'Registro de Contratos'!#REF!&amp;" - "&amp;'Registro de Contratos'!#REF!)</f>
        <v>#REF!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3"/>
      <c r="N755" s="8">
        <f t="shared" si="2"/>
        <v>0</v>
      </c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4" x14ac:dyDescent="0.3">
      <c r="A756" s="9" t="e">
        <f>IF('Registro de Contratos'!#REF!="","-",'Registro de Contratos'!#REF!&amp;" - "&amp;'Registro de Contratos'!#REF!&amp;" - "&amp;'Registro de Contratos'!#REF!)</f>
        <v>#REF!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1"/>
      <c r="N756" s="8">
        <f t="shared" si="2"/>
        <v>0</v>
      </c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4" x14ac:dyDescent="0.3">
      <c r="A757" s="4" t="e">
        <f>IF('Registro de Contratos'!#REF!="","-",'Registro de Contratos'!#REF!&amp;" - "&amp;'Registro de Contratos'!#REF!&amp;" - "&amp;'Registro de Contratos'!#REF!)</f>
        <v>#REF!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3"/>
      <c r="N757" s="8">
        <f t="shared" si="2"/>
        <v>0</v>
      </c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4" x14ac:dyDescent="0.3">
      <c r="A758" s="9" t="e">
        <f>IF('Registro de Contratos'!#REF!="","-",'Registro de Contratos'!#REF!&amp;" - "&amp;'Registro de Contratos'!#REF!&amp;" - "&amp;'Registro de Contratos'!#REF!)</f>
        <v>#REF!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1"/>
      <c r="N758" s="8">
        <f t="shared" si="2"/>
        <v>0</v>
      </c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4" x14ac:dyDescent="0.3">
      <c r="A759" s="4" t="e">
        <f>IF('Registro de Contratos'!#REF!="","-",'Registro de Contratos'!#REF!&amp;" - "&amp;'Registro de Contratos'!#REF!&amp;" - "&amp;'Registro de Contratos'!#REF!)</f>
        <v>#REF!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3"/>
      <c r="N759" s="8">
        <f t="shared" si="2"/>
        <v>0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4" x14ac:dyDescent="0.3">
      <c r="A760" s="9" t="e">
        <f>IF('Registro de Contratos'!#REF!="","-",'Registro de Contratos'!#REF!&amp;" - "&amp;'Registro de Contratos'!#REF!&amp;" - "&amp;'Registro de Contratos'!#REF!)</f>
        <v>#REF!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  <c r="N760" s="8">
        <f t="shared" si="2"/>
        <v>0</v>
      </c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4" x14ac:dyDescent="0.3">
      <c r="A761" s="4" t="e">
        <f>IF('Registro de Contratos'!#REF!="","-",'Registro de Contratos'!#REF!&amp;" - "&amp;'Registro de Contratos'!#REF!&amp;" - "&amp;'Registro de Contratos'!#REF!)</f>
        <v>#REF!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3"/>
      <c r="N761" s="8">
        <f t="shared" si="2"/>
        <v>0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4" x14ac:dyDescent="0.3">
      <c r="A762" s="9" t="e">
        <f>IF('Registro de Contratos'!#REF!="","-",'Registro de Contratos'!#REF!&amp;" - "&amp;'Registro de Contratos'!#REF!&amp;" - "&amp;'Registro de Contratos'!#REF!)</f>
        <v>#REF!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1"/>
      <c r="N762" s="8">
        <f t="shared" si="2"/>
        <v>0</v>
      </c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4" x14ac:dyDescent="0.3">
      <c r="A763" s="4" t="e">
        <f>IF('Registro de Contratos'!#REF!="","-",'Registro de Contratos'!#REF!&amp;" - "&amp;'Registro de Contratos'!#REF!&amp;" - "&amp;'Registro de Contratos'!#REF!)</f>
        <v>#REF!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3"/>
      <c r="N763" s="8">
        <f t="shared" si="2"/>
        <v>0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4" x14ac:dyDescent="0.3">
      <c r="A764" s="9" t="e">
        <f>IF('Registro de Contratos'!#REF!="","-",'Registro de Contratos'!#REF!&amp;" - "&amp;'Registro de Contratos'!#REF!&amp;" - "&amp;'Registro de Contratos'!#REF!)</f>
        <v>#REF!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1"/>
      <c r="N764" s="8">
        <f t="shared" si="2"/>
        <v>0</v>
      </c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4" x14ac:dyDescent="0.3">
      <c r="A765" s="4" t="e">
        <f>IF('Registro de Contratos'!#REF!="","-",'Registro de Contratos'!#REF!&amp;" - "&amp;'Registro de Contratos'!#REF!&amp;" - "&amp;'Registro de Contratos'!#REF!)</f>
        <v>#REF!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3"/>
      <c r="N765" s="8">
        <f t="shared" si="2"/>
        <v>0</v>
      </c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4" x14ac:dyDescent="0.3">
      <c r="A766" s="9" t="e">
        <f>IF('Registro de Contratos'!#REF!="","-",'Registro de Contratos'!#REF!&amp;" - "&amp;'Registro de Contratos'!#REF!&amp;" - "&amp;'Registro de Contratos'!#REF!)</f>
        <v>#REF!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1"/>
      <c r="N766" s="8">
        <f t="shared" si="2"/>
        <v>0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4" x14ac:dyDescent="0.3">
      <c r="A767" s="4" t="e">
        <f>IF('Registro de Contratos'!#REF!="","-",'Registro de Contratos'!#REF!&amp;" - "&amp;'Registro de Contratos'!#REF!&amp;" - "&amp;'Registro de Contratos'!#REF!)</f>
        <v>#REF!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3"/>
      <c r="N767" s="8">
        <f t="shared" si="2"/>
        <v>0</v>
      </c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4" x14ac:dyDescent="0.3">
      <c r="A768" s="9" t="e">
        <f>IF('Registro de Contratos'!#REF!="","-",'Registro de Contratos'!#REF!&amp;" - "&amp;'Registro de Contratos'!#REF!&amp;" - "&amp;'Registro de Contratos'!#REF!)</f>
        <v>#REF!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1"/>
      <c r="N768" s="8">
        <f t="shared" si="2"/>
        <v>0</v>
      </c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4" x14ac:dyDescent="0.3">
      <c r="A769" s="4" t="e">
        <f>IF('Registro de Contratos'!#REF!="","-",'Registro de Contratos'!#REF!&amp;" - "&amp;'Registro de Contratos'!#REF!&amp;" - "&amp;'Registro de Contratos'!#REF!)</f>
        <v>#REF!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3"/>
      <c r="N769" s="8">
        <f t="shared" si="2"/>
        <v>0</v>
      </c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4" x14ac:dyDescent="0.3">
      <c r="A770" s="9" t="e">
        <f>IF('Registro de Contratos'!#REF!="","-",'Registro de Contratos'!#REF!&amp;" - "&amp;'Registro de Contratos'!#REF!&amp;" - "&amp;'Registro de Contratos'!#REF!)</f>
        <v>#REF!</v>
      </c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1"/>
      <c r="N770" s="8">
        <f t="shared" ref="N770:N1002" si="3">SUM(B770:M770)</f>
        <v>0</v>
      </c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4" x14ac:dyDescent="0.3">
      <c r="A771" s="4" t="e">
        <f>IF('Registro de Contratos'!#REF!="","-",'Registro de Contratos'!#REF!&amp;" - "&amp;'Registro de Contratos'!#REF!&amp;" - "&amp;'Registro de Contratos'!#REF!)</f>
        <v>#REF!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3"/>
      <c r="N771" s="8">
        <f t="shared" si="3"/>
        <v>0</v>
      </c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4" x14ac:dyDescent="0.3">
      <c r="A772" s="9" t="e">
        <f>IF('Registro de Contratos'!#REF!="","-",'Registro de Contratos'!#REF!&amp;" - "&amp;'Registro de Contratos'!#REF!&amp;" - "&amp;'Registro de Contratos'!#REF!)</f>
        <v>#REF!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1"/>
      <c r="N772" s="8">
        <f t="shared" si="3"/>
        <v>0</v>
      </c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4" x14ac:dyDescent="0.3">
      <c r="A773" s="4" t="e">
        <f>IF('Registro de Contratos'!#REF!="","-",'Registro de Contratos'!#REF!&amp;" - "&amp;'Registro de Contratos'!#REF!&amp;" - "&amp;'Registro de Contratos'!#REF!)</f>
        <v>#REF!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3"/>
      <c r="N773" s="8">
        <f t="shared" si="3"/>
        <v>0</v>
      </c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4" x14ac:dyDescent="0.3">
      <c r="A774" s="9" t="e">
        <f>IF('Registro de Contratos'!#REF!="","-",'Registro de Contratos'!#REF!&amp;" - "&amp;'Registro de Contratos'!#REF!&amp;" - "&amp;'Registro de Contratos'!#REF!)</f>
        <v>#REF!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8">
        <f t="shared" si="3"/>
        <v>0</v>
      </c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4" x14ac:dyDescent="0.3">
      <c r="A775" s="4" t="e">
        <f>IF('Registro de Contratos'!#REF!="","-",'Registro de Contratos'!#REF!&amp;" - "&amp;'Registro de Contratos'!#REF!&amp;" - "&amp;'Registro de Contratos'!#REF!)</f>
        <v>#REF!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3"/>
      <c r="N775" s="8">
        <f t="shared" si="3"/>
        <v>0</v>
      </c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4" x14ac:dyDescent="0.3">
      <c r="A776" s="9" t="e">
        <f>IF('Registro de Contratos'!#REF!="","-",'Registro de Contratos'!#REF!&amp;" - "&amp;'Registro de Contratos'!#REF!&amp;" - "&amp;'Registro de Contratos'!#REF!)</f>
        <v>#REF!</v>
      </c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1"/>
      <c r="N776" s="8">
        <f t="shared" si="3"/>
        <v>0</v>
      </c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4" x14ac:dyDescent="0.3">
      <c r="A777" s="4" t="e">
        <f>IF('Registro de Contratos'!#REF!="","-",'Registro de Contratos'!#REF!&amp;" - "&amp;'Registro de Contratos'!#REF!&amp;" - "&amp;'Registro de Contratos'!#REF!)</f>
        <v>#REF!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3"/>
      <c r="N777" s="8">
        <f t="shared" si="3"/>
        <v>0</v>
      </c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4" x14ac:dyDescent="0.3">
      <c r="A778" s="9" t="e">
        <f>IF('Registro de Contratos'!#REF!="","-",'Registro de Contratos'!#REF!&amp;" - "&amp;'Registro de Contratos'!#REF!&amp;" - "&amp;'Registro de Contratos'!#REF!)</f>
        <v>#REF!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1"/>
      <c r="N778" s="8">
        <f t="shared" si="3"/>
        <v>0</v>
      </c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4" x14ac:dyDescent="0.3">
      <c r="A779" s="4" t="e">
        <f>IF('Registro de Contratos'!#REF!="","-",'Registro de Contratos'!#REF!&amp;" - "&amp;'Registro de Contratos'!#REF!&amp;" - "&amp;'Registro de Contratos'!#REF!)</f>
        <v>#REF!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3"/>
      <c r="N779" s="8">
        <f t="shared" si="3"/>
        <v>0</v>
      </c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4" x14ac:dyDescent="0.3">
      <c r="A780" s="9" t="e">
        <f>IF('Registro de Contratos'!#REF!="","-",'Registro de Contratos'!#REF!&amp;" - "&amp;'Registro de Contratos'!#REF!&amp;" - "&amp;'Registro de Contratos'!#REF!)</f>
        <v>#REF!</v>
      </c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1"/>
      <c r="N780" s="8">
        <f t="shared" si="3"/>
        <v>0</v>
      </c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4" x14ac:dyDescent="0.3">
      <c r="A781" s="4" t="e">
        <f>IF('Registro de Contratos'!#REF!="","-",'Registro de Contratos'!#REF!&amp;" - "&amp;'Registro de Contratos'!#REF!&amp;" - "&amp;'Registro de Contratos'!#REF!)</f>
        <v>#REF!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3"/>
      <c r="N781" s="8">
        <f t="shared" si="3"/>
        <v>0</v>
      </c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4" x14ac:dyDescent="0.3">
      <c r="A782" s="9" t="e">
        <f>IF('Registro de Contratos'!#REF!="","-",'Registro de Contratos'!#REF!&amp;" - "&amp;'Registro de Contratos'!#REF!&amp;" - "&amp;'Registro de Contratos'!#REF!)</f>
        <v>#REF!</v>
      </c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  <c r="N782" s="8">
        <f t="shared" si="3"/>
        <v>0</v>
      </c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4" x14ac:dyDescent="0.3">
      <c r="A783" s="4" t="e">
        <f>IF('Registro de Contratos'!#REF!="","-",'Registro de Contratos'!#REF!&amp;" - "&amp;'Registro de Contratos'!#REF!&amp;" - "&amp;'Registro de Contratos'!#REF!)</f>
        <v>#REF!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3"/>
      <c r="N783" s="8">
        <f t="shared" si="3"/>
        <v>0</v>
      </c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4" x14ac:dyDescent="0.3">
      <c r="A784" s="9" t="e">
        <f>IF('Registro de Contratos'!#REF!="","-",'Registro de Contratos'!#REF!&amp;" - "&amp;'Registro de Contratos'!#REF!&amp;" - "&amp;'Registro de Contratos'!#REF!)</f>
        <v>#REF!</v>
      </c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1"/>
      <c r="N784" s="8">
        <f t="shared" si="3"/>
        <v>0</v>
      </c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4" x14ac:dyDescent="0.3">
      <c r="A785" s="4" t="e">
        <f>IF('Registro de Contratos'!#REF!="","-",'Registro de Contratos'!#REF!&amp;" - "&amp;'Registro de Contratos'!#REF!&amp;" - "&amp;'Registro de Contratos'!#REF!)</f>
        <v>#REF!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3"/>
      <c r="N785" s="8">
        <f t="shared" si="3"/>
        <v>0</v>
      </c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4" x14ac:dyDescent="0.3">
      <c r="A786" s="9" t="e">
        <f>IF('Registro de Contratos'!#REF!="","-",'Registro de Contratos'!#REF!&amp;" - "&amp;'Registro de Contratos'!#REF!&amp;" - "&amp;'Registro de Contratos'!#REF!)</f>
        <v>#REF!</v>
      </c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1"/>
      <c r="N786" s="8">
        <f t="shared" si="3"/>
        <v>0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4" x14ac:dyDescent="0.3">
      <c r="A787" s="4" t="e">
        <f>IF('Registro de Contratos'!#REF!="","-",'Registro de Contratos'!#REF!&amp;" - "&amp;'Registro de Contratos'!#REF!&amp;" - "&amp;'Registro de Contratos'!#REF!)</f>
        <v>#REF!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3"/>
      <c r="N787" s="8">
        <f t="shared" si="3"/>
        <v>0</v>
      </c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4" x14ac:dyDescent="0.3">
      <c r="A788" s="9" t="e">
        <f>IF('Registro de Contratos'!#REF!="","-",'Registro de Contratos'!#REF!&amp;" - "&amp;'Registro de Contratos'!#REF!&amp;" - "&amp;'Registro de Contratos'!#REF!)</f>
        <v>#REF!</v>
      </c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1"/>
      <c r="N788" s="8">
        <f t="shared" si="3"/>
        <v>0</v>
      </c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4" x14ac:dyDescent="0.3">
      <c r="A789" s="4" t="e">
        <f>IF('Registro de Contratos'!#REF!="","-",'Registro de Contratos'!#REF!&amp;" - "&amp;'Registro de Contratos'!#REF!&amp;" - "&amp;'Registro de Contratos'!#REF!)</f>
        <v>#REF!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3"/>
      <c r="N789" s="8">
        <f t="shared" si="3"/>
        <v>0</v>
      </c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4" x14ac:dyDescent="0.3">
      <c r="A790" s="9" t="e">
        <f>IF('Registro de Contratos'!#REF!="","-",'Registro de Contratos'!#REF!&amp;" - "&amp;'Registro de Contratos'!#REF!&amp;" - "&amp;'Registro de Contratos'!#REF!)</f>
        <v>#REF!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1"/>
      <c r="N790" s="8">
        <f t="shared" si="3"/>
        <v>0</v>
      </c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4" x14ac:dyDescent="0.3">
      <c r="A791" s="4" t="e">
        <f>IF('Registro de Contratos'!#REF!="","-",'Registro de Contratos'!#REF!&amp;" - "&amp;'Registro de Contratos'!#REF!&amp;" - "&amp;'Registro de Contratos'!#REF!)</f>
        <v>#REF!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3"/>
      <c r="N791" s="8">
        <f t="shared" si="3"/>
        <v>0</v>
      </c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4" x14ac:dyDescent="0.3">
      <c r="A792" s="9" t="e">
        <f>IF('Registro de Contratos'!#REF!="","-",'Registro de Contratos'!#REF!&amp;" - "&amp;'Registro de Contratos'!#REF!&amp;" - "&amp;'Registro de Contratos'!#REF!)</f>
        <v>#REF!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1"/>
      <c r="N792" s="8">
        <f t="shared" si="3"/>
        <v>0</v>
      </c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4" x14ac:dyDescent="0.3">
      <c r="A793" s="4" t="e">
        <f>IF('Registro de Contratos'!#REF!="","-",'Registro de Contratos'!#REF!&amp;" - "&amp;'Registro de Contratos'!#REF!&amp;" - "&amp;'Registro de Contratos'!#REF!)</f>
        <v>#REF!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3"/>
      <c r="N793" s="8">
        <f t="shared" si="3"/>
        <v>0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4" x14ac:dyDescent="0.3">
      <c r="A794" s="9" t="e">
        <f>IF('Registro de Contratos'!#REF!="","-",'Registro de Contratos'!#REF!&amp;" - "&amp;'Registro de Contratos'!#REF!&amp;" - "&amp;'Registro de Contratos'!#REF!)</f>
        <v>#REF!</v>
      </c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1"/>
      <c r="N794" s="8">
        <f t="shared" si="3"/>
        <v>0</v>
      </c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4" x14ac:dyDescent="0.3">
      <c r="A795" s="4" t="e">
        <f>IF('Registro de Contratos'!#REF!="","-",'Registro de Contratos'!#REF!&amp;" - "&amp;'Registro de Contratos'!#REF!&amp;" - "&amp;'Registro de Contratos'!#REF!)</f>
        <v>#REF!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3"/>
      <c r="N795" s="8">
        <f t="shared" si="3"/>
        <v>0</v>
      </c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4" x14ac:dyDescent="0.3">
      <c r="A796" s="9" t="e">
        <f>IF('Registro de Contratos'!#REF!="","-",'Registro de Contratos'!#REF!&amp;" - "&amp;'Registro de Contratos'!#REF!&amp;" - "&amp;'Registro de Contratos'!#REF!)</f>
        <v>#REF!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1"/>
      <c r="N796" s="8">
        <f t="shared" si="3"/>
        <v>0</v>
      </c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4" x14ac:dyDescent="0.3">
      <c r="A797" s="4" t="e">
        <f>IF('Registro de Contratos'!#REF!="","-",'Registro de Contratos'!#REF!&amp;" - "&amp;'Registro de Contratos'!#REF!&amp;" - "&amp;'Registro de Contratos'!#REF!)</f>
        <v>#REF!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3"/>
      <c r="N797" s="8">
        <f t="shared" si="3"/>
        <v>0</v>
      </c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4" x14ac:dyDescent="0.3">
      <c r="A798" s="9" t="e">
        <f>IF('Registro de Contratos'!#REF!="","-",'Registro de Contratos'!#REF!&amp;" - "&amp;'Registro de Contratos'!#REF!&amp;" - "&amp;'Registro de Contratos'!#REF!)</f>
        <v>#REF!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1"/>
      <c r="N798" s="8">
        <f t="shared" si="3"/>
        <v>0</v>
      </c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4" x14ac:dyDescent="0.3">
      <c r="A799" s="4" t="e">
        <f>IF('Registro de Contratos'!#REF!="","-",'Registro de Contratos'!#REF!&amp;" - "&amp;'Registro de Contratos'!#REF!&amp;" - "&amp;'Registro de Contratos'!#REF!)</f>
        <v>#REF!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3"/>
      <c r="N799" s="8">
        <f t="shared" si="3"/>
        <v>0</v>
      </c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4" x14ac:dyDescent="0.3">
      <c r="A800" s="9" t="e">
        <f>IF('Registro de Contratos'!#REF!="","-",'Registro de Contratos'!#REF!&amp;" - "&amp;'Registro de Contratos'!#REF!&amp;" - "&amp;'Registro de Contratos'!#REF!)</f>
        <v>#REF!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1"/>
      <c r="N800" s="8">
        <f t="shared" si="3"/>
        <v>0</v>
      </c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4" x14ac:dyDescent="0.3">
      <c r="A801" s="4" t="e">
        <f>IF('Registro de Contratos'!#REF!="","-",'Registro de Contratos'!#REF!&amp;" - "&amp;'Registro de Contratos'!#REF!&amp;" - "&amp;'Registro de Contratos'!#REF!)</f>
        <v>#REF!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3"/>
      <c r="N801" s="8">
        <f t="shared" si="3"/>
        <v>0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4" x14ac:dyDescent="0.3">
      <c r="A802" s="9" t="e">
        <f>IF('Registro de Contratos'!#REF!="","-",'Registro de Contratos'!#REF!&amp;" - "&amp;'Registro de Contratos'!#REF!&amp;" - "&amp;'Registro de Contratos'!#REF!)</f>
        <v>#REF!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1"/>
      <c r="N802" s="8">
        <f t="shared" si="3"/>
        <v>0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4" x14ac:dyDescent="0.3">
      <c r="A803" s="4" t="e">
        <f>IF('Registro de Contratos'!#REF!="","-",'Registro de Contratos'!#REF!&amp;" - "&amp;'Registro de Contratos'!#REF!&amp;" - "&amp;'Registro de Contratos'!#REF!)</f>
        <v>#REF!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3"/>
      <c r="N803" s="8">
        <f t="shared" si="3"/>
        <v>0</v>
      </c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4" x14ac:dyDescent="0.3">
      <c r="A804" s="9" t="e">
        <f>IF('Registro de Contratos'!#REF!="","-",'Registro de Contratos'!#REF!&amp;" - "&amp;'Registro de Contratos'!#REF!&amp;" - "&amp;'Registro de Contratos'!#REF!)</f>
        <v>#REF!</v>
      </c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  <c r="N804" s="8">
        <f t="shared" si="3"/>
        <v>0</v>
      </c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4" x14ac:dyDescent="0.3">
      <c r="A805" s="4" t="e">
        <f>IF('Registro de Contratos'!#REF!="","-",'Registro de Contratos'!#REF!&amp;" - "&amp;'Registro de Contratos'!#REF!&amp;" - "&amp;'Registro de Contratos'!#REF!)</f>
        <v>#REF!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3"/>
      <c r="N805" s="8">
        <f t="shared" si="3"/>
        <v>0</v>
      </c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4" x14ac:dyDescent="0.3">
      <c r="A806" s="9" t="e">
        <f>IF('Registro de Contratos'!#REF!="","-",'Registro de Contratos'!#REF!&amp;" - "&amp;'Registro de Contratos'!#REF!&amp;" - "&amp;'Registro de Contratos'!#REF!)</f>
        <v>#REF!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8">
        <f t="shared" si="3"/>
        <v>0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4" x14ac:dyDescent="0.3">
      <c r="A807" s="4" t="e">
        <f>IF('Registro de Contratos'!#REF!="","-",'Registro de Contratos'!#REF!&amp;" - "&amp;'Registro de Contratos'!#REF!&amp;" - "&amp;'Registro de Contratos'!#REF!)</f>
        <v>#REF!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3"/>
      <c r="N807" s="8">
        <f t="shared" si="3"/>
        <v>0</v>
      </c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4" x14ac:dyDescent="0.3">
      <c r="A808" s="9" t="e">
        <f>IF('Registro de Contratos'!#REF!="","-",'Registro de Contratos'!#REF!&amp;" - "&amp;'Registro de Contratos'!#REF!&amp;" - "&amp;'Registro de Contratos'!#REF!)</f>
        <v>#REF!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1"/>
      <c r="N808" s="8">
        <f t="shared" si="3"/>
        <v>0</v>
      </c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4" x14ac:dyDescent="0.3">
      <c r="A809" s="4" t="e">
        <f>IF('Registro de Contratos'!#REF!="","-",'Registro de Contratos'!#REF!&amp;" - "&amp;'Registro de Contratos'!#REF!&amp;" - "&amp;'Registro de Contratos'!#REF!)</f>
        <v>#REF!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3"/>
      <c r="N809" s="8">
        <f t="shared" si="3"/>
        <v>0</v>
      </c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4" x14ac:dyDescent="0.3">
      <c r="A810" s="9" t="e">
        <f>IF('Registro de Contratos'!#REF!="","-",'Registro de Contratos'!#REF!&amp;" - "&amp;'Registro de Contratos'!#REF!&amp;" - "&amp;'Registro de Contratos'!#REF!)</f>
        <v>#REF!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1"/>
      <c r="N810" s="8">
        <f t="shared" si="3"/>
        <v>0</v>
      </c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4" x14ac:dyDescent="0.3">
      <c r="A811" s="4" t="e">
        <f>IF('Registro de Contratos'!#REF!="","-",'Registro de Contratos'!#REF!&amp;" - "&amp;'Registro de Contratos'!#REF!&amp;" - "&amp;'Registro de Contratos'!#REF!)</f>
        <v>#REF!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3"/>
      <c r="N811" s="8">
        <f t="shared" si="3"/>
        <v>0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4" x14ac:dyDescent="0.3">
      <c r="A812" s="9" t="e">
        <f>IF('Registro de Contratos'!#REF!="","-",'Registro de Contratos'!#REF!&amp;" - "&amp;'Registro de Contratos'!#REF!&amp;" - "&amp;'Registro de Contratos'!#REF!)</f>
        <v>#REF!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1"/>
      <c r="N812" s="8">
        <f t="shared" si="3"/>
        <v>0</v>
      </c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4" x14ac:dyDescent="0.3">
      <c r="A813" s="4" t="e">
        <f>IF('Registro de Contratos'!#REF!="","-",'Registro de Contratos'!#REF!&amp;" - "&amp;'Registro de Contratos'!#REF!&amp;" - "&amp;'Registro de Contratos'!#REF!)</f>
        <v>#REF!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3"/>
      <c r="N813" s="8">
        <f t="shared" si="3"/>
        <v>0</v>
      </c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4" x14ac:dyDescent="0.3">
      <c r="A814" s="9" t="e">
        <f>IF('Registro de Contratos'!#REF!="","-",'Registro de Contratos'!#REF!&amp;" - "&amp;'Registro de Contratos'!#REF!&amp;" - "&amp;'Registro de Contratos'!#REF!)</f>
        <v>#REF!</v>
      </c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1"/>
      <c r="N814" s="8">
        <f t="shared" si="3"/>
        <v>0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4" x14ac:dyDescent="0.3">
      <c r="A815" s="4" t="e">
        <f>IF('Registro de Contratos'!#REF!="","-",'Registro de Contratos'!#REF!&amp;" - "&amp;'Registro de Contratos'!#REF!&amp;" - "&amp;'Registro de Contratos'!#REF!)</f>
        <v>#REF!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3"/>
      <c r="N815" s="8">
        <f t="shared" si="3"/>
        <v>0</v>
      </c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4" x14ac:dyDescent="0.3">
      <c r="A816" s="9" t="e">
        <f>IF('Registro de Contratos'!#REF!="","-",'Registro de Contratos'!#REF!&amp;" - "&amp;'Registro de Contratos'!#REF!&amp;" - "&amp;'Registro de Contratos'!#REF!)</f>
        <v>#REF!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1"/>
      <c r="N816" s="8">
        <f t="shared" si="3"/>
        <v>0</v>
      </c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4" x14ac:dyDescent="0.3">
      <c r="A817" s="4" t="e">
        <f>IF('Registro de Contratos'!#REF!="","-",'Registro de Contratos'!#REF!&amp;" - "&amp;'Registro de Contratos'!#REF!&amp;" - "&amp;'Registro de Contratos'!#REF!)</f>
        <v>#REF!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3"/>
      <c r="N817" s="8">
        <f t="shared" si="3"/>
        <v>0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4" x14ac:dyDescent="0.3">
      <c r="A818" s="9" t="e">
        <f>IF('Registro de Contratos'!#REF!="","-",'Registro de Contratos'!#REF!&amp;" - "&amp;'Registro de Contratos'!#REF!&amp;" - "&amp;'Registro de Contratos'!#REF!)</f>
        <v>#REF!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1"/>
      <c r="N818" s="8">
        <f t="shared" si="3"/>
        <v>0</v>
      </c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4" x14ac:dyDescent="0.3">
      <c r="A819" s="4" t="e">
        <f>IF('Registro de Contratos'!#REF!="","-",'Registro de Contratos'!#REF!&amp;" - "&amp;'Registro de Contratos'!#REF!&amp;" - "&amp;'Registro de Contratos'!#REF!)</f>
        <v>#REF!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3"/>
      <c r="N819" s="8">
        <f t="shared" si="3"/>
        <v>0</v>
      </c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4" x14ac:dyDescent="0.3">
      <c r="A820" s="9" t="e">
        <f>IF('Registro de Contratos'!#REF!="","-",'Registro de Contratos'!#REF!&amp;" - "&amp;'Registro de Contratos'!#REF!&amp;" - "&amp;'Registro de Contratos'!#REF!)</f>
        <v>#REF!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1"/>
      <c r="N820" s="8">
        <f t="shared" si="3"/>
        <v>0</v>
      </c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4" x14ac:dyDescent="0.3">
      <c r="A821" s="4" t="e">
        <f>IF('Registro de Contratos'!#REF!="","-",'Registro de Contratos'!#REF!&amp;" - "&amp;'Registro de Contratos'!#REF!&amp;" - "&amp;'Registro de Contratos'!#REF!)</f>
        <v>#REF!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3"/>
      <c r="N821" s="8">
        <f t="shared" si="3"/>
        <v>0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4" x14ac:dyDescent="0.3">
      <c r="A822" s="9" t="e">
        <f>IF('Registro de Contratos'!#REF!="","-",'Registro de Contratos'!#REF!&amp;" - "&amp;'Registro de Contratos'!#REF!&amp;" - "&amp;'Registro de Contratos'!#REF!)</f>
        <v>#REF!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1"/>
      <c r="N822" s="8">
        <f t="shared" si="3"/>
        <v>0</v>
      </c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4" x14ac:dyDescent="0.3">
      <c r="A823" s="4" t="e">
        <f>IF('Registro de Contratos'!#REF!="","-",'Registro de Contratos'!#REF!&amp;" - "&amp;'Registro de Contratos'!#REF!&amp;" - "&amp;'Registro de Contratos'!#REF!)</f>
        <v>#REF!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3"/>
      <c r="N823" s="8">
        <f t="shared" si="3"/>
        <v>0</v>
      </c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4" x14ac:dyDescent="0.3">
      <c r="A824" s="9" t="e">
        <f>IF('Registro de Contratos'!#REF!="","-",'Registro de Contratos'!#REF!&amp;" - "&amp;'Registro de Contratos'!#REF!&amp;" - "&amp;'Registro de Contratos'!#REF!)</f>
        <v>#REF!</v>
      </c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1"/>
      <c r="N824" s="8">
        <f t="shared" si="3"/>
        <v>0</v>
      </c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4" x14ac:dyDescent="0.3">
      <c r="A825" s="4" t="e">
        <f>IF('Registro de Contratos'!#REF!="","-",'Registro de Contratos'!#REF!&amp;" - "&amp;'Registro de Contratos'!#REF!&amp;" - "&amp;'Registro de Contratos'!#REF!)</f>
        <v>#REF!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3"/>
      <c r="N825" s="8">
        <f t="shared" si="3"/>
        <v>0</v>
      </c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4" x14ac:dyDescent="0.3">
      <c r="A826" s="9" t="e">
        <f>IF('Registro de Contratos'!#REF!="","-",'Registro de Contratos'!#REF!&amp;" - "&amp;'Registro de Contratos'!#REF!&amp;" - "&amp;'Registro de Contratos'!#REF!)</f>
        <v>#REF!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  <c r="N826" s="8">
        <f t="shared" si="3"/>
        <v>0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4" x14ac:dyDescent="0.3">
      <c r="A827" s="4" t="e">
        <f>IF('Registro de Contratos'!#REF!="","-",'Registro de Contratos'!#REF!&amp;" - "&amp;'Registro de Contratos'!#REF!&amp;" - "&amp;'Registro de Contratos'!#REF!)</f>
        <v>#REF!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3"/>
      <c r="N827" s="8">
        <f t="shared" si="3"/>
        <v>0</v>
      </c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4" x14ac:dyDescent="0.3">
      <c r="A828" s="9" t="e">
        <f>IF('Registro de Contratos'!#REF!="","-",'Registro de Contratos'!#REF!&amp;" - "&amp;'Registro de Contratos'!#REF!&amp;" - "&amp;'Registro de Contratos'!#REF!)</f>
        <v>#REF!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1"/>
      <c r="N828" s="8">
        <f t="shared" si="3"/>
        <v>0</v>
      </c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4" x14ac:dyDescent="0.3">
      <c r="A829" s="4" t="e">
        <f>IF('Registro de Contratos'!#REF!="","-",'Registro de Contratos'!#REF!&amp;" - "&amp;'Registro de Contratos'!#REF!&amp;" - "&amp;'Registro de Contratos'!#REF!)</f>
        <v>#REF!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3"/>
      <c r="N829" s="8">
        <f t="shared" si="3"/>
        <v>0</v>
      </c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4" x14ac:dyDescent="0.3">
      <c r="A830" s="9" t="e">
        <f>IF('Registro de Contratos'!#REF!="","-",'Registro de Contratos'!#REF!&amp;" - "&amp;'Registro de Contratos'!#REF!&amp;" - "&amp;'Registro de Contratos'!#REF!)</f>
        <v>#REF!</v>
      </c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1"/>
      <c r="N830" s="8">
        <f t="shared" si="3"/>
        <v>0</v>
      </c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4" x14ac:dyDescent="0.3">
      <c r="A831" s="4" t="e">
        <f>IF('Registro de Contratos'!#REF!="","-",'Registro de Contratos'!#REF!&amp;" - "&amp;'Registro de Contratos'!#REF!&amp;" - "&amp;'Registro de Contratos'!#REF!)</f>
        <v>#REF!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3"/>
      <c r="N831" s="8">
        <f t="shared" si="3"/>
        <v>0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4" x14ac:dyDescent="0.3">
      <c r="A832" s="9" t="e">
        <f>IF('Registro de Contratos'!#REF!="","-",'Registro de Contratos'!#REF!&amp;" - "&amp;'Registro de Contratos'!#REF!&amp;" - "&amp;'Registro de Contratos'!#REF!)</f>
        <v>#REF!</v>
      </c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1"/>
      <c r="N832" s="8">
        <f t="shared" si="3"/>
        <v>0</v>
      </c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4" x14ac:dyDescent="0.3">
      <c r="A833" s="4" t="e">
        <f>IF('Registro de Contratos'!#REF!="","-",'Registro de Contratos'!#REF!&amp;" - "&amp;'Registro de Contratos'!#REF!&amp;" - "&amp;'Registro de Contratos'!#REF!)</f>
        <v>#REF!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3"/>
      <c r="N833" s="8">
        <f t="shared" si="3"/>
        <v>0</v>
      </c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4" x14ac:dyDescent="0.3">
      <c r="A834" s="9" t="e">
        <f>IF('Registro de Contratos'!#REF!="","-",'Registro de Contratos'!#REF!&amp;" - "&amp;'Registro de Contratos'!#REF!&amp;" - "&amp;'Registro de Contratos'!#REF!)</f>
        <v>#REF!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1"/>
      <c r="N834" s="8">
        <f t="shared" si="3"/>
        <v>0</v>
      </c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4" x14ac:dyDescent="0.3">
      <c r="A835" s="4" t="e">
        <f>IF('Registro de Contratos'!#REF!="","-",'Registro de Contratos'!#REF!&amp;" - "&amp;'Registro de Contratos'!#REF!&amp;" - "&amp;'Registro de Contratos'!#REF!)</f>
        <v>#REF!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3"/>
      <c r="N835" s="8">
        <f t="shared" si="3"/>
        <v>0</v>
      </c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4" x14ac:dyDescent="0.3">
      <c r="A836" s="9" t="e">
        <f>IF('Registro de Contratos'!#REF!="","-",'Registro de Contratos'!#REF!&amp;" - "&amp;'Registro de Contratos'!#REF!&amp;" - "&amp;'Registro de Contratos'!#REF!)</f>
        <v>#REF!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1"/>
      <c r="N836" s="8">
        <f t="shared" si="3"/>
        <v>0</v>
      </c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4" x14ac:dyDescent="0.3">
      <c r="A837" s="4" t="e">
        <f>IF('Registro de Contratos'!#REF!="","-",'Registro de Contratos'!#REF!&amp;" - "&amp;'Registro de Contratos'!#REF!&amp;" - "&amp;'Registro de Contratos'!#REF!)</f>
        <v>#REF!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3"/>
      <c r="N837" s="8">
        <f t="shared" si="3"/>
        <v>0</v>
      </c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4" x14ac:dyDescent="0.3">
      <c r="A838" s="9" t="e">
        <f>IF('Registro de Contratos'!#REF!="","-",'Registro de Contratos'!#REF!&amp;" - "&amp;'Registro de Contratos'!#REF!&amp;" - "&amp;'Registro de Contratos'!#REF!)</f>
        <v>#REF!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8">
        <f t="shared" si="3"/>
        <v>0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4" x14ac:dyDescent="0.3">
      <c r="A839" s="4" t="e">
        <f>IF('Registro de Contratos'!#REF!="","-",'Registro de Contratos'!#REF!&amp;" - "&amp;'Registro de Contratos'!#REF!&amp;" - "&amp;'Registro de Contratos'!#REF!)</f>
        <v>#REF!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3"/>
      <c r="N839" s="8">
        <f t="shared" si="3"/>
        <v>0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4" x14ac:dyDescent="0.3">
      <c r="A840" s="9" t="e">
        <f>IF('Registro de Contratos'!#REF!="","-",'Registro de Contratos'!#REF!&amp;" - "&amp;'Registro de Contratos'!#REF!&amp;" - "&amp;'Registro de Contratos'!#REF!)</f>
        <v>#REF!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1"/>
      <c r="N840" s="8">
        <f t="shared" si="3"/>
        <v>0</v>
      </c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4" x14ac:dyDescent="0.3">
      <c r="A841" s="4" t="e">
        <f>IF('Registro de Contratos'!#REF!="","-",'Registro de Contratos'!#REF!&amp;" - "&amp;'Registro de Contratos'!#REF!&amp;" - "&amp;'Registro de Contratos'!#REF!)</f>
        <v>#REF!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3"/>
      <c r="N841" s="8">
        <f t="shared" si="3"/>
        <v>0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4" x14ac:dyDescent="0.3">
      <c r="A842" s="9" t="e">
        <f>IF('Registro de Contratos'!#REF!="","-",'Registro de Contratos'!#REF!&amp;" - "&amp;'Registro de Contratos'!#REF!&amp;" - "&amp;'Registro de Contratos'!#REF!)</f>
        <v>#REF!</v>
      </c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1"/>
      <c r="N842" s="8">
        <f t="shared" si="3"/>
        <v>0</v>
      </c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4" x14ac:dyDescent="0.3">
      <c r="A843" s="4" t="e">
        <f>IF('Registro de Contratos'!#REF!="","-",'Registro de Contratos'!#REF!&amp;" - "&amp;'Registro de Contratos'!#REF!&amp;" - "&amp;'Registro de Contratos'!#REF!)</f>
        <v>#REF!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3"/>
      <c r="N843" s="8">
        <f t="shared" si="3"/>
        <v>0</v>
      </c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4" x14ac:dyDescent="0.3">
      <c r="A844" s="9" t="e">
        <f>IF('Registro de Contratos'!#REF!="","-",'Registro de Contratos'!#REF!&amp;" - "&amp;'Registro de Contratos'!#REF!&amp;" - "&amp;'Registro de Contratos'!#REF!)</f>
        <v>#REF!</v>
      </c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1"/>
      <c r="N844" s="8">
        <f t="shared" si="3"/>
        <v>0</v>
      </c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4" x14ac:dyDescent="0.3">
      <c r="A845" s="4" t="e">
        <f>IF('Registro de Contratos'!#REF!="","-",'Registro de Contratos'!#REF!&amp;" - "&amp;'Registro de Contratos'!#REF!&amp;" - "&amp;'Registro de Contratos'!#REF!)</f>
        <v>#REF!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3"/>
      <c r="N845" s="8">
        <f t="shared" si="3"/>
        <v>0</v>
      </c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4" x14ac:dyDescent="0.3">
      <c r="A846" s="9" t="e">
        <f>IF('Registro de Contratos'!#REF!="","-",'Registro de Contratos'!#REF!&amp;" - "&amp;'Registro de Contratos'!#REF!&amp;" - "&amp;'Registro de Contratos'!#REF!)</f>
        <v>#REF!</v>
      </c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1"/>
      <c r="N846" s="8">
        <f t="shared" si="3"/>
        <v>0</v>
      </c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4" x14ac:dyDescent="0.3">
      <c r="A847" s="4" t="e">
        <f>IF('Registro de Contratos'!#REF!="","-",'Registro de Contratos'!#REF!&amp;" - "&amp;'Registro de Contratos'!#REF!&amp;" - "&amp;'Registro de Contratos'!#REF!)</f>
        <v>#REF!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3"/>
      <c r="N847" s="8">
        <f t="shared" si="3"/>
        <v>0</v>
      </c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4" x14ac:dyDescent="0.3">
      <c r="A848" s="9" t="e">
        <f>IF('Registro de Contratos'!#REF!="","-",'Registro de Contratos'!#REF!&amp;" - "&amp;'Registro de Contratos'!#REF!&amp;" - "&amp;'Registro de Contratos'!#REF!)</f>
        <v>#REF!</v>
      </c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  <c r="N848" s="8">
        <f t="shared" si="3"/>
        <v>0</v>
      </c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4" x14ac:dyDescent="0.3">
      <c r="A849" s="4" t="e">
        <f>IF('Registro de Contratos'!#REF!="","-",'Registro de Contratos'!#REF!&amp;" - "&amp;'Registro de Contratos'!#REF!&amp;" - "&amp;'Registro de Contratos'!#REF!)</f>
        <v>#REF!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3"/>
      <c r="N849" s="8">
        <f t="shared" si="3"/>
        <v>0</v>
      </c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4" x14ac:dyDescent="0.3">
      <c r="A850" s="9" t="e">
        <f>IF('Registro de Contratos'!#REF!="","-",'Registro de Contratos'!#REF!&amp;" - "&amp;'Registro de Contratos'!#REF!&amp;" - "&amp;'Registro de Contratos'!#REF!)</f>
        <v>#REF!</v>
      </c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1"/>
      <c r="N850" s="8">
        <f t="shared" si="3"/>
        <v>0</v>
      </c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4" x14ac:dyDescent="0.3">
      <c r="A851" s="4" t="e">
        <f>IF('Registro de Contratos'!#REF!="","-",'Registro de Contratos'!#REF!&amp;" - "&amp;'Registro de Contratos'!#REF!&amp;" - "&amp;'Registro de Contratos'!#REF!)</f>
        <v>#REF!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3"/>
      <c r="N851" s="8">
        <f t="shared" si="3"/>
        <v>0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4" x14ac:dyDescent="0.3">
      <c r="A852" s="9" t="e">
        <f>IF('Registro de Contratos'!#REF!="","-",'Registro de Contratos'!#REF!&amp;" - "&amp;'Registro de Contratos'!#REF!&amp;" - "&amp;'Registro de Contratos'!#REF!)</f>
        <v>#REF!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1"/>
      <c r="N852" s="8">
        <f t="shared" si="3"/>
        <v>0</v>
      </c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4" x14ac:dyDescent="0.3">
      <c r="A853" s="4" t="e">
        <f>IF('Registro de Contratos'!#REF!="","-",'Registro de Contratos'!#REF!&amp;" - "&amp;'Registro de Contratos'!#REF!&amp;" - "&amp;'Registro de Contratos'!#REF!)</f>
        <v>#REF!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3"/>
      <c r="N853" s="8">
        <f t="shared" si="3"/>
        <v>0</v>
      </c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4" x14ac:dyDescent="0.3">
      <c r="A854" s="9" t="e">
        <f>IF('Registro de Contratos'!#REF!="","-",'Registro de Contratos'!#REF!&amp;" - "&amp;'Registro de Contratos'!#REF!&amp;" - "&amp;'Registro de Contratos'!#REF!)</f>
        <v>#REF!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1"/>
      <c r="N854" s="8">
        <f t="shared" si="3"/>
        <v>0</v>
      </c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4" x14ac:dyDescent="0.3">
      <c r="A855" s="4" t="e">
        <f>IF('Registro de Contratos'!#REF!="","-",'Registro de Contratos'!#REF!&amp;" - "&amp;'Registro de Contratos'!#REF!&amp;" - "&amp;'Registro de Contratos'!#REF!)</f>
        <v>#REF!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3"/>
      <c r="N855" s="8">
        <f t="shared" si="3"/>
        <v>0</v>
      </c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4" x14ac:dyDescent="0.3">
      <c r="A856" s="9" t="e">
        <f>IF('Registro de Contratos'!#REF!="","-",'Registro de Contratos'!#REF!&amp;" - "&amp;'Registro de Contratos'!#REF!&amp;" - "&amp;'Registro de Contratos'!#REF!)</f>
        <v>#REF!</v>
      </c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1"/>
      <c r="N856" s="8">
        <f t="shared" si="3"/>
        <v>0</v>
      </c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4" x14ac:dyDescent="0.3">
      <c r="A857" s="4" t="e">
        <f>IF('Registro de Contratos'!#REF!="","-",'Registro de Contratos'!#REF!&amp;" - "&amp;'Registro de Contratos'!#REF!&amp;" - "&amp;'Registro de Contratos'!#REF!)</f>
        <v>#REF!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3"/>
      <c r="N857" s="8">
        <f t="shared" si="3"/>
        <v>0</v>
      </c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4" x14ac:dyDescent="0.3">
      <c r="A858" s="9" t="e">
        <f>IF('Registro de Contratos'!#REF!="","-",'Registro de Contratos'!#REF!&amp;" - "&amp;'Registro de Contratos'!#REF!&amp;" - "&amp;'Registro de Contratos'!#REF!)</f>
        <v>#REF!</v>
      </c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  <c r="N858" s="8">
        <f t="shared" si="3"/>
        <v>0</v>
      </c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4" x14ac:dyDescent="0.3">
      <c r="A859" s="4" t="e">
        <f>IF('Registro de Contratos'!#REF!="","-",'Registro de Contratos'!#REF!&amp;" - "&amp;'Registro de Contratos'!#REF!&amp;" - "&amp;'Registro de Contratos'!#REF!)</f>
        <v>#REF!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3"/>
      <c r="N859" s="8">
        <f t="shared" si="3"/>
        <v>0</v>
      </c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4" x14ac:dyDescent="0.3">
      <c r="A860" s="9" t="e">
        <f>IF('Registro de Contratos'!#REF!="","-",'Registro de Contratos'!#REF!&amp;" - "&amp;'Registro de Contratos'!#REF!&amp;" - "&amp;'Registro de Contratos'!#REF!)</f>
        <v>#REF!</v>
      </c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1"/>
      <c r="N860" s="8">
        <f t="shared" si="3"/>
        <v>0</v>
      </c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4" x14ac:dyDescent="0.3">
      <c r="A861" s="4" t="e">
        <f>IF('Registro de Contratos'!#REF!="","-",'Registro de Contratos'!#REF!&amp;" - "&amp;'Registro de Contratos'!#REF!&amp;" - "&amp;'Registro de Contratos'!#REF!)</f>
        <v>#REF!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3"/>
      <c r="N861" s="8">
        <f t="shared" si="3"/>
        <v>0</v>
      </c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4" x14ac:dyDescent="0.3">
      <c r="A862" s="9" t="e">
        <f>IF('Registro de Contratos'!#REF!="","-",'Registro de Contratos'!#REF!&amp;" - "&amp;'Registro de Contratos'!#REF!&amp;" - "&amp;'Registro de Contratos'!#REF!)</f>
        <v>#REF!</v>
      </c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1"/>
      <c r="N862" s="8">
        <f t="shared" si="3"/>
        <v>0</v>
      </c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4" x14ac:dyDescent="0.3">
      <c r="A863" s="4" t="e">
        <f>IF('Registro de Contratos'!#REF!="","-",'Registro de Contratos'!#REF!&amp;" - "&amp;'Registro de Contratos'!#REF!&amp;" - "&amp;'Registro de Contratos'!#REF!)</f>
        <v>#REF!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"/>
      <c r="N863" s="8">
        <f t="shared" si="3"/>
        <v>0</v>
      </c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4" x14ac:dyDescent="0.3">
      <c r="A864" s="9" t="e">
        <f>IF('Registro de Contratos'!#REF!="","-",'Registro de Contratos'!#REF!&amp;" - "&amp;'Registro de Contratos'!#REF!&amp;" - "&amp;'Registro de Contratos'!#REF!)</f>
        <v>#REF!</v>
      </c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1"/>
      <c r="N864" s="8">
        <f t="shared" si="3"/>
        <v>0</v>
      </c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4" x14ac:dyDescent="0.3">
      <c r="A865" s="4" t="e">
        <f>IF('Registro de Contratos'!#REF!="","-",'Registro de Contratos'!#REF!&amp;" - "&amp;'Registro de Contratos'!#REF!&amp;" - "&amp;'Registro de Contratos'!#REF!)</f>
        <v>#REF!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3"/>
      <c r="N865" s="8">
        <f t="shared" si="3"/>
        <v>0</v>
      </c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4" x14ac:dyDescent="0.3">
      <c r="A866" s="9" t="e">
        <f>IF('Registro de Contratos'!#REF!="","-",'Registro de Contratos'!#REF!&amp;" - "&amp;'Registro de Contratos'!#REF!&amp;" - "&amp;'Registro de Contratos'!#REF!)</f>
        <v>#REF!</v>
      </c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1"/>
      <c r="N866" s="8">
        <f t="shared" si="3"/>
        <v>0</v>
      </c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4" x14ac:dyDescent="0.3">
      <c r="A867" s="4" t="e">
        <f>IF('Registro de Contratos'!#REF!="","-",'Registro de Contratos'!#REF!&amp;" - "&amp;'Registro de Contratos'!#REF!&amp;" - "&amp;'Registro de Contratos'!#REF!)</f>
        <v>#REF!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3"/>
      <c r="N867" s="8">
        <f t="shared" si="3"/>
        <v>0</v>
      </c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4" x14ac:dyDescent="0.3">
      <c r="A868" s="9" t="e">
        <f>IF('Registro de Contratos'!#REF!="","-",'Registro de Contratos'!#REF!&amp;" - "&amp;'Registro de Contratos'!#REF!&amp;" - "&amp;'Registro de Contratos'!#REF!)</f>
        <v>#REF!</v>
      </c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1"/>
      <c r="N868" s="8">
        <f t="shared" si="3"/>
        <v>0</v>
      </c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4" x14ac:dyDescent="0.3">
      <c r="A869" s="4" t="e">
        <f>IF('Registro de Contratos'!#REF!="","-",'Registro de Contratos'!#REF!&amp;" - "&amp;'Registro de Contratos'!#REF!&amp;" - "&amp;'Registro de Contratos'!#REF!)</f>
        <v>#REF!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3"/>
      <c r="N869" s="8">
        <f t="shared" si="3"/>
        <v>0</v>
      </c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4" x14ac:dyDescent="0.3">
      <c r="A870" s="9" t="e">
        <f>IF('Registro de Contratos'!#REF!="","-",'Registro de Contratos'!#REF!&amp;" - "&amp;'Registro de Contratos'!#REF!&amp;" - "&amp;'Registro de Contratos'!#REF!)</f>
        <v>#REF!</v>
      </c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8">
        <f t="shared" si="3"/>
        <v>0</v>
      </c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4" x14ac:dyDescent="0.3">
      <c r="A871" s="4" t="e">
        <f>IF('Registro de Contratos'!#REF!="","-",'Registro de Contratos'!#REF!&amp;" - "&amp;'Registro de Contratos'!#REF!&amp;" - "&amp;'Registro de Contratos'!#REF!)</f>
        <v>#REF!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3"/>
      <c r="N871" s="8">
        <f t="shared" si="3"/>
        <v>0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4" x14ac:dyDescent="0.3">
      <c r="A872" s="9" t="e">
        <f>IF('Registro de Contratos'!#REF!="","-",'Registro de Contratos'!#REF!&amp;" - "&amp;'Registro de Contratos'!#REF!&amp;" - "&amp;'Registro de Contratos'!#REF!)</f>
        <v>#REF!</v>
      </c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1"/>
      <c r="N872" s="8">
        <f t="shared" si="3"/>
        <v>0</v>
      </c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4" x14ac:dyDescent="0.3">
      <c r="A873" s="4" t="e">
        <f>IF('Registro de Contratos'!#REF!="","-",'Registro de Contratos'!#REF!&amp;" - "&amp;'Registro de Contratos'!#REF!&amp;" - "&amp;'Registro de Contratos'!#REF!)</f>
        <v>#REF!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3"/>
      <c r="N873" s="8">
        <f t="shared" si="3"/>
        <v>0</v>
      </c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4" x14ac:dyDescent="0.3">
      <c r="A874" s="9" t="e">
        <f>IF('Registro de Contratos'!#REF!="","-",'Registro de Contratos'!#REF!&amp;" - "&amp;'Registro de Contratos'!#REF!&amp;" - "&amp;'Registro de Contratos'!#REF!)</f>
        <v>#REF!</v>
      </c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1"/>
      <c r="N874" s="8">
        <f t="shared" si="3"/>
        <v>0</v>
      </c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4" x14ac:dyDescent="0.3">
      <c r="A875" s="4" t="e">
        <f>IF('Registro de Contratos'!#REF!="","-",'Registro de Contratos'!#REF!&amp;" - "&amp;'Registro de Contratos'!#REF!&amp;" - "&amp;'Registro de Contratos'!#REF!)</f>
        <v>#REF!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3"/>
      <c r="N875" s="8">
        <f t="shared" si="3"/>
        <v>0</v>
      </c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4" x14ac:dyDescent="0.3">
      <c r="A876" s="9" t="e">
        <f>IF('Registro de Contratos'!#REF!="","-",'Registro de Contratos'!#REF!&amp;" - "&amp;'Registro de Contratos'!#REF!&amp;" - "&amp;'Registro de Contratos'!#REF!)</f>
        <v>#REF!</v>
      </c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1"/>
      <c r="N876" s="8">
        <f t="shared" si="3"/>
        <v>0</v>
      </c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4" x14ac:dyDescent="0.3">
      <c r="A877" s="4" t="e">
        <f>IF('Registro de Contratos'!#REF!="","-",'Registro de Contratos'!#REF!&amp;" - "&amp;'Registro de Contratos'!#REF!&amp;" - "&amp;'Registro de Contratos'!#REF!)</f>
        <v>#REF!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3"/>
      <c r="N877" s="8">
        <f t="shared" si="3"/>
        <v>0</v>
      </c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4" x14ac:dyDescent="0.3">
      <c r="A878" s="9" t="e">
        <f>IF('Registro de Contratos'!#REF!="","-",'Registro de Contratos'!#REF!&amp;" - "&amp;'Registro de Contratos'!#REF!&amp;" - "&amp;'Registro de Contratos'!#REF!)</f>
        <v>#REF!</v>
      </c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1"/>
      <c r="N878" s="8">
        <f t="shared" si="3"/>
        <v>0</v>
      </c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4" x14ac:dyDescent="0.3">
      <c r="A879" s="4" t="e">
        <f>IF('Registro de Contratos'!#REF!="","-",'Registro de Contratos'!#REF!&amp;" - "&amp;'Registro de Contratos'!#REF!&amp;" - "&amp;'Registro de Contratos'!#REF!)</f>
        <v>#REF!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3"/>
      <c r="N879" s="8">
        <f t="shared" si="3"/>
        <v>0</v>
      </c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4" x14ac:dyDescent="0.3">
      <c r="A880" s="9" t="e">
        <f>IF('Registro de Contratos'!#REF!="","-",'Registro de Contratos'!#REF!&amp;" - "&amp;'Registro de Contratos'!#REF!&amp;" - "&amp;'Registro de Contratos'!#REF!)</f>
        <v>#REF!</v>
      </c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  <c r="N880" s="8">
        <f t="shared" si="3"/>
        <v>0</v>
      </c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4" x14ac:dyDescent="0.3">
      <c r="A881" s="4" t="e">
        <f>IF('Registro de Contratos'!#REF!="","-",'Registro de Contratos'!#REF!&amp;" - "&amp;'Registro de Contratos'!#REF!&amp;" - "&amp;'Registro de Contratos'!#REF!)</f>
        <v>#REF!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3"/>
      <c r="N881" s="8">
        <f t="shared" si="3"/>
        <v>0</v>
      </c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4" x14ac:dyDescent="0.3">
      <c r="A882" s="9" t="e">
        <f>IF('Registro de Contratos'!#REF!="","-",'Registro de Contratos'!#REF!&amp;" - "&amp;'Registro de Contratos'!#REF!&amp;" - "&amp;'Registro de Contratos'!#REF!)</f>
        <v>#REF!</v>
      </c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8">
        <f t="shared" si="3"/>
        <v>0</v>
      </c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4" x14ac:dyDescent="0.3">
      <c r="A883" s="4" t="e">
        <f>IF('Registro de Contratos'!#REF!="","-",'Registro de Contratos'!#REF!&amp;" - "&amp;'Registro de Contratos'!#REF!&amp;" - "&amp;'Registro de Contratos'!#REF!)</f>
        <v>#REF!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3"/>
      <c r="N883" s="8">
        <f t="shared" si="3"/>
        <v>0</v>
      </c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4" x14ac:dyDescent="0.3">
      <c r="A884" s="9" t="e">
        <f>IF('Registro de Contratos'!#REF!="","-",'Registro de Contratos'!#REF!&amp;" - "&amp;'Registro de Contratos'!#REF!&amp;" - "&amp;'Registro de Contratos'!#REF!)</f>
        <v>#REF!</v>
      </c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1"/>
      <c r="N884" s="8">
        <f t="shared" si="3"/>
        <v>0</v>
      </c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4" x14ac:dyDescent="0.3">
      <c r="A885" s="4" t="e">
        <f>IF('Registro de Contratos'!#REF!="","-",'Registro de Contratos'!#REF!&amp;" - "&amp;'Registro de Contratos'!#REF!&amp;" - "&amp;'Registro de Contratos'!#REF!)</f>
        <v>#REF!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3"/>
      <c r="N885" s="8">
        <f t="shared" si="3"/>
        <v>0</v>
      </c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4" x14ac:dyDescent="0.3">
      <c r="A886" s="9" t="e">
        <f>IF('Registro de Contratos'!#REF!="","-",'Registro de Contratos'!#REF!&amp;" - "&amp;'Registro de Contratos'!#REF!&amp;" - "&amp;'Registro de Contratos'!#REF!)</f>
        <v>#REF!</v>
      </c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1"/>
      <c r="N886" s="8">
        <f t="shared" si="3"/>
        <v>0</v>
      </c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4" x14ac:dyDescent="0.3">
      <c r="A887" s="4" t="e">
        <f>IF('Registro de Contratos'!#REF!="","-",'Registro de Contratos'!#REF!&amp;" - "&amp;'Registro de Contratos'!#REF!&amp;" - "&amp;'Registro de Contratos'!#REF!)</f>
        <v>#REF!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3"/>
      <c r="N887" s="8">
        <f t="shared" si="3"/>
        <v>0</v>
      </c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4" x14ac:dyDescent="0.3">
      <c r="A888" s="9" t="e">
        <f>IF('Registro de Contratos'!#REF!="","-",'Registro de Contratos'!#REF!&amp;" - "&amp;'Registro de Contratos'!#REF!&amp;" - "&amp;'Registro de Contratos'!#REF!)</f>
        <v>#REF!</v>
      </c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1"/>
      <c r="N888" s="8">
        <f t="shared" si="3"/>
        <v>0</v>
      </c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4" x14ac:dyDescent="0.3">
      <c r="A889" s="4" t="e">
        <f>IF('Registro de Contratos'!#REF!="","-",'Registro de Contratos'!#REF!&amp;" - "&amp;'Registro de Contratos'!#REF!&amp;" - "&amp;'Registro de Contratos'!#REF!)</f>
        <v>#REF!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3"/>
      <c r="N889" s="8">
        <f t="shared" si="3"/>
        <v>0</v>
      </c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4" x14ac:dyDescent="0.3">
      <c r="A890" s="9" t="e">
        <f>IF('Registro de Contratos'!#REF!="","-",'Registro de Contratos'!#REF!&amp;" - "&amp;'Registro de Contratos'!#REF!&amp;" - "&amp;'Registro de Contratos'!#REF!)</f>
        <v>#REF!</v>
      </c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1"/>
      <c r="N890" s="8">
        <f t="shared" si="3"/>
        <v>0</v>
      </c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4" x14ac:dyDescent="0.3">
      <c r="A891" s="4" t="e">
        <f>IF('Registro de Contratos'!#REF!="","-",'Registro de Contratos'!#REF!&amp;" - "&amp;'Registro de Contratos'!#REF!&amp;" - "&amp;'Registro de Contratos'!#REF!)</f>
        <v>#REF!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3"/>
      <c r="N891" s="8">
        <f t="shared" si="3"/>
        <v>0</v>
      </c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4" x14ac:dyDescent="0.3">
      <c r="A892" s="9" t="e">
        <f>IF('Registro de Contratos'!#REF!="","-",'Registro de Contratos'!#REF!&amp;" - "&amp;'Registro de Contratos'!#REF!&amp;" - "&amp;'Registro de Contratos'!#REF!)</f>
        <v>#REF!</v>
      </c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  <c r="N892" s="8">
        <f t="shared" si="3"/>
        <v>0</v>
      </c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4" x14ac:dyDescent="0.3">
      <c r="A893" s="4" t="e">
        <f>IF('Registro de Contratos'!#REF!="","-",'Registro de Contratos'!#REF!&amp;" - "&amp;'Registro de Contratos'!#REF!&amp;" - "&amp;'Registro de Contratos'!#REF!)</f>
        <v>#REF!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3"/>
      <c r="N893" s="8">
        <f t="shared" si="3"/>
        <v>0</v>
      </c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4" x14ac:dyDescent="0.3">
      <c r="A894" s="9" t="e">
        <f>IF('Registro de Contratos'!#REF!="","-",'Registro de Contratos'!#REF!&amp;" - "&amp;'Registro de Contratos'!#REF!&amp;" - "&amp;'Registro de Contratos'!#REF!)</f>
        <v>#REF!</v>
      </c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1"/>
      <c r="N894" s="8">
        <f t="shared" si="3"/>
        <v>0</v>
      </c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4" x14ac:dyDescent="0.3">
      <c r="A895" s="4" t="e">
        <f>IF('Registro de Contratos'!#REF!="","-",'Registro de Contratos'!#REF!&amp;" - "&amp;'Registro de Contratos'!#REF!&amp;" - "&amp;'Registro de Contratos'!#REF!)</f>
        <v>#REF!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3"/>
      <c r="N895" s="8">
        <f t="shared" si="3"/>
        <v>0</v>
      </c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4" x14ac:dyDescent="0.3">
      <c r="A896" s="9" t="e">
        <f>IF('Registro de Contratos'!#REF!="","-",'Registro de Contratos'!#REF!&amp;" - "&amp;'Registro de Contratos'!#REF!&amp;" - "&amp;'Registro de Contratos'!#REF!)</f>
        <v>#REF!</v>
      </c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1"/>
      <c r="N896" s="8">
        <f t="shared" si="3"/>
        <v>0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4" x14ac:dyDescent="0.3">
      <c r="A897" s="4" t="e">
        <f>IF('Registro de Contratos'!#REF!="","-",'Registro de Contratos'!#REF!&amp;" - "&amp;'Registro de Contratos'!#REF!&amp;" - "&amp;'Registro de Contratos'!#REF!)</f>
        <v>#REF!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3"/>
      <c r="N897" s="8">
        <f t="shared" si="3"/>
        <v>0</v>
      </c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4" x14ac:dyDescent="0.3">
      <c r="A898" s="9" t="e">
        <f>IF('Registro de Contratos'!#REF!="","-",'Registro de Contratos'!#REF!&amp;" - "&amp;'Registro de Contratos'!#REF!&amp;" - "&amp;'Registro de Contratos'!#REF!)</f>
        <v>#REF!</v>
      </c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1"/>
      <c r="N898" s="8">
        <f t="shared" si="3"/>
        <v>0</v>
      </c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4" x14ac:dyDescent="0.3">
      <c r="A899" s="4" t="e">
        <f>IF('Registro de Contratos'!#REF!="","-",'Registro de Contratos'!#REF!&amp;" - "&amp;'Registro de Contratos'!#REF!&amp;" - "&amp;'Registro de Contratos'!#REF!)</f>
        <v>#REF!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3"/>
      <c r="N899" s="8">
        <f t="shared" si="3"/>
        <v>0</v>
      </c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4" x14ac:dyDescent="0.3">
      <c r="A900" s="9" t="e">
        <f>IF('Registro de Contratos'!#REF!="","-",'Registro de Contratos'!#REF!&amp;" - "&amp;'Registro de Contratos'!#REF!&amp;" - "&amp;'Registro de Contratos'!#REF!)</f>
        <v>#REF!</v>
      </c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1"/>
      <c r="N900" s="8">
        <f t="shared" si="3"/>
        <v>0</v>
      </c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4" x14ac:dyDescent="0.3">
      <c r="A901" s="4" t="e">
        <f>IF('Registro de Contratos'!#REF!="","-",'Registro de Contratos'!#REF!&amp;" - "&amp;'Registro de Contratos'!#REF!&amp;" - "&amp;'Registro de Contratos'!#REF!)</f>
        <v>#REF!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3"/>
      <c r="N901" s="8">
        <f t="shared" si="3"/>
        <v>0</v>
      </c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4" x14ac:dyDescent="0.3">
      <c r="A902" s="9" t="e">
        <f>IF('Registro de Contratos'!#REF!="","-",'Registro de Contratos'!#REF!&amp;" - "&amp;'Registro de Contratos'!#REF!&amp;" - "&amp;'Registro de Contratos'!#REF!)</f>
        <v>#REF!</v>
      </c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8">
        <f t="shared" si="3"/>
        <v>0</v>
      </c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4" x14ac:dyDescent="0.3">
      <c r="A903" s="4" t="e">
        <f>IF('Registro de Contratos'!#REF!="","-",'Registro de Contratos'!#REF!&amp;" - "&amp;'Registro de Contratos'!#REF!&amp;" - "&amp;'Registro de Contratos'!#REF!)</f>
        <v>#REF!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3"/>
      <c r="N903" s="8">
        <f t="shared" si="3"/>
        <v>0</v>
      </c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4" x14ac:dyDescent="0.3">
      <c r="A904" s="9" t="e">
        <f>IF('Registro de Contratos'!#REF!="","-",'Registro de Contratos'!#REF!&amp;" - "&amp;'Registro de Contratos'!#REF!&amp;" - "&amp;'Registro de Contratos'!#REF!)</f>
        <v>#REF!</v>
      </c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1"/>
      <c r="N904" s="8">
        <f t="shared" si="3"/>
        <v>0</v>
      </c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4" x14ac:dyDescent="0.3">
      <c r="A905" s="4" t="e">
        <f>IF('Registro de Contratos'!#REF!="","-",'Registro de Contratos'!#REF!&amp;" - "&amp;'Registro de Contratos'!#REF!&amp;" - "&amp;'Registro de Contratos'!#REF!)</f>
        <v>#REF!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3"/>
      <c r="N905" s="8">
        <f t="shared" si="3"/>
        <v>0</v>
      </c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4" x14ac:dyDescent="0.3">
      <c r="A906" s="9" t="e">
        <f>IF('Registro de Contratos'!#REF!="","-",'Registro de Contratos'!#REF!&amp;" - "&amp;'Registro de Contratos'!#REF!&amp;" - "&amp;'Registro de Contratos'!#REF!)</f>
        <v>#REF!</v>
      </c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1"/>
      <c r="N906" s="8">
        <f t="shared" si="3"/>
        <v>0</v>
      </c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4" x14ac:dyDescent="0.3">
      <c r="A907" s="4" t="e">
        <f>IF('Registro de Contratos'!#REF!="","-",'Registro de Contratos'!#REF!&amp;" - "&amp;'Registro de Contratos'!#REF!&amp;" - "&amp;'Registro de Contratos'!#REF!)</f>
        <v>#REF!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3"/>
      <c r="N907" s="8">
        <f t="shared" si="3"/>
        <v>0</v>
      </c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4" x14ac:dyDescent="0.3">
      <c r="A908" s="9" t="e">
        <f>IF('Registro de Contratos'!#REF!="","-",'Registro de Contratos'!#REF!&amp;" - "&amp;'Registro de Contratos'!#REF!&amp;" - "&amp;'Registro de Contratos'!#REF!)</f>
        <v>#REF!</v>
      </c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1"/>
      <c r="N908" s="8">
        <f t="shared" si="3"/>
        <v>0</v>
      </c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4" x14ac:dyDescent="0.3">
      <c r="A909" s="4" t="e">
        <f>IF('Registro de Contratos'!#REF!="","-",'Registro de Contratos'!#REF!&amp;" - "&amp;'Registro de Contratos'!#REF!&amp;" - "&amp;'Registro de Contratos'!#REF!)</f>
        <v>#REF!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3"/>
      <c r="N909" s="8">
        <f t="shared" si="3"/>
        <v>0</v>
      </c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4" x14ac:dyDescent="0.3">
      <c r="A910" s="9" t="e">
        <f>IF('Registro de Contratos'!#REF!="","-",'Registro de Contratos'!#REF!&amp;" - "&amp;'Registro de Contratos'!#REF!&amp;" - "&amp;'Registro de Contratos'!#REF!)</f>
        <v>#REF!</v>
      </c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1"/>
      <c r="N910" s="8">
        <f t="shared" si="3"/>
        <v>0</v>
      </c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4" x14ac:dyDescent="0.3">
      <c r="A911" s="4" t="e">
        <f>IF('Registro de Contratos'!#REF!="","-",'Registro de Contratos'!#REF!&amp;" - "&amp;'Registro de Contratos'!#REF!&amp;" - "&amp;'Registro de Contratos'!#REF!)</f>
        <v>#REF!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3"/>
      <c r="N911" s="8">
        <f t="shared" si="3"/>
        <v>0</v>
      </c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4" x14ac:dyDescent="0.3">
      <c r="A912" s="9" t="e">
        <f>IF('Registro de Contratos'!#REF!="","-",'Registro de Contratos'!#REF!&amp;" - "&amp;'Registro de Contratos'!#REF!&amp;" - "&amp;'Registro de Contratos'!#REF!)</f>
        <v>#REF!</v>
      </c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1"/>
      <c r="N912" s="8">
        <f t="shared" si="3"/>
        <v>0</v>
      </c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4" x14ac:dyDescent="0.3">
      <c r="A913" s="4" t="e">
        <f>IF('Registro de Contratos'!#REF!="","-",'Registro de Contratos'!#REF!&amp;" - "&amp;'Registro de Contratos'!#REF!&amp;" - "&amp;'Registro de Contratos'!#REF!)</f>
        <v>#REF!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3"/>
      <c r="N913" s="8">
        <f t="shared" si="3"/>
        <v>0</v>
      </c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4" x14ac:dyDescent="0.3">
      <c r="A914" s="9" t="e">
        <f>IF('Registro de Contratos'!#REF!="","-",'Registro de Contratos'!#REF!&amp;" - "&amp;'Registro de Contratos'!#REF!&amp;" - "&amp;'Registro de Contratos'!#REF!)</f>
        <v>#REF!</v>
      </c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  <c r="N914" s="8">
        <f t="shared" si="3"/>
        <v>0</v>
      </c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4" x14ac:dyDescent="0.3">
      <c r="A915" s="4" t="e">
        <f>IF('Registro de Contratos'!#REF!="","-",'Registro de Contratos'!#REF!&amp;" - "&amp;'Registro de Contratos'!#REF!&amp;" - "&amp;'Registro de Contratos'!#REF!)</f>
        <v>#REF!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3"/>
      <c r="N915" s="8">
        <f t="shared" si="3"/>
        <v>0</v>
      </c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4" x14ac:dyDescent="0.3">
      <c r="A916" s="9" t="e">
        <f>IF('Registro de Contratos'!#REF!="","-",'Registro de Contratos'!#REF!&amp;" - "&amp;'Registro de Contratos'!#REF!&amp;" - "&amp;'Registro de Contratos'!#REF!)</f>
        <v>#REF!</v>
      </c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1"/>
      <c r="N916" s="8">
        <f t="shared" si="3"/>
        <v>0</v>
      </c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4" x14ac:dyDescent="0.3">
      <c r="A917" s="4" t="e">
        <f>IF('Registro de Contratos'!#REF!="","-",'Registro de Contratos'!#REF!&amp;" - "&amp;'Registro de Contratos'!#REF!&amp;" - "&amp;'Registro de Contratos'!#REF!)</f>
        <v>#REF!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3"/>
      <c r="N917" s="8">
        <f t="shared" si="3"/>
        <v>0</v>
      </c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4" x14ac:dyDescent="0.3">
      <c r="A918" s="9" t="e">
        <f>IF('Registro de Contratos'!#REF!="","-",'Registro de Contratos'!#REF!&amp;" - "&amp;'Registro de Contratos'!#REF!&amp;" - "&amp;'Registro de Contratos'!#REF!)</f>
        <v>#REF!</v>
      </c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1"/>
      <c r="N918" s="8">
        <f t="shared" si="3"/>
        <v>0</v>
      </c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4" x14ac:dyDescent="0.3">
      <c r="A919" s="4" t="e">
        <f>IF('Registro de Contratos'!#REF!="","-",'Registro de Contratos'!#REF!&amp;" - "&amp;'Registro de Contratos'!#REF!&amp;" - "&amp;'Registro de Contratos'!#REF!)</f>
        <v>#REF!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3"/>
      <c r="N919" s="8">
        <f t="shared" si="3"/>
        <v>0</v>
      </c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4" x14ac:dyDescent="0.3">
      <c r="A920" s="9" t="e">
        <f>IF('Registro de Contratos'!#REF!="","-",'Registro de Contratos'!#REF!&amp;" - "&amp;'Registro de Contratos'!#REF!&amp;" - "&amp;'Registro de Contratos'!#REF!)</f>
        <v>#REF!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1"/>
      <c r="N920" s="8">
        <f t="shared" si="3"/>
        <v>0</v>
      </c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4" x14ac:dyDescent="0.3">
      <c r="A921" s="4" t="e">
        <f>IF('Registro de Contratos'!#REF!="","-",'Registro de Contratos'!#REF!&amp;" - "&amp;'Registro de Contratos'!#REF!&amp;" - "&amp;'Registro de Contratos'!#REF!)</f>
        <v>#REF!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3"/>
      <c r="N921" s="8">
        <f t="shared" si="3"/>
        <v>0</v>
      </c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4" x14ac:dyDescent="0.3">
      <c r="A922" s="9" t="e">
        <f>IF('Registro de Contratos'!#REF!="","-",'Registro de Contratos'!#REF!&amp;" - "&amp;'Registro de Contratos'!#REF!&amp;" - "&amp;'Registro de Contratos'!#REF!)</f>
        <v>#REF!</v>
      </c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1"/>
      <c r="N922" s="8">
        <f t="shared" si="3"/>
        <v>0</v>
      </c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4" x14ac:dyDescent="0.3">
      <c r="A923" s="4" t="e">
        <f>IF('Registro de Contratos'!#REF!="","-",'Registro de Contratos'!#REF!&amp;" - "&amp;'Registro de Contratos'!#REF!&amp;" - "&amp;'Registro de Contratos'!#REF!)</f>
        <v>#REF!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3"/>
      <c r="N923" s="8">
        <f t="shared" si="3"/>
        <v>0</v>
      </c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4" x14ac:dyDescent="0.3">
      <c r="A924" s="9" t="e">
        <f>IF('Registro de Contratos'!#REF!="","-",'Registro de Contratos'!#REF!&amp;" - "&amp;'Registro de Contratos'!#REF!&amp;" - "&amp;'Registro de Contratos'!#REF!)</f>
        <v>#REF!</v>
      </c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  <c r="N924" s="8">
        <f t="shared" si="3"/>
        <v>0</v>
      </c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4" x14ac:dyDescent="0.3">
      <c r="A925" s="4" t="e">
        <f>IF('Registro de Contratos'!#REF!="","-",'Registro de Contratos'!#REF!&amp;" - "&amp;'Registro de Contratos'!#REF!&amp;" - "&amp;'Registro de Contratos'!#REF!)</f>
        <v>#REF!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3"/>
      <c r="N925" s="8">
        <f t="shared" si="3"/>
        <v>0</v>
      </c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4" x14ac:dyDescent="0.3">
      <c r="A926" s="9" t="e">
        <f>IF('Registro de Contratos'!#REF!="","-",'Registro de Contratos'!#REF!&amp;" - "&amp;'Registro de Contratos'!#REF!&amp;" - "&amp;'Registro de Contratos'!#REF!)</f>
        <v>#REF!</v>
      </c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1"/>
      <c r="N926" s="8">
        <f t="shared" si="3"/>
        <v>0</v>
      </c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4" x14ac:dyDescent="0.3">
      <c r="A927" s="4" t="e">
        <f>IF('Registro de Contratos'!#REF!="","-",'Registro de Contratos'!#REF!&amp;" - "&amp;'Registro de Contratos'!#REF!&amp;" - "&amp;'Registro de Contratos'!#REF!)</f>
        <v>#REF!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3"/>
      <c r="N927" s="8">
        <f t="shared" si="3"/>
        <v>0</v>
      </c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4" x14ac:dyDescent="0.3">
      <c r="A928" s="9" t="e">
        <f>IF('Registro de Contratos'!#REF!="","-",'Registro de Contratos'!#REF!&amp;" - "&amp;'Registro de Contratos'!#REF!&amp;" - "&amp;'Registro de Contratos'!#REF!)</f>
        <v>#REF!</v>
      </c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1"/>
      <c r="N928" s="8">
        <f t="shared" si="3"/>
        <v>0</v>
      </c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4" x14ac:dyDescent="0.3">
      <c r="A929" s="4" t="e">
        <f>IF('Registro de Contratos'!#REF!="","-",'Registro de Contratos'!#REF!&amp;" - "&amp;'Registro de Contratos'!#REF!&amp;" - "&amp;'Registro de Contratos'!#REF!)</f>
        <v>#REF!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3"/>
      <c r="N929" s="8">
        <f t="shared" si="3"/>
        <v>0</v>
      </c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4" x14ac:dyDescent="0.3">
      <c r="A930" s="9" t="e">
        <f>IF('Registro de Contratos'!#REF!="","-",'Registro de Contratos'!#REF!&amp;" - "&amp;'Registro de Contratos'!#REF!&amp;" - "&amp;'Registro de Contratos'!#REF!)</f>
        <v>#REF!</v>
      </c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1"/>
      <c r="N930" s="8">
        <f t="shared" si="3"/>
        <v>0</v>
      </c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4" x14ac:dyDescent="0.3">
      <c r="A931" s="4" t="e">
        <f>IF('Registro de Contratos'!#REF!="","-",'Registro de Contratos'!#REF!&amp;" - "&amp;'Registro de Contratos'!#REF!&amp;" - "&amp;'Registro de Contratos'!#REF!)</f>
        <v>#REF!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3"/>
      <c r="N931" s="8">
        <f t="shared" si="3"/>
        <v>0</v>
      </c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4" x14ac:dyDescent="0.3">
      <c r="A932" s="9" t="e">
        <f>IF('Registro de Contratos'!#REF!="","-",'Registro de Contratos'!#REF!&amp;" - "&amp;'Registro de Contratos'!#REF!&amp;" - "&amp;'Registro de Contratos'!#REF!)</f>
        <v>#REF!</v>
      </c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1"/>
      <c r="N932" s="8">
        <f t="shared" si="3"/>
        <v>0</v>
      </c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4" x14ac:dyDescent="0.3">
      <c r="A933" s="4" t="e">
        <f>IF('Registro de Contratos'!#REF!="","-",'Registro de Contratos'!#REF!&amp;" - "&amp;'Registro de Contratos'!#REF!&amp;" - "&amp;'Registro de Contratos'!#REF!)</f>
        <v>#REF!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3"/>
      <c r="N933" s="8">
        <f t="shared" si="3"/>
        <v>0</v>
      </c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4" x14ac:dyDescent="0.3">
      <c r="A934" s="9" t="e">
        <f>IF('Registro de Contratos'!#REF!="","-",'Registro de Contratos'!#REF!&amp;" - "&amp;'Registro de Contratos'!#REF!&amp;" - "&amp;'Registro de Contratos'!#REF!)</f>
        <v>#REF!</v>
      </c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8">
        <f t="shared" si="3"/>
        <v>0</v>
      </c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4" x14ac:dyDescent="0.3">
      <c r="A935" s="4" t="e">
        <f>IF('Registro de Contratos'!#REF!="","-",'Registro de Contratos'!#REF!&amp;" - "&amp;'Registro de Contratos'!#REF!&amp;" - "&amp;'Registro de Contratos'!#REF!)</f>
        <v>#REF!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3"/>
      <c r="N935" s="8">
        <f t="shared" si="3"/>
        <v>0</v>
      </c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4" x14ac:dyDescent="0.3">
      <c r="A936" s="9" t="e">
        <f>IF('Registro de Contratos'!#REF!="","-",'Registro de Contratos'!#REF!&amp;" - "&amp;'Registro de Contratos'!#REF!&amp;" - "&amp;'Registro de Contratos'!#REF!)</f>
        <v>#REF!</v>
      </c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  <c r="N936" s="8">
        <f t="shared" si="3"/>
        <v>0</v>
      </c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4" x14ac:dyDescent="0.3">
      <c r="A937" s="4" t="e">
        <f>IF('Registro de Contratos'!#REF!="","-",'Registro de Contratos'!#REF!&amp;" - "&amp;'Registro de Contratos'!#REF!&amp;" - "&amp;'Registro de Contratos'!#REF!)</f>
        <v>#REF!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3"/>
      <c r="N937" s="8">
        <f t="shared" si="3"/>
        <v>0</v>
      </c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4" x14ac:dyDescent="0.3">
      <c r="A938" s="9" t="e">
        <f>IF('Registro de Contratos'!#REF!="","-",'Registro de Contratos'!#REF!&amp;" - "&amp;'Registro de Contratos'!#REF!&amp;" - "&amp;'Registro de Contratos'!#REF!)</f>
        <v>#REF!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1"/>
      <c r="N938" s="8">
        <f t="shared" si="3"/>
        <v>0</v>
      </c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4" x14ac:dyDescent="0.3">
      <c r="A939" s="4" t="e">
        <f>IF('Registro de Contratos'!#REF!="","-",'Registro de Contratos'!#REF!&amp;" - "&amp;'Registro de Contratos'!#REF!&amp;" - "&amp;'Registro de Contratos'!#REF!)</f>
        <v>#REF!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3"/>
      <c r="N939" s="8">
        <f t="shared" si="3"/>
        <v>0</v>
      </c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4" x14ac:dyDescent="0.3">
      <c r="A940" s="9" t="e">
        <f>IF('Registro de Contratos'!#REF!="","-",'Registro de Contratos'!#REF!&amp;" - "&amp;'Registro de Contratos'!#REF!&amp;" - "&amp;'Registro de Contratos'!#REF!)</f>
        <v>#REF!</v>
      </c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1"/>
      <c r="N940" s="8">
        <f t="shared" si="3"/>
        <v>0</v>
      </c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4" x14ac:dyDescent="0.3">
      <c r="A941" s="4" t="e">
        <f>IF('Registro de Contratos'!#REF!="","-",'Registro de Contratos'!#REF!&amp;" - "&amp;'Registro de Contratos'!#REF!&amp;" - "&amp;'Registro de Contratos'!#REF!)</f>
        <v>#REF!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3"/>
      <c r="N941" s="8">
        <f t="shared" si="3"/>
        <v>0</v>
      </c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4" x14ac:dyDescent="0.3">
      <c r="A942" s="9" t="e">
        <f>IF('Registro de Contratos'!#REF!="","-",'Registro de Contratos'!#REF!&amp;" - "&amp;'Registro de Contratos'!#REF!&amp;" - "&amp;'Registro de Contratos'!#REF!)</f>
        <v>#REF!</v>
      </c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1"/>
      <c r="N942" s="8">
        <f t="shared" si="3"/>
        <v>0</v>
      </c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4" x14ac:dyDescent="0.3">
      <c r="A943" s="4" t="e">
        <f>IF('Registro de Contratos'!#REF!="","-",'Registro de Contratos'!#REF!&amp;" - "&amp;'Registro de Contratos'!#REF!&amp;" - "&amp;'Registro de Contratos'!#REF!)</f>
        <v>#REF!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3"/>
      <c r="N943" s="8">
        <f t="shared" si="3"/>
        <v>0</v>
      </c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4" x14ac:dyDescent="0.3">
      <c r="A944" s="9" t="e">
        <f>IF('Registro de Contratos'!#REF!="","-",'Registro de Contratos'!#REF!&amp;" - "&amp;'Registro de Contratos'!#REF!&amp;" - "&amp;'Registro de Contratos'!#REF!)</f>
        <v>#REF!</v>
      </c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1"/>
      <c r="N944" s="8">
        <f t="shared" si="3"/>
        <v>0</v>
      </c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4" x14ac:dyDescent="0.3">
      <c r="A945" s="4" t="e">
        <f>IF('Registro de Contratos'!#REF!="","-",'Registro de Contratos'!#REF!&amp;" - "&amp;'Registro de Contratos'!#REF!&amp;" - "&amp;'Registro de Contratos'!#REF!)</f>
        <v>#REF!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3"/>
      <c r="N945" s="8">
        <f t="shared" si="3"/>
        <v>0</v>
      </c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4" x14ac:dyDescent="0.3">
      <c r="A946" s="9" t="e">
        <f>IF('Registro de Contratos'!#REF!="","-",'Registro de Contratos'!#REF!&amp;" - "&amp;'Registro de Contratos'!#REF!&amp;" - "&amp;'Registro de Contratos'!#REF!)</f>
        <v>#REF!</v>
      </c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  <c r="N946" s="8">
        <f t="shared" si="3"/>
        <v>0</v>
      </c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4" x14ac:dyDescent="0.3">
      <c r="A947" s="4" t="e">
        <f>IF('Registro de Contratos'!#REF!="","-",'Registro de Contratos'!#REF!&amp;" - "&amp;'Registro de Contratos'!#REF!&amp;" - "&amp;'Registro de Contratos'!#REF!)</f>
        <v>#REF!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3"/>
      <c r="N947" s="8">
        <f t="shared" si="3"/>
        <v>0</v>
      </c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4" x14ac:dyDescent="0.3">
      <c r="A948" s="9" t="e">
        <f>IF('Registro de Contratos'!#REF!="","-",'Registro de Contratos'!#REF!&amp;" - "&amp;'Registro de Contratos'!#REF!&amp;" - "&amp;'Registro de Contratos'!#REF!)</f>
        <v>#REF!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8">
        <f t="shared" si="3"/>
        <v>0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4" x14ac:dyDescent="0.3">
      <c r="A949" s="4" t="e">
        <f>IF('Registro de Contratos'!#REF!="","-",'Registro de Contratos'!#REF!&amp;" - "&amp;'Registro de Contratos'!#REF!&amp;" - "&amp;'Registro de Contratos'!#REF!)</f>
        <v>#REF!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3"/>
      <c r="N949" s="8">
        <f t="shared" si="3"/>
        <v>0</v>
      </c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4" x14ac:dyDescent="0.3">
      <c r="A950" s="9" t="e">
        <f>IF('Registro de Contratos'!#REF!="","-",'Registro de Contratos'!#REF!&amp;" - "&amp;'Registro de Contratos'!#REF!&amp;" - "&amp;'Registro de Contratos'!#REF!)</f>
        <v>#REF!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1"/>
      <c r="N950" s="8">
        <f t="shared" si="3"/>
        <v>0</v>
      </c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4" x14ac:dyDescent="0.3">
      <c r="A951" s="4" t="e">
        <f>IF('Registro de Contratos'!#REF!="","-",'Registro de Contratos'!#REF!&amp;" - "&amp;'Registro de Contratos'!#REF!&amp;" - "&amp;'Registro de Contratos'!#REF!)</f>
        <v>#REF!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3"/>
      <c r="N951" s="8">
        <f t="shared" si="3"/>
        <v>0</v>
      </c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4" x14ac:dyDescent="0.3">
      <c r="A952" s="9" t="e">
        <f>IF('Registro de Contratos'!#REF!="","-",'Registro de Contratos'!#REF!&amp;" - "&amp;'Registro de Contratos'!#REF!&amp;" - "&amp;'Registro de Contratos'!#REF!)</f>
        <v>#REF!</v>
      </c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1"/>
      <c r="N952" s="8">
        <f t="shared" si="3"/>
        <v>0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4" x14ac:dyDescent="0.3">
      <c r="A953" s="4" t="e">
        <f>IF('Registro de Contratos'!#REF!="","-",'Registro de Contratos'!#REF!&amp;" - "&amp;'Registro de Contratos'!#REF!&amp;" - "&amp;'Registro de Contratos'!#REF!)</f>
        <v>#REF!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3"/>
      <c r="N953" s="8">
        <f t="shared" si="3"/>
        <v>0</v>
      </c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4" x14ac:dyDescent="0.3">
      <c r="A954" s="9" t="e">
        <f>IF('Registro de Contratos'!#REF!="","-",'Registro de Contratos'!#REF!&amp;" - "&amp;'Registro de Contratos'!#REF!&amp;" - "&amp;'Registro de Contratos'!#REF!)</f>
        <v>#REF!</v>
      </c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1"/>
      <c r="N954" s="8">
        <f t="shared" si="3"/>
        <v>0</v>
      </c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4" x14ac:dyDescent="0.3">
      <c r="A955" s="4" t="e">
        <f>IF('Registro de Contratos'!#REF!="","-",'Registro de Contratos'!#REF!&amp;" - "&amp;'Registro de Contratos'!#REF!&amp;" - "&amp;'Registro de Contratos'!#REF!)</f>
        <v>#REF!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3"/>
      <c r="N955" s="8">
        <f t="shared" si="3"/>
        <v>0</v>
      </c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4" x14ac:dyDescent="0.3">
      <c r="A956" s="9" t="e">
        <f>IF('Registro de Contratos'!#REF!="","-",'Registro de Contratos'!#REF!&amp;" - "&amp;'Registro de Contratos'!#REF!&amp;" - "&amp;'Registro de Contratos'!#REF!)</f>
        <v>#REF!</v>
      </c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1"/>
      <c r="N956" s="8">
        <f t="shared" si="3"/>
        <v>0</v>
      </c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4" x14ac:dyDescent="0.3">
      <c r="A957" s="4" t="e">
        <f>IF('Registro de Contratos'!#REF!="","-",'Registro de Contratos'!#REF!&amp;" - "&amp;'Registro de Contratos'!#REF!&amp;" - "&amp;'Registro de Contratos'!#REF!)</f>
        <v>#REF!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3"/>
      <c r="N957" s="8">
        <f t="shared" si="3"/>
        <v>0</v>
      </c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4" x14ac:dyDescent="0.3">
      <c r="A958" s="9" t="e">
        <f>IF('Registro de Contratos'!#REF!="","-",'Registro de Contratos'!#REF!&amp;" - "&amp;'Registro de Contratos'!#REF!&amp;" - "&amp;'Registro de Contratos'!#REF!)</f>
        <v>#REF!</v>
      </c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  <c r="N958" s="8">
        <f t="shared" si="3"/>
        <v>0</v>
      </c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4" x14ac:dyDescent="0.3">
      <c r="A959" s="4" t="e">
        <f>IF('Registro de Contratos'!#REF!="","-",'Registro de Contratos'!#REF!&amp;" - "&amp;'Registro de Contratos'!#REF!&amp;" - "&amp;'Registro de Contratos'!#REF!)</f>
        <v>#REF!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3"/>
      <c r="N959" s="8">
        <f t="shared" si="3"/>
        <v>0</v>
      </c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4" x14ac:dyDescent="0.3">
      <c r="A960" s="9" t="e">
        <f>IF('Registro de Contratos'!#REF!="","-",'Registro de Contratos'!#REF!&amp;" - "&amp;'Registro de Contratos'!#REF!&amp;" - "&amp;'Registro de Contratos'!#REF!)</f>
        <v>#REF!</v>
      </c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1"/>
      <c r="N960" s="8">
        <f t="shared" si="3"/>
        <v>0</v>
      </c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4" x14ac:dyDescent="0.3">
      <c r="A961" s="4" t="e">
        <f>IF('Registro de Contratos'!#REF!="","-",'Registro de Contratos'!#REF!&amp;" - "&amp;'Registro de Contratos'!#REF!&amp;" - "&amp;'Registro de Contratos'!#REF!)</f>
        <v>#REF!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3"/>
      <c r="N961" s="8">
        <f t="shared" si="3"/>
        <v>0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4" x14ac:dyDescent="0.3">
      <c r="A962" s="9" t="e">
        <f>IF('Registro de Contratos'!#REF!="","-",'Registro de Contratos'!#REF!&amp;" - "&amp;'Registro de Contratos'!#REF!&amp;" - "&amp;'Registro de Contratos'!#REF!)</f>
        <v>#REF!</v>
      </c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1"/>
      <c r="N962" s="8">
        <f t="shared" si="3"/>
        <v>0</v>
      </c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4" x14ac:dyDescent="0.3">
      <c r="A963" s="4" t="e">
        <f>IF('Registro de Contratos'!#REF!="","-",'Registro de Contratos'!#REF!&amp;" - "&amp;'Registro de Contratos'!#REF!&amp;" - "&amp;'Registro de Contratos'!#REF!)</f>
        <v>#REF!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3"/>
      <c r="N963" s="8">
        <f t="shared" si="3"/>
        <v>0</v>
      </c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4" x14ac:dyDescent="0.3">
      <c r="A964" s="9" t="e">
        <f>IF('Registro de Contratos'!#REF!="","-",'Registro de Contratos'!#REF!&amp;" - "&amp;'Registro de Contratos'!#REF!&amp;" - "&amp;'Registro de Contratos'!#REF!)</f>
        <v>#REF!</v>
      </c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1"/>
      <c r="N964" s="8">
        <f t="shared" si="3"/>
        <v>0</v>
      </c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4" x14ac:dyDescent="0.3">
      <c r="A965" s="4" t="e">
        <f>IF('Registro de Contratos'!#REF!="","-",'Registro de Contratos'!#REF!&amp;" - "&amp;'Registro de Contratos'!#REF!&amp;" - "&amp;'Registro de Contratos'!#REF!)</f>
        <v>#REF!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3"/>
      <c r="N965" s="8">
        <f t="shared" si="3"/>
        <v>0</v>
      </c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4" x14ac:dyDescent="0.3">
      <c r="A966" s="9" t="e">
        <f>IF('Registro de Contratos'!#REF!="","-",'Registro de Contratos'!#REF!&amp;" - "&amp;'Registro de Contratos'!#REF!&amp;" - "&amp;'Registro de Contratos'!#REF!)</f>
        <v>#REF!</v>
      </c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8">
        <f t="shared" si="3"/>
        <v>0</v>
      </c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4" x14ac:dyDescent="0.3">
      <c r="A967" s="4" t="e">
        <f>IF('Registro de Contratos'!#REF!="","-",'Registro de Contratos'!#REF!&amp;" - "&amp;'Registro de Contratos'!#REF!&amp;" - "&amp;'Registro de Contratos'!#REF!)</f>
        <v>#REF!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3"/>
      <c r="N967" s="8">
        <f t="shared" si="3"/>
        <v>0</v>
      </c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4" x14ac:dyDescent="0.3">
      <c r="A968" s="9" t="e">
        <f>IF('Registro de Contratos'!#REF!="","-",'Registro de Contratos'!#REF!&amp;" - "&amp;'Registro de Contratos'!#REF!&amp;" - "&amp;'Registro de Contratos'!#REF!)</f>
        <v>#REF!</v>
      </c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1"/>
      <c r="N968" s="8">
        <f t="shared" si="3"/>
        <v>0</v>
      </c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4" x14ac:dyDescent="0.3">
      <c r="A969" s="4" t="e">
        <f>IF('Registro de Contratos'!#REF!="","-",'Registro de Contratos'!#REF!&amp;" - "&amp;'Registro de Contratos'!#REF!&amp;" - "&amp;'Registro de Contratos'!#REF!)</f>
        <v>#REF!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3"/>
      <c r="N969" s="8">
        <f t="shared" si="3"/>
        <v>0</v>
      </c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4" x14ac:dyDescent="0.3">
      <c r="A970" s="9" t="e">
        <f>IF('Registro de Contratos'!#REF!="","-",'Registro de Contratos'!#REF!&amp;" - "&amp;'Registro de Contratos'!#REF!&amp;" - "&amp;'Registro de Contratos'!#REF!)</f>
        <v>#REF!</v>
      </c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1"/>
      <c r="N970" s="8">
        <f t="shared" si="3"/>
        <v>0</v>
      </c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4" x14ac:dyDescent="0.3">
      <c r="A971" s="4" t="e">
        <f>IF('Registro de Contratos'!#REF!="","-",'Registro de Contratos'!#REF!&amp;" - "&amp;'Registro de Contratos'!#REF!&amp;" - "&amp;'Registro de Contratos'!#REF!)</f>
        <v>#REF!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3"/>
      <c r="N971" s="8">
        <f t="shared" si="3"/>
        <v>0</v>
      </c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4" x14ac:dyDescent="0.3">
      <c r="A972" s="9" t="e">
        <f>IF('Registro de Contratos'!#REF!="","-",'Registro de Contratos'!#REF!&amp;" - "&amp;'Registro de Contratos'!#REF!&amp;" - "&amp;'Registro de Contratos'!#REF!)</f>
        <v>#REF!</v>
      </c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1"/>
      <c r="N972" s="8">
        <f t="shared" si="3"/>
        <v>0</v>
      </c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4" x14ac:dyDescent="0.3">
      <c r="A973" s="4" t="e">
        <f>IF('Registro de Contratos'!#REF!="","-",'Registro de Contratos'!#REF!&amp;" - "&amp;'Registro de Contratos'!#REF!&amp;" - "&amp;'Registro de Contratos'!#REF!)</f>
        <v>#REF!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3"/>
      <c r="N973" s="8">
        <f t="shared" si="3"/>
        <v>0</v>
      </c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4" x14ac:dyDescent="0.3">
      <c r="A974" s="9" t="e">
        <f>IF('Registro de Contratos'!#REF!="","-",'Registro de Contratos'!#REF!&amp;" - "&amp;'Registro de Contratos'!#REF!&amp;" - "&amp;'Registro de Contratos'!#REF!)</f>
        <v>#REF!</v>
      </c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1"/>
      <c r="N974" s="8">
        <f t="shared" si="3"/>
        <v>0</v>
      </c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4" x14ac:dyDescent="0.3">
      <c r="A975" s="4" t="e">
        <f>IF('Registro de Contratos'!#REF!="","-",'Registro de Contratos'!#REF!&amp;" - "&amp;'Registro de Contratos'!#REF!&amp;" - "&amp;'Registro de Contratos'!#REF!)</f>
        <v>#REF!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3"/>
      <c r="N975" s="8">
        <f t="shared" si="3"/>
        <v>0</v>
      </c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4" x14ac:dyDescent="0.3">
      <c r="A976" s="9" t="e">
        <f>IF('Registro de Contratos'!#REF!="","-",'Registro de Contratos'!#REF!&amp;" - "&amp;'Registro de Contratos'!#REF!&amp;" - "&amp;'Registro de Contratos'!#REF!)</f>
        <v>#REF!</v>
      </c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1"/>
      <c r="N976" s="8">
        <f t="shared" si="3"/>
        <v>0</v>
      </c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4" x14ac:dyDescent="0.3">
      <c r="A977" s="4" t="e">
        <f>IF('Registro de Contratos'!#REF!="","-",'Registro de Contratos'!#REF!&amp;" - "&amp;'Registro de Contratos'!#REF!&amp;" - "&amp;'Registro de Contratos'!#REF!)</f>
        <v>#REF!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3"/>
      <c r="N977" s="8">
        <f t="shared" si="3"/>
        <v>0</v>
      </c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4" x14ac:dyDescent="0.3">
      <c r="A978" s="9" t="e">
        <f>IF('Registro de Contratos'!#REF!="","-",'Registro de Contratos'!#REF!&amp;" - "&amp;'Registro de Contratos'!#REF!&amp;" - "&amp;'Registro de Contratos'!#REF!)</f>
        <v>#REF!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1"/>
      <c r="N978" s="8">
        <f t="shared" si="3"/>
        <v>0</v>
      </c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4" x14ac:dyDescent="0.3">
      <c r="A979" s="4" t="e">
        <f>IF('Registro de Contratos'!#REF!="","-",'Registro de Contratos'!#REF!&amp;" - "&amp;'Registro de Contratos'!#REF!&amp;" - "&amp;'Registro de Contratos'!#REF!)</f>
        <v>#REF!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3"/>
      <c r="N979" s="8">
        <f t="shared" si="3"/>
        <v>0</v>
      </c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4" x14ac:dyDescent="0.3">
      <c r="A980" s="9" t="e">
        <f>IF('Registro de Contratos'!#REF!="","-",'Registro de Contratos'!#REF!&amp;" - "&amp;'Registro de Contratos'!#REF!&amp;" - "&amp;'Registro de Contratos'!#REF!)</f>
        <v>#REF!</v>
      </c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  <c r="N980" s="8">
        <f t="shared" si="3"/>
        <v>0</v>
      </c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4" x14ac:dyDescent="0.3">
      <c r="A981" s="4" t="e">
        <f>IF('Registro de Contratos'!#REF!="","-",'Registro de Contratos'!#REF!&amp;" - "&amp;'Registro de Contratos'!#REF!&amp;" - "&amp;'Registro de Contratos'!#REF!)</f>
        <v>#REF!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3"/>
      <c r="N981" s="8">
        <f t="shared" si="3"/>
        <v>0</v>
      </c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4" x14ac:dyDescent="0.3">
      <c r="A982" s="9" t="e">
        <f>IF('Registro de Contratos'!#REF!="","-",'Registro de Contratos'!#REF!&amp;" - "&amp;'Registro de Contratos'!#REF!&amp;" - "&amp;'Registro de Contratos'!#REF!)</f>
        <v>#REF!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1"/>
      <c r="N982" s="8">
        <f t="shared" si="3"/>
        <v>0</v>
      </c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4" x14ac:dyDescent="0.3">
      <c r="A983" s="4" t="e">
        <f>IF('Registro de Contratos'!#REF!="","-",'Registro de Contratos'!#REF!&amp;" - "&amp;'Registro de Contratos'!#REF!&amp;" - "&amp;'Registro de Contratos'!#REF!)</f>
        <v>#REF!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3"/>
      <c r="N983" s="8">
        <f t="shared" si="3"/>
        <v>0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4" x14ac:dyDescent="0.3">
      <c r="A984" s="9" t="e">
        <f>IF('Registro de Contratos'!#REF!="","-",'Registro de Contratos'!#REF!&amp;" - "&amp;'Registro de Contratos'!#REF!&amp;" - "&amp;'Registro de Contratos'!#REF!)</f>
        <v>#REF!</v>
      </c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1"/>
      <c r="N984" s="8">
        <f t="shared" si="3"/>
        <v>0</v>
      </c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4" x14ac:dyDescent="0.3">
      <c r="A985" s="4" t="e">
        <f>IF('Registro de Contratos'!#REF!="","-",'Registro de Contratos'!#REF!&amp;" - "&amp;'Registro de Contratos'!#REF!&amp;" - "&amp;'Registro de Contratos'!#REF!)</f>
        <v>#REF!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3"/>
      <c r="N985" s="8">
        <f t="shared" si="3"/>
        <v>0</v>
      </c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4" x14ac:dyDescent="0.3">
      <c r="A986" s="9" t="e">
        <f>IF('Registro de Contratos'!#REF!="","-",'Registro de Contratos'!#REF!&amp;" - "&amp;'Registro de Contratos'!#REF!&amp;" - "&amp;'Registro de Contratos'!#REF!)</f>
        <v>#REF!</v>
      </c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1"/>
      <c r="N986" s="8">
        <f t="shared" si="3"/>
        <v>0</v>
      </c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4" x14ac:dyDescent="0.3">
      <c r="A987" s="4" t="e">
        <f>IF('Registro de Contratos'!#REF!="","-",'Registro de Contratos'!#REF!&amp;" - "&amp;'Registro de Contratos'!#REF!&amp;" - "&amp;'Registro de Contratos'!#REF!)</f>
        <v>#REF!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3"/>
      <c r="N987" s="8">
        <f t="shared" si="3"/>
        <v>0</v>
      </c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4" x14ac:dyDescent="0.3">
      <c r="A988" s="9" t="e">
        <f>IF('Registro de Contratos'!#REF!="","-",'Registro de Contratos'!#REF!&amp;" - "&amp;'Registro de Contratos'!#REF!&amp;" - "&amp;'Registro de Contratos'!#REF!)</f>
        <v>#REF!</v>
      </c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1"/>
      <c r="N988" s="8">
        <f t="shared" si="3"/>
        <v>0</v>
      </c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4" x14ac:dyDescent="0.3">
      <c r="A989" s="4" t="e">
        <f>IF('Registro de Contratos'!#REF!="","-",'Registro de Contratos'!#REF!&amp;" - "&amp;'Registro de Contratos'!#REF!&amp;" - "&amp;'Registro de Contratos'!#REF!)</f>
        <v>#REF!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3"/>
      <c r="N989" s="8">
        <f t="shared" si="3"/>
        <v>0</v>
      </c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4" x14ac:dyDescent="0.3">
      <c r="A990" s="9" t="e">
        <f>IF('Registro de Contratos'!#REF!="","-",'Registro de Contratos'!#REF!&amp;" - "&amp;'Registro de Contratos'!#REF!&amp;" - "&amp;'Registro de Contratos'!#REF!)</f>
        <v>#REF!</v>
      </c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1"/>
      <c r="N990" s="8">
        <f t="shared" si="3"/>
        <v>0</v>
      </c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4" x14ac:dyDescent="0.3">
      <c r="A991" s="4" t="e">
        <f>IF('Registro de Contratos'!#REF!="","-",'Registro de Contratos'!#REF!&amp;" - "&amp;'Registro de Contratos'!#REF!&amp;" - "&amp;'Registro de Contratos'!#REF!)</f>
        <v>#REF!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3"/>
      <c r="N991" s="8">
        <f t="shared" si="3"/>
        <v>0</v>
      </c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4" x14ac:dyDescent="0.3">
      <c r="A992" s="9" t="e">
        <f>IF('Registro de Contratos'!#REF!="","-",'Registro de Contratos'!#REF!&amp;" - "&amp;'Registro de Contratos'!#REF!&amp;" - "&amp;'Registro de Contratos'!#REF!)</f>
        <v>#REF!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1"/>
      <c r="N992" s="8">
        <f t="shared" si="3"/>
        <v>0</v>
      </c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4" x14ac:dyDescent="0.3">
      <c r="A993" s="4" t="e">
        <f>IF('Registro de Contratos'!#REF!="","-",'Registro de Contratos'!#REF!&amp;" - "&amp;'Registro de Contratos'!#REF!&amp;" - "&amp;'Registro de Contratos'!#REF!)</f>
        <v>#REF!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3"/>
      <c r="N993" s="8">
        <f t="shared" si="3"/>
        <v>0</v>
      </c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4" x14ac:dyDescent="0.3">
      <c r="A994" s="9" t="e">
        <f>IF('Registro de Contratos'!#REF!="","-",'Registro de Contratos'!#REF!&amp;" - "&amp;'Registro de Contratos'!#REF!&amp;" - "&amp;'Registro de Contratos'!#REF!)</f>
        <v>#REF!</v>
      </c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1"/>
      <c r="N994" s="8">
        <f t="shared" si="3"/>
        <v>0</v>
      </c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4" x14ac:dyDescent="0.3">
      <c r="A995" s="4" t="e">
        <f>IF('Registro de Contratos'!#REF!="","-",'Registro de Contratos'!#REF!&amp;" - "&amp;'Registro de Contratos'!#REF!&amp;" - "&amp;'Registro de Contratos'!#REF!)</f>
        <v>#REF!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3"/>
      <c r="N995" s="8">
        <f t="shared" si="3"/>
        <v>0</v>
      </c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4" x14ac:dyDescent="0.3">
      <c r="A996" s="9" t="e">
        <f>IF('Registro de Contratos'!#REF!="","-",'Registro de Contratos'!#REF!&amp;" - "&amp;'Registro de Contratos'!#REF!&amp;" - "&amp;'Registro de Contratos'!#REF!)</f>
        <v>#REF!</v>
      </c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1"/>
      <c r="N996" s="8">
        <f t="shared" si="3"/>
        <v>0</v>
      </c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4" x14ac:dyDescent="0.3">
      <c r="A997" s="4" t="e">
        <f>IF('Registro de Contratos'!#REF!="","-",'Registro de Contratos'!#REF!&amp;" - "&amp;'Registro de Contratos'!#REF!&amp;" - "&amp;'Registro de Contratos'!#REF!)</f>
        <v>#REF!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3"/>
      <c r="N997" s="8">
        <f t="shared" si="3"/>
        <v>0</v>
      </c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4" x14ac:dyDescent="0.3">
      <c r="A998" s="9" t="e">
        <f>IF('Registro de Contratos'!#REF!="","-",'Registro de Contratos'!#REF!&amp;" - "&amp;'Registro de Contratos'!#REF!&amp;" - "&amp;'Registro de Contratos'!#REF!)</f>
        <v>#REF!</v>
      </c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1"/>
      <c r="N998" s="8">
        <f t="shared" si="3"/>
        <v>0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4" x14ac:dyDescent="0.3">
      <c r="A999" s="4" t="e">
        <f>IF('Registro de Contratos'!#REF!="","-",'Registro de Contratos'!#REF!&amp;" - "&amp;'Registro de Contratos'!#REF!&amp;" - "&amp;'Registro de Contratos'!#REF!)</f>
        <v>#REF!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3"/>
      <c r="N999" s="8">
        <f t="shared" si="3"/>
        <v>0</v>
      </c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4" x14ac:dyDescent="0.3">
      <c r="A1000" s="9" t="e">
        <f>IF('Registro de Contratos'!#REF!="","-",'Registro de Contratos'!#REF!&amp;" - "&amp;'Registro de Contratos'!#REF!&amp;" - "&amp;'Registro de Contratos'!#REF!)</f>
        <v>#REF!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1"/>
      <c r="N1000" s="8">
        <f t="shared" si="3"/>
        <v>0</v>
      </c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4" x14ac:dyDescent="0.3">
      <c r="A1001" s="4" t="e">
        <f>IF('Registro de Contratos'!#REF!="","-",'Registro de Contratos'!#REF!&amp;" - "&amp;'Registro de Contratos'!#REF!&amp;" - "&amp;'Registro de Contratos'!#REF!)</f>
        <v>#REF!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3"/>
      <c r="N1001" s="8">
        <f t="shared" si="3"/>
        <v>0</v>
      </c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4" x14ac:dyDescent="0.3">
      <c r="A1002" s="9" t="str">
        <f>IF('Registro de Contratos'!B101="","-",'Registro de Contratos'!B101&amp;" - "&amp;'Registro de Contratos'!C101&amp;" - "&amp;'Registro de Contratos'!F101)</f>
        <v>-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  <c r="N1002" s="8">
        <f t="shared" si="3"/>
        <v>0</v>
      </c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mergeCells count="4">
    <mergeCell ref="A1:A3"/>
    <mergeCell ref="B1:L3"/>
    <mergeCell ref="M1:M3"/>
    <mergeCell ref="N1:N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A1E806FE0BE3428EFCA6434BA1EAC5" ma:contentTypeVersion="18" ma:contentTypeDescription="Crie um novo documento." ma:contentTypeScope="" ma:versionID="147946753958be229402578c1ecb1073">
  <xsd:schema xmlns:xsd="http://www.w3.org/2001/XMLSchema" xmlns:xs="http://www.w3.org/2001/XMLSchema" xmlns:p="http://schemas.microsoft.com/office/2006/metadata/properties" xmlns:ns2="5b6d2fe9-3d34-412a-808b-c758335f3b10" xmlns:ns3="c74c9623-03f0-4f7b-a822-b9ea15ae097a" targetNamespace="http://schemas.microsoft.com/office/2006/metadata/properties" ma:root="true" ma:fieldsID="a2b221ac248db3b6dce59e66ad264f35" ns2:_="" ns3:_="">
    <xsd:import namespace="5b6d2fe9-3d34-412a-808b-c758335f3b10"/>
    <xsd:import namespace="c74c9623-03f0-4f7b-a822-b9ea15ae0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2fe9-3d34-412a-808b-c758335f3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191bf4-1fd1-4677-b8ac-7924e055e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4c9623-03f0-4f7b-a822-b9ea15ae0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47e482-7204-4655-aafc-e05559528119}" ma:internalName="TaxCatchAll" ma:showField="CatchAllData" ma:web="c74c9623-03f0-4f7b-a822-b9ea15ae0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6d2fe9-3d34-412a-808b-c758335f3b10">
      <Terms xmlns="http://schemas.microsoft.com/office/infopath/2007/PartnerControls"/>
    </lcf76f155ced4ddcb4097134ff3c332f>
    <TaxCatchAll xmlns="c74c9623-03f0-4f7b-a822-b9ea15ae097a" xsi:nil="true"/>
    <_Flow_SignoffStatus xmlns="5b6d2fe9-3d34-412a-808b-c758335f3b10" xsi:nil="true"/>
  </documentManagement>
</p:properties>
</file>

<file path=customXml/itemProps1.xml><?xml version="1.0" encoding="utf-8"?>
<ds:datastoreItem xmlns:ds="http://schemas.openxmlformats.org/officeDocument/2006/customXml" ds:itemID="{9BF1F8F0-B4C0-46C5-8E79-201C065F94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EF7050-FD54-4B82-B44A-58B130CD1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6d2fe9-3d34-412a-808b-c758335f3b10"/>
    <ds:schemaRef ds:uri="c74c9623-03f0-4f7b-a822-b9ea15ae0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5DCA9C-3BFB-4EF0-9F1F-8D19C6CEBAD6}">
  <ds:schemaRefs>
    <ds:schemaRef ds:uri="http://schemas.microsoft.com/office/2006/metadata/properties"/>
    <ds:schemaRef ds:uri="http://schemas.microsoft.com/office/infopath/2007/PartnerControls"/>
    <ds:schemaRef ds:uri="5b6d2fe9-3d34-412a-808b-c758335f3b10"/>
    <ds:schemaRef ds:uri="c74c9623-03f0-4f7b-a822-b9ea15ae09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Como utilizar essa planilha</vt:lpstr>
      <vt:lpstr>Dashboard dos Contratos</vt:lpstr>
      <vt:lpstr>Cadastro de Clientes</vt:lpstr>
      <vt:lpstr>Outros Cadastros</vt:lpstr>
      <vt:lpstr>Registro de Contratos</vt:lpstr>
      <vt:lpstr>Recebimentos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Castro da Silva</dc:creator>
  <cp:keywords/>
  <dc:description/>
  <cp:lastModifiedBy>PC</cp:lastModifiedBy>
  <cp:revision/>
  <dcterms:created xsi:type="dcterms:W3CDTF">2019-05-02T13:10:09Z</dcterms:created>
  <dcterms:modified xsi:type="dcterms:W3CDTF">2024-12-16T14:01:27Z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0x010100F1A1E806FE0BE3428EFCA6434BA1EAC5</vt:lpwstr>
  </property>
  <property fmtid="{D5CDD505-2E9C-101B-9397-08002B2CF9AE}" pid="3" name="MediaServiceImageTags">
    <vt:lpwstr/>
  </property>
</Properties>
</file>