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5" documentId="11_4E14E99CFCB85BC3D4F2FD70F253158C1C6536B3" xr6:coauthVersionLast="47" xr6:coauthVersionMax="47" xr10:uidLastSave="{FD4CF368-5607-4323-9FE8-2BE7487E7D96}"/>
  <bookViews>
    <workbookView xWindow="-108" yWindow="-108" windowWidth="23256" windowHeight="12456" xr2:uid="{00000000-000D-0000-FFFF-FFFF00000000}"/>
  </bookViews>
  <sheets>
    <sheet name="Serviços de Filmagem (Drones)" sheetId="6" r:id="rId1"/>
  </sheets>
  <definedNames>
    <definedName name="_xlnm.Print_Area" localSheetId="0">'Serviços de Filmagem (Drones)'!$E$1:$F$20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6" l="1"/>
  <c r="E19" i="6" l="1"/>
  <c r="E20" i="6" l="1"/>
  <c r="E17" i="6"/>
  <c r="E16" i="6"/>
  <c r="E15" i="6"/>
  <c r="C7" i="6"/>
  <c r="B16" i="6"/>
  <c r="C17" i="6"/>
  <c r="B45" i="6" s="1"/>
  <c r="A49" i="6"/>
  <c r="B49" i="6"/>
  <c r="C6" i="6"/>
  <c r="C5" i="6"/>
  <c r="B40" i="6"/>
  <c r="B39" i="6"/>
  <c r="C10" i="6" s="1"/>
  <c r="B41" i="6"/>
  <c r="A41" i="6" s="1"/>
  <c r="B42" i="6"/>
  <c r="A42" i="6" s="1"/>
  <c r="A48" i="6"/>
  <c r="C13" i="6"/>
  <c r="C14" i="6"/>
  <c r="C12" i="6"/>
  <c r="A44" i="6"/>
  <c r="E6" i="6"/>
  <c r="E2" i="6"/>
  <c r="C15" i="6"/>
  <c r="B48" i="6" s="1"/>
  <c r="E11" i="6"/>
  <c r="B19" i="6"/>
  <c r="B17" i="6"/>
  <c r="C3" i="6"/>
  <c r="C8" i="6" l="1"/>
  <c r="A39" i="6"/>
  <c r="B46" i="6"/>
  <c r="A46" i="6" s="1"/>
  <c r="A45" i="6"/>
  <c r="B47" i="6"/>
  <c r="A47" i="6" s="1"/>
  <c r="E7" i="6"/>
  <c r="E8" i="6" l="1"/>
  <c r="F7" i="6"/>
  <c r="C11" i="6" l="1"/>
  <c r="A40" i="6"/>
  <c r="B38" i="6"/>
  <c r="A38" i="6" l="1"/>
  <c r="C9" i="6"/>
  <c r="E4" i="6"/>
  <c r="F4" i="6"/>
  <c r="F3" i="6"/>
  <c r="E3" i="6"/>
  <c r="E13" i="6" l="1"/>
  <c r="F12" i="6"/>
  <c r="E12" i="6"/>
  <c r="F8" i="6"/>
  <c r="F6" i="6"/>
  <c r="E5" i="6"/>
  <c r="C16" i="6" l="1"/>
  <c r="F9" i="6"/>
  <c r="C19" i="6" l="1"/>
  <c r="F11" i="6"/>
  <c r="F13" i="6"/>
  <c r="B50" i="6" l="1"/>
  <c r="A50" i="6" s="1"/>
</calcChain>
</file>

<file path=xl/sharedStrings.xml><?xml version="1.0" encoding="utf-8"?>
<sst xmlns="http://schemas.openxmlformats.org/spreadsheetml/2006/main" count="52" uniqueCount="52">
  <si>
    <t>Data do Serviço</t>
  </si>
  <si>
    <t>Edição Básica (Por Minuto)</t>
  </si>
  <si>
    <t>Edição Profissional (Por Minuto)</t>
  </si>
  <si>
    <t>Deslocamento (Cliente) por Km</t>
  </si>
  <si>
    <t>Deslocamento (Próprio) por Km</t>
  </si>
  <si>
    <t>Valor do Combustível</t>
  </si>
  <si>
    <t>Valor do Pedágio Rodoviário</t>
  </si>
  <si>
    <t>Desconto</t>
  </si>
  <si>
    <r>
      <t xml:space="preserve">Horas de Trabalho </t>
    </r>
    <r>
      <rPr>
        <b/>
        <sz val="13"/>
        <color theme="1"/>
        <rFont val="Calibri"/>
        <family val="2"/>
        <scheme val="minor"/>
      </rPr>
      <t>(Diária = 8)</t>
    </r>
  </si>
  <si>
    <t>Quantidade de Pedágio Rodoviário</t>
  </si>
  <si>
    <t>ORÇAMENTO - Serviço de Filmagem Profissional</t>
  </si>
  <si>
    <t>Gravação em DVD (video)</t>
  </si>
  <si>
    <t>Iluminação (Aluguel) - (1 = Sim)</t>
  </si>
  <si>
    <t>Valor do Aluguel da Iluminação</t>
  </si>
  <si>
    <t>Valor da Câmera Extra (Cinegrafista)</t>
  </si>
  <si>
    <t>Quantidade de Câmeras Extras</t>
  </si>
  <si>
    <t>Nome do Cliente</t>
  </si>
  <si>
    <t>Média Salarial (Piloto de Drone)</t>
  </si>
  <si>
    <t>Media Salarial (Editor de Vídeo)</t>
  </si>
  <si>
    <t>Media Salarial (Cinegrafista)</t>
  </si>
  <si>
    <t>Média Salarial (Fotógrafo)</t>
  </si>
  <si>
    <t>Consumo do veículo em Km</t>
  </si>
  <si>
    <t>Seu nome</t>
  </si>
  <si>
    <t>Seu E-mail</t>
  </si>
  <si>
    <t>Seu Telefone (Whatsapp)</t>
  </si>
  <si>
    <t>Quantidade de Fotos Aéreas</t>
  </si>
  <si>
    <t>Seu Portfólio (Trabalhos)</t>
  </si>
  <si>
    <t>Wesley Correa Leal</t>
  </si>
  <si>
    <t>(62) 99999-9999</t>
  </si>
  <si>
    <t>www.studio.wclinformatica.com</t>
  </si>
  <si>
    <t>Valor do Equipamento (c/ Acessorios)</t>
  </si>
  <si>
    <t>ATENÇÃO!</t>
  </si>
  <si>
    <t>Com a ajuda de inscritos do canal, efetuei algumas alterações após</t>
  </si>
  <si>
    <t>o primeiro vídeo desta planilha.</t>
  </si>
  <si>
    <t>Sugestões podem ser deixadas no comentário no canal Youtube,</t>
  </si>
  <si>
    <t>onde todos poderão ver sua colaboração com esta planilha.</t>
  </si>
  <si>
    <t>baixando a mesma sempre atualizada em nosso site:</t>
  </si>
  <si>
    <t>www.wclinformatica.com/drone/planilha/</t>
  </si>
  <si>
    <t>Conto com sua ajuda em nosso canal Youtube:</t>
  </si>
  <si>
    <t>Icreva-se e deixe um like para icentivo!</t>
  </si>
  <si>
    <t>www.youtube.com.br/wesleycorrealeal</t>
  </si>
  <si>
    <t>http://goo.gl/Ft9PTC</t>
  </si>
  <si>
    <t>Desp. de Viagem (Almoço/lanche)</t>
  </si>
  <si>
    <t>Tempo de Filmagem/Vôo (Minutos)</t>
  </si>
  <si>
    <t>Contamos com a colaboração de cada um profissional da área, pois</t>
  </si>
  <si>
    <t>juntos podemos valorizar nossos trabalhos.</t>
  </si>
  <si>
    <t>Esta planilha poderá está sofrendo alterações e você pode está</t>
  </si>
  <si>
    <t>Diária do Veículo</t>
  </si>
  <si>
    <t>Valor do Pen-Drive</t>
  </si>
  <si>
    <t>Pen-drive (vídeo)</t>
  </si>
  <si>
    <t>Carli Drones</t>
  </si>
  <si>
    <t>gerson.provedor@gmail.com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</si>
</sst>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 &quot;\ * #,##0.00_-;\-&quot;R$ &quot;\ * #,##0.00_-;_-&quot;R$ 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fgColor theme="0" tint="-0.24994659260841701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theme="0"/>
        <bgColor auto="1"/>
      </patternFill>
    </fill>
    <fill>
      <patternFill patternType="solid">
        <fgColor indexed="65"/>
        <bgColor auto="1"/>
      </patternFill>
    </fill>
    <fill>
      <patternFill patternType="solid">
        <fgColor rgb="FFFFFFBD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73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9" fillId="2" borderId="1" xfId="0" applyFont="1" applyFill="1" applyBorder="1"/>
    <xf numFmtId="0" fontId="9" fillId="2" borderId="0" xfId="0" applyFont="1" applyFill="1"/>
    <xf numFmtId="0" fontId="12" fillId="3" borderId="1" xfId="0" applyFont="1" applyFill="1" applyBorder="1" applyProtection="1">
      <protection locked="0"/>
    </xf>
    <xf numFmtId="0" fontId="2" fillId="2" borderId="0" xfId="0" applyFont="1" applyFill="1" applyAlignment="1">
      <alignment shrinkToFit="1"/>
    </xf>
    <xf numFmtId="0" fontId="11" fillId="2" borderId="0" xfId="0" applyFont="1" applyFill="1" applyAlignment="1">
      <alignment horizontal="right" shrinkToFit="1"/>
    </xf>
    <xf numFmtId="164" fontId="4" fillId="2" borderId="0" xfId="0" applyNumberFormat="1" applyFont="1" applyFill="1" applyAlignment="1">
      <alignment shrinkToFit="1"/>
    </xf>
    <xf numFmtId="164" fontId="13" fillId="2" borderId="0" xfId="0" applyNumberFormat="1" applyFont="1" applyFill="1" applyAlignment="1">
      <alignment shrinkToFit="1"/>
    </xf>
    <xf numFmtId="14" fontId="12" fillId="3" borderId="5" xfId="0" applyNumberFormat="1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Alignment="1">
      <alignment horizontal="right" vertical="top" shrinkToFit="1"/>
    </xf>
    <xf numFmtId="14" fontId="15" fillId="2" borderId="0" xfId="0" applyNumberFormat="1" applyFont="1" applyFill="1" applyAlignment="1">
      <alignment horizontal="left" vertical="top" shrinkToFit="1"/>
    </xf>
    <xf numFmtId="0" fontId="15" fillId="2" borderId="0" xfId="0" applyFont="1" applyFill="1" applyAlignment="1">
      <alignment vertical="top" shrinkToFit="1"/>
    </xf>
    <xf numFmtId="0" fontId="8" fillId="2" borderId="0" xfId="0" applyFont="1" applyFill="1"/>
    <xf numFmtId="0" fontId="8" fillId="2" borderId="1" xfId="0" applyFont="1" applyFill="1" applyBorder="1"/>
    <xf numFmtId="49" fontId="17" fillId="6" borderId="11" xfId="0" applyNumberFormat="1" applyFont="1" applyFill="1" applyBorder="1" applyAlignment="1">
      <alignment vertical="justify"/>
    </xf>
    <xf numFmtId="49" fontId="17" fillId="6" borderId="6" xfId="0" applyNumberFormat="1" applyFont="1" applyFill="1" applyBorder="1" applyAlignment="1">
      <alignment vertical="justify"/>
    </xf>
    <xf numFmtId="43" fontId="8" fillId="2" borderId="0" xfId="0" applyNumberFormat="1" applyFont="1" applyFill="1" applyAlignment="1">
      <alignment horizontal="center" vertical="center"/>
    </xf>
    <xf numFmtId="164" fontId="9" fillId="3" borderId="1" xfId="1" applyFont="1" applyFill="1" applyBorder="1" applyProtection="1">
      <protection locked="0"/>
    </xf>
    <xf numFmtId="43" fontId="2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center" vertical="center" shrinkToFit="1"/>
    </xf>
    <xf numFmtId="164" fontId="5" fillId="2" borderId="0" xfId="0" applyNumberFormat="1" applyFont="1" applyFill="1" applyAlignment="1">
      <alignment shrinkToFit="1"/>
    </xf>
    <xf numFmtId="0" fontId="3" fillId="2" borderId="0" xfId="0" applyFont="1" applyFill="1" applyAlignment="1">
      <alignment horizontal="center" vertical="center"/>
    </xf>
    <xf numFmtId="164" fontId="4" fillId="3" borderId="1" xfId="0" applyNumberFormat="1" applyFont="1" applyFill="1" applyBorder="1" applyAlignment="1" applyProtection="1">
      <alignment shrinkToFit="1"/>
      <protection locked="0"/>
    </xf>
    <xf numFmtId="0" fontId="2" fillId="2" borderId="0" xfId="0" applyFont="1" applyFill="1" applyAlignment="1">
      <alignment horizontal="center" shrinkToFit="1"/>
    </xf>
    <xf numFmtId="0" fontId="8" fillId="2" borderId="0" xfId="0" applyFont="1" applyFill="1" applyAlignment="1">
      <alignment vertical="center" shrinkToFit="1"/>
    </xf>
    <xf numFmtId="164" fontId="8" fillId="2" borderId="0" xfId="0" applyNumberFormat="1" applyFont="1" applyFill="1" applyAlignment="1">
      <alignment vertical="center" shrinkToFit="1"/>
    </xf>
    <xf numFmtId="164" fontId="20" fillId="2" borderId="0" xfId="1" applyFont="1" applyFill="1" applyBorder="1" applyAlignment="1" applyProtection="1">
      <alignment vertical="center" shrinkToFit="1"/>
    </xf>
    <xf numFmtId="0" fontId="20" fillId="2" borderId="0" xfId="0" applyFont="1" applyFill="1" applyAlignment="1">
      <alignment vertical="center" shrinkToFit="1"/>
    </xf>
    <xf numFmtId="0" fontId="21" fillId="8" borderId="0" xfId="0" applyFont="1" applyFill="1" applyAlignment="1">
      <alignment vertical="center" shrinkToFit="1"/>
    </xf>
    <xf numFmtId="164" fontId="22" fillId="8" borderId="0" xfId="1" applyFont="1" applyFill="1" applyBorder="1" applyAlignment="1" applyProtection="1">
      <alignment vertical="center" shrinkToFit="1"/>
    </xf>
    <xf numFmtId="164" fontId="20" fillId="2" borderId="0" xfId="1" applyFont="1" applyFill="1" applyBorder="1" applyAlignment="1" applyProtection="1">
      <alignment horizontal="center"/>
    </xf>
    <xf numFmtId="164" fontId="20" fillId="2" borderId="0" xfId="1" applyFont="1" applyFill="1" applyBorder="1" applyProtection="1"/>
    <xf numFmtId="164" fontId="9" fillId="2" borderId="0" xfId="0" applyNumberFormat="1" applyFont="1" applyFill="1"/>
    <xf numFmtId="164" fontId="9" fillId="2" borderId="0" xfId="1" applyFont="1" applyFill="1" applyBorder="1" applyProtection="1"/>
    <xf numFmtId="0" fontId="9" fillId="2" borderId="2" xfId="0" applyFont="1" applyFill="1" applyBorder="1"/>
    <xf numFmtId="0" fontId="12" fillId="2" borderId="8" xfId="0" applyFont="1" applyFill="1" applyBorder="1"/>
    <xf numFmtId="0" fontId="12" fillId="3" borderId="8" xfId="0" applyFont="1" applyFill="1" applyBorder="1" applyProtection="1">
      <protection locked="0"/>
    </xf>
    <xf numFmtId="164" fontId="23" fillId="2" borderId="0" xfId="0" applyNumberFormat="1" applyFont="1" applyFill="1" applyAlignment="1">
      <alignment shrinkToFit="1"/>
    </xf>
    <xf numFmtId="164" fontId="8" fillId="9" borderId="1" xfId="1" applyFont="1" applyFill="1" applyBorder="1" applyAlignment="1" applyProtection="1">
      <alignment horizontal="center" vertical="center"/>
      <protection locked="0"/>
    </xf>
    <xf numFmtId="164" fontId="8" fillId="9" borderId="1" xfId="1" applyFont="1" applyFill="1" applyBorder="1" applyProtection="1">
      <protection locked="0"/>
    </xf>
    <xf numFmtId="0" fontId="8" fillId="9" borderId="1" xfId="0" applyFont="1" applyFill="1" applyBorder="1" applyAlignment="1" applyProtection="1">
      <alignment horizontal="center"/>
      <protection locked="0"/>
    </xf>
    <xf numFmtId="49" fontId="17" fillId="6" borderId="12" xfId="0" applyNumberFormat="1" applyFont="1" applyFill="1" applyBorder="1" applyAlignment="1">
      <alignment horizontal="center" vertical="justify"/>
    </xf>
    <xf numFmtId="49" fontId="17" fillId="6" borderId="7" xfId="0" applyNumberFormat="1" applyFont="1" applyFill="1" applyBorder="1" applyAlignment="1">
      <alignment horizontal="center" vertical="justify"/>
    </xf>
    <xf numFmtId="49" fontId="0" fillId="2" borderId="0" xfId="0" applyNumberFormat="1" applyFill="1" applyAlignment="1">
      <alignment horizontal="center" vertical="justify"/>
    </xf>
    <xf numFmtId="49" fontId="0" fillId="5" borderId="9" xfId="0" applyNumberFormat="1" applyFill="1" applyBorder="1" applyAlignment="1">
      <alignment horizontal="center" vertical="justify"/>
    </xf>
    <xf numFmtId="49" fontId="0" fillId="5" borderId="10" xfId="0" applyNumberFormat="1" applyFill="1" applyBorder="1" applyAlignment="1">
      <alignment horizontal="center" vertical="justify"/>
    </xf>
    <xf numFmtId="49" fontId="0" fillId="5" borderId="11" xfId="0" applyNumberFormat="1" applyFill="1" applyBorder="1" applyAlignment="1">
      <alignment horizontal="center" vertical="justify"/>
    </xf>
    <xf numFmtId="49" fontId="0" fillId="5" borderId="6" xfId="0" applyNumberFormat="1" applyFill="1" applyBorder="1" applyAlignment="1">
      <alignment horizontal="center" vertical="justify"/>
    </xf>
    <xf numFmtId="49" fontId="6" fillId="5" borderId="12" xfId="2" applyNumberFormat="1" applyFill="1" applyBorder="1" applyAlignment="1" applyProtection="1">
      <alignment horizontal="center" vertical="justify"/>
    </xf>
    <xf numFmtId="49" fontId="6" fillId="5" borderId="7" xfId="2" applyNumberFormat="1" applyFill="1" applyBorder="1" applyAlignment="1" applyProtection="1">
      <alignment horizontal="center" vertical="justify"/>
    </xf>
    <xf numFmtId="0" fontId="18" fillId="7" borderId="0" xfId="0" applyFont="1" applyFill="1" applyAlignment="1">
      <alignment horizontal="center"/>
    </xf>
    <xf numFmtId="49" fontId="17" fillId="5" borderId="9" xfId="0" applyNumberFormat="1" applyFont="1" applyFill="1" applyBorder="1" applyAlignment="1">
      <alignment horizontal="center" vertical="justify"/>
    </xf>
    <xf numFmtId="49" fontId="17" fillId="5" borderId="10" xfId="0" applyNumberFormat="1" applyFont="1" applyFill="1" applyBorder="1" applyAlignment="1">
      <alignment horizontal="center" vertical="justify"/>
    </xf>
    <xf numFmtId="49" fontId="17" fillId="5" borderId="11" xfId="0" applyNumberFormat="1" applyFont="1" applyFill="1" applyBorder="1" applyAlignment="1">
      <alignment horizontal="center" vertical="justify"/>
    </xf>
    <xf numFmtId="49" fontId="17" fillId="5" borderId="6" xfId="0" applyNumberFormat="1" applyFont="1" applyFill="1" applyBorder="1" applyAlignment="1">
      <alignment horizontal="center" vertical="justify"/>
    </xf>
    <xf numFmtId="49" fontId="6" fillId="5" borderId="11" xfId="2" applyNumberFormat="1" applyFill="1" applyBorder="1" applyAlignment="1" applyProtection="1">
      <alignment horizontal="center" vertical="justify"/>
    </xf>
    <xf numFmtId="49" fontId="6" fillId="5" borderId="6" xfId="2" applyNumberFormat="1" applyFill="1" applyBorder="1" applyAlignment="1" applyProtection="1">
      <alignment horizontal="center" vertical="justify"/>
    </xf>
    <xf numFmtId="0" fontId="7" fillId="2" borderId="0" xfId="0" applyFont="1" applyFill="1" applyAlignment="1">
      <alignment horizontal="center" shrinkToFit="1"/>
    </xf>
    <xf numFmtId="0" fontId="16" fillId="2" borderId="0" xfId="0" applyFont="1" applyFill="1" applyAlignment="1">
      <alignment horizontal="center" vertical="top" shrinkToFit="1"/>
    </xf>
    <xf numFmtId="0" fontId="3" fillId="4" borderId="3" xfId="0" applyFont="1" applyFill="1" applyBorder="1" applyAlignment="1">
      <alignment horizontal="center" shrinkToFit="1"/>
    </xf>
    <xf numFmtId="0" fontId="3" fillId="4" borderId="4" xfId="0" applyFont="1" applyFill="1" applyBorder="1" applyAlignment="1">
      <alignment horizontal="center" shrinkToFit="1"/>
    </xf>
    <xf numFmtId="0" fontId="9" fillId="2" borderId="0" xfId="0" applyFont="1" applyFill="1" applyAlignment="1">
      <alignment horizontal="center" shrinkToFit="1"/>
    </xf>
    <xf numFmtId="49" fontId="17" fillId="6" borderId="11" xfId="0" applyNumberFormat="1" applyFont="1" applyFill="1" applyBorder="1" applyAlignment="1">
      <alignment horizontal="center" vertical="justify"/>
    </xf>
    <xf numFmtId="49" fontId="17" fillId="6" borderId="6" xfId="0" applyNumberFormat="1" applyFont="1" applyFill="1" applyBorder="1" applyAlignment="1">
      <alignment horizontal="center" vertical="justify"/>
    </xf>
    <xf numFmtId="0" fontId="10" fillId="2" borderId="0" xfId="0" applyFont="1" applyFill="1" applyAlignment="1">
      <alignment horizontal="center" shrinkToFit="1"/>
    </xf>
    <xf numFmtId="49" fontId="19" fillId="6" borderId="9" xfId="0" applyNumberFormat="1" applyFont="1" applyFill="1" applyBorder="1" applyAlignment="1">
      <alignment horizontal="center" vertical="justify"/>
    </xf>
    <xf numFmtId="49" fontId="19" fillId="6" borderId="10" xfId="0" applyNumberFormat="1" applyFont="1" applyFill="1" applyBorder="1" applyAlignment="1">
      <alignment horizontal="center" vertical="justify"/>
    </xf>
    <xf numFmtId="0" fontId="6" fillId="2" borderId="0" xfId="2" applyNumberFormat="1" applyFill="1" applyBorder="1" applyAlignment="1" applyProtection="1">
      <alignment horizontal="center" shrinkToFit="1"/>
    </xf>
    <xf numFmtId="0" fontId="8" fillId="9" borderId="1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0" fontId="6" fillId="9" borderId="1" xfId="2" applyNumberFormat="1" applyFill="1" applyBorder="1" applyAlignment="1" applyProtection="1">
      <alignment horizontal="center" vertical="center"/>
      <protection locked="0"/>
    </xf>
  </cellXfs>
  <cellStyles count="3">
    <cellStyle name="Hiperlink" xfId="2" builtinId="8"/>
    <cellStyle name="Moeda" xfId="1" builtinId="4"/>
    <cellStyle name="Normal" xfId="0" builtinId="0"/>
  </cellStyles>
  <dxfs count="3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lightDown">
          <f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fill>
        <patternFill>
          <bgColor rgb="FFFF474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474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800000"/>
      </font>
      <fill>
        <patternFill>
          <bgColor rgb="FFFFA7A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800000"/>
      </font>
      <fill>
        <patternFill>
          <bgColor rgb="FFFFA7A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</font>
    </dxf>
  </dxfs>
  <tableStyles count="0" defaultTableStyle="TableStyleMedium2" defaultPivotStyle="PivotStyleLight16"/>
  <colors>
    <mruColors>
      <color rgb="FFFFFFBD"/>
      <color rgb="FFFFFF93"/>
      <color rgb="FFFF4747"/>
      <color rgb="FF800000"/>
      <color rgb="FFFFA7A7"/>
      <color rgb="FFFF3737"/>
      <color rgb="FFFFD5D5"/>
      <color rgb="FFFF1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40360</xdr:colOff>
      <xdr:row>37</xdr:row>
      <xdr:rowOff>7524</xdr:rowOff>
    </xdr:from>
    <xdr:to>
      <xdr:col>4</xdr:col>
      <xdr:colOff>823347</xdr:colOff>
      <xdr:row>38</xdr:row>
      <xdr:rowOff>117708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0784" y="9467948"/>
          <a:ext cx="782987" cy="352345"/>
        </a:xfrm>
        <a:prstGeom prst="rect">
          <a:avLst/>
        </a:prstGeom>
      </xdr:spPr>
    </xdr:pic>
    <xdr:clientData/>
  </xdr:twoCellAnchor>
  <xdr:twoCellAnchor editAs="oneCell">
    <xdr:from>
      <xdr:col>4</xdr:col>
      <xdr:colOff>56504</xdr:colOff>
      <xdr:row>33</xdr:row>
      <xdr:rowOff>209873</xdr:rowOff>
    </xdr:from>
    <xdr:to>
      <xdr:col>4</xdr:col>
      <xdr:colOff>666673</xdr:colOff>
      <xdr:row>34</xdr:row>
      <xdr:rowOff>184322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6928" y="8685509"/>
          <a:ext cx="610169" cy="216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goo.gl/Ft9PTC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youtube.com.br/wesleycorrealeal" TargetMode="External"/><Relationship Id="rId1" Type="http://schemas.openxmlformats.org/officeDocument/2006/relationships/hyperlink" Target="http://www.wclinformatica.com/drone/planilha/" TargetMode="External"/><Relationship Id="rId6" Type="http://schemas.openxmlformats.org/officeDocument/2006/relationships/hyperlink" Target="http://www.wclinformatica.com/drone/planilha/" TargetMode="External"/><Relationship Id="rId5" Type="http://schemas.openxmlformats.org/officeDocument/2006/relationships/hyperlink" Target="http://goo.gl/Ft9PTC" TargetMode="External"/><Relationship Id="rId4" Type="http://schemas.openxmlformats.org/officeDocument/2006/relationships/hyperlink" Target="http://www.youtube.com.br/wesleycorreale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"/>
  <sheetViews>
    <sheetView showZeros="0" tabSelected="1" topLeftCell="A30" zoomScale="118" zoomScaleNormal="118" workbookViewId="0">
      <selection activeCell="B32" sqref="B32"/>
    </sheetView>
  </sheetViews>
  <sheetFormatPr defaultColWidth="9.109375" defaultRowHeight="18" x14ac:dyDescent="0.35"/>
  <cols>
    <col min="1" max="1" width="37" style="1" bestFit="1" customWidth="1"/>
    <col min="2" max="2" width="22.6640625" style="1" bestFit="1" customWidth="1"/>
    <col min="3" max="3" width="21" style="1" bestFit="1" customWidth="1"/>
    <col min="4" max="4" width="4" style="1" customWidth="1"/>
    <col min="5" max="5" width="37.5546875" style="1" bestFit="1" customWidth="1"/>
    <col min="6" max="6" width="22.6640625" style="1" bestFit="1" customWidth="1"/>
    <col min="7" max="16384" width="9.109375" style="1"/>
  </cols>
  <sheetData>
    <row r="1" spans="1:6" x14ac:dyDescent="0.35">
      <c r="A1" s="3" t="s">
        <v>0</v>
      </c>
      <c r="B1" s="10">
        <v>43528</v>
      </c>
      <c r="C1" s="4"/>
      <c r="D1" s="2"/>
      <c r="E1" s="59" t="s">
        <v>10</v>
      </c>
      <c r="F1" s="59"/>
    </row>
    <row r="2" spans="1:6" x14ac:dyDescent="0.35">
      <c r="A2" s="3" t="s">
        <v>16</v>
      </c>
      <c r="B2" s="71" t="s">
        <v>50</v>
      </c>
      <c r="C2" s="71"/>
      <c r="E2" s="60" t="str">
        <f>IF(B8&gt;0,"Temos Licença de Vôo: ANAC, DECEA/SARPAS, ANATEL","")</f>
        <v/>
      </c>
      <c r="F2" s="60"/>
    </row>
    <row r="3" spans="1:6" x14ac:dyDescent="0.35">
      <c r="A3" s="36" t="s">
        <v>8</v>
      </c>
      <c r="B3" s="38"/>
      <c r="C3" s="35" t="str">
        <f>IF(B3&gt;0,B32/220+B31/220+B29/220*B3,"")</f>
        <v/>
      </c>
      <c r="E3" s="11" t="str">
        <f>IF(B1&gt;0,"Data:","Data:")</f>
        <v>Data:</v>
      </c>
      <c r="F3" s="12">
        <f>IF(B1&gt;0,B1,"Será Decidida")</f>
        <v>43528</v>
      </c>
    </row>
    <row r="4" spans="1:6" x14ac:dyDescent="0.35">
      <c r="A4" s="3" t="s">
        <v>42</v>
      </c>
      <c r="B4" s="37"/>
      <c r="C4" s="19"/>
      <c r="E4" s="11" t="str">
        <f>IF(B2&gt;0,"Cliente:","")</f>
        <v>Cliente:</v>
      </c>
      <c r="F4" s="13" t="str">
        <f>IF(B2&gt;0,B2,"")</f>
        <v>Carli Drones</v>
      </c>
    </row>
    <row r="5" spans="1:6" x14ac:dyDescent="0.35">
      <c r="A5" s="3" t="s">
        <v>4</v>
      </c>
      <c r="B5" s="5"/>
      <c r="C5" s="34" t="str">
        <f>IF(B5&gt;0,B5/B33*B28*3+B26,"")</f>
        <v/>
      </c>
      <c r="E5" s="61" t="str">
        <f>IF(B9&gt;0,"SERÁ ENTREGUE AO CLIENTE (EDIÇÃO SIMPLES):","SERÁ ENTREGUE AO CLIENTE (EDIÇÃO PROFISSIONAL):")</f>
        <v>SERÁ ENTREGUE AO CLIENTE (EDIÇÃO PROFISSIONAL):</v>
      </c>
      <c r="F5" s="62"/>
    </row>
    <row r="6" spans="1:6" x14ac:dyDescent="0.35">
      <c r="A6" s="3" t="s">
        <v>3</v>
      </c>
      <c r="B6" s="5"/>
      <c r="C6" s="34" t="str">
        <f>IF(B6&gt;0,B6/B33*B28*2,"")</f>
        <v/>
      </c>
      <c r="E6" s="6" t="str">
        <f>IF(B8&gt;0,"Tempo mín filmagem (minutos):","")</f>
        <v/>
      </c>
      <c r="F6" s="25" t="str">
        <f>IF(B8&gt;0,B8,"")</f>
        <v/>
      </c>
    </row>
    <row r="7" spans="1:6" x14ac:dyDescent="0.35">
      <c r="A7" s="3" t="s">
        <v>9</v>
      </c>
      <c r="B7" s="5"/>
      <c r="C7" s="35" t="str">
        <f>IF(B7&gt;0,B34*B7,"")</f>
        <v/>
      </c>
      <c r="E7" s="6" t="str">
        <f>IF(B11&gt;0,"Quantidade de fotos:","")</f>
        <v/>
      </c>
      <c r="F7" s="25" t="str">
        <f>IF(B11&gt;0,B11,"")</f>
        <v/>
      </c>
    </row>
    <row r="8" spans="1:6" x14ac:dyDescent="0.35">
      <c r="A8" s="3" t="s">
        <v>43</v>
      </c>
      <c r="B8" s="5"/>
      <c r="C8" s="35" t="str">
        <f>IF(B8&gt;0,B31/220+B41*B8+B42*B8,"")</f>
        <v/>
      </c>
      <c r="E8" s="6" t="str">
        <f>IF(B12&gt;0,"DVD Gravado todo material:","")</f>
        <v/>
      </c>
      <c r="F8" s="25" t="str">
        <f>IF(B12&gt;0,B12,"")</f>
        <v/>
      </c>
    </row>
    <row r="9" spans="1:6" x14ac:dyDescent="0.35">
      <c r="A9" s="3" t="s">
        <v>1</v>
      </c>
      <c r="B9" s="5"/>
      <c r="C9" s="35" t="str">
        <f>IF(B9&gt;0,B38*B9,"")</f>
        <v/>
      </c>
      <c r="E9" s="6" t="str">
        <f>IF(B13&gt;0,"Pen-Drive gravado todo material:","")</f>
        <v/>
      </c>
      <c r="F9" s="25">
        <f>IF(C13&gt;0,B13,"")</f>
        <v>0</v>
      </c>
    </row>
    <row r="10" spans="1:6" x14ac:dyDescent="0.35">
      <c r="A10" s="3" t="s">
        <v>2</v>
      </c>
      <c r="B10" s="5"/>
      <c r="C10" s="35" t="str">
        <f>IF(B10&gt;0,B39*B10,"")</f>
        <v/>
      </c>
      <c r="E10" s="6"/>
      <c r="F10" s="6"/>
    </row>
    <row r="11" spans="1:6" ht="23.4" x14ac:dyDescent="0.45">
      <c r="A11" s="3" t="s">
        <v>25</v>
      </c>
      <c r="B11" s="5"/>
      <c r="C11" s="35" t="str">
        <f>IF(B11&gt;0,B11*B40,"")</f>
        <v/>
      </c>
      <c r="E11" s="7" t="str">
        <f>IF(B3&gt;0,"Valor do Serviço:","")</f>
        <v/>
      </c>
      <c r="F11" s="39" t="str">
        <f>C16</f>
        <v/>
      </c>
    </row>
    <row r="12" spans="1:6" ht="21" x14ac:dyDescent="0.4">
      <c r="A12" s="3" t="s">
        <v>11</v>
      </c>
      <c r="B12" s="5"/>
      <c r="C12" s="35" t="str">
        <f>IF(B12&gt;0,B12*2,"")</f>
        <v/>
      </c>
      <c r="E12" s="7" t="str">
        <f>IF(C18&gt;0,"Desconto:","")</f>
        <v/>
      </c>
      <c r="F12" s="8" t="str">
        <f>IF(C18&gt;0,C18,"")</f>
        <v/>
      </c>
    </row>
    <row r="13" spans="1:6" ht="28.8" x14ac:dyDescent="0.55000000000000004">
      <c r="A13" s="3" t="s">
        <v>49</v>
      </c>
      <c r="B13" s="5"/>
      <c r="C13" s="35" t="str">
        <f>IF(B13&gt;0,B37*B13,"")</f>
        <v/>
      </c>
      <c r="E13" s="7" t="str">
        <f>IF(C18&gt;0,"Valor com Desconto:","")</f>
        <v/>
      </c>
      <c r="F13" s="9" t="str">
        <f>IF(C18&gt;0,F11-F12,"")</f>
        <v/>
      </c>
    </row>
    <row r="14" spans="1:6" x14ac:dyDescent="0.35">
      <c r="A14" s="3" t="s">
        <v>12</v>
      </c>
      <c r="B14" s="5"/>
      <c r="C14" s="35" t="str">
        <f>IF(B14&gt;0,B14*B35,"")</f>
        <v/>
      </c>
      <c r="E14" s="6"/>
      <c r="F14" s="6"/>
    </row>
    <row r="15" spans="1:6" x14ac:dyDescent="0.35">
      <c r="A15" s="3" t="s">
        <v>15</v>
      </c>
      <c r="B15" s="5"/>
      <c r="C15" s="35" t="str">
        <f>IF(B15&gt;0,B36*B15,"")</f>
        <v/>
      </c>
      <c r="E15" s="63" t="str">
        <f>IF(B22&gt;0,B22,"")</f>
        <v>Wesley Correa Leal</v>
      </c>
      <c r="F15" s="63"/>
    </row>
    <row r="16" spans="1:6" ht="25.8" x14ac:dyDescent="0.5">
      <c r="B16" s="21" t="str">
        <f>IF(B3&gt;0,"Valor do Serviço","")</f>
        <v/>
      </c>
      <c r="C16" s="22" t="str">
        <f>IF(B3&gt;0,SUM(C3:C15)+C17,"")</f>
        <v/>
      </c>
      <c r="E16" s="63" t="str">
        <f>IF(B23&gt;0,B23,"")</f>
        <v>(62) 99999-9999</v>
      </c>
      <c r="F16" s="63"/>
    </row>
    <row r="17" spans="1:6" ht="25.8" x14ac:dyDescent="0.5">
      <c r="B17" s="21" t="str">
        <f>IF(B3&gt;0,"Depreciação Equip.","")</f>
        <v/>
      </c>
      <c r="C17" s="22" t="str">
        <f>IF(B3&gt;0,B27*3.75%*B3,"")</f>
        <v/>
      </c>
      <c r="E17" s="63" t="str">
        <f>IF(B24&gt;0,B24,"")</f>
        <v>gerson.provedor@gmail.com</v>
      </c>
      <c r="F17" s="63"/>
    </row>
    <row r="18" spans="1:6" ht="21" x14ac:dyDescent="0.4">
      <c r="B18" s="23" t="s">
        <v>7</v>
      </c>
      <c r="C18" s="24"/>
      <c r="E18" s="66"/>
      <c r="F18" s="66"/>
    </row>
    <row r="19" spans="1:6" ht="25.8" x14ac:dyDescent="0.5">
      <c r="B19" s="21" t="str">
        <f>IF(B3&gt;0,"Valor c/ Desconto","")</f>
        <v/>
      </c>
      <c r="C19" s="22" t="str">
        <f>IF(B3&gt;0,C16-C18,"")</f>
        <v/>
      </c>
      <c r="E19" s="63" t="str">
        <f>IF(B25&gt;0,"Confira a qualidade de nossos trabalhos no site:","")</f>
        <v>Confira a qualidade de nossos trabalhos no site:</v>
      </c>
      <c r="F19" s="63"/>
    </row>
    <row r="20" spans="1:6" ht="25.8" x14ac:dyDescent="0.5">
      <c r="B20" s="21"/>
      <c r="C20" s="22"/>
      <c r="E20" s="69" t="str">
        <f>IF(B25&gt;0,B25,"")</f>
        <v>www.studio.wclinformatica.com</v>
      </c>
      <c r="F20" s="69"/>
    </row>
    <row r="21" spans="1:6" ht="18.600000000000001" thickBot="1" x14ac:dyDescent="0.4"/>
    <row r="22" spans="1:6" x14ac:dyDescent="0.35">
      <c r="A22" s="15" t="s">
        <v>22</v>
      </c>
      <c r="B22" s="70" t="s">
        <v>27</v>
      </c>
      <c r="C22" s="70"/>
      <c r="E22" s="67" t="s">
        <v>31</v>
      </c>
      <c r="F22" s="68"/>
    </row>
    <row r="23" spans="1:6" x14ac:dyDescent="0.35">
      <c r="A23" s="15" t="s">
        <v>24</v>
      </c>
      <c r="B23" s="70" t="s">
        <v>28</v>
      </c>
      <c r="C23" s="70"/>
      <c r="E23" s="16"/>
      <c r="F23" s="17"/>
    </row>
    <row r="24" spans="1:6" x14ac:dyDescent="0.35">
      <c r="A24" s="15" t="s">
        <v>23</v>
      </c>
      <c r="B24" s="72" t="s">
        <v>51</v>
      </c>
      <c r="C24" s="70"/>
      <c r="E24" s="64" t="s">
        <v>32</v>
      </c>
      <c r="F24" s="65"/>
    </row>
    <row r="25" spans="1:6" x14ac:dyDescent="0.35">
      <c r="A25" s="15" t="s">
        <v>26</v>
      </c>
      <c r="B25" s="70" t="s">
        <v>29</v>
      </c>
      <c r="C25" s="70"/>
      <c r="E25" s="64" t="s">
        <v>33</v>
      </c>
      <c r="F25" s="65"/>
    </row>
    <row r="26" spans="1:6" x14ac:dyDescent="0.35">
      <c r="A26" s="15" t="s">
        <v>47</v>
      </c>
      <c r="B26" s="40">
        <v>40</v>
      </c>
      <c r="C26" s="18"/>
      <c r="E26" s="64"/>
      <c r="F26" s="65"/>
    </row>
    <row r="27" spans="1:6" x14ac:dyDescent="0.35">
      <c r="A27" s="15" t="s">
        <v>30</v>
      </c>
      <c r="B27" s="40">
        <v>2000</v>
      </c>
      <c r="C27" s="18"/>
      <c r="E27" s="64" t="s">
        <v>44</v>
      </c>
      <c r="F27" s="65"/>
    </row>
    <row r="28" spans="1:6" x14ac:dyDescent="0.35">
      <c r="A28" s="15" t="s">
        <v>5</v>
      </c>
      <c r="B28" s="41">
        <v>5.5</v>
      </c>
      <c r="E28" s="64" t="s">
        <v>45</v>
      </c>
      <c r="F28" s="65"/>
    </row>
    <row r="29" spans="1:6" x14ac:dyDescent="0.35">
      <c r="A29" s="15" t="s">
        <v>20</v>
      </c>
      <c r="B29" s="41">
        <v>200</v>
      </c>
      <c r="C29" s="20"/>
      <c r="E29" s="64"/>
      <c r="F29" s="65"/>
    </row>
    <row r="30" spans="1:6" x14ac:dyDescent="0.35">
      <c r="A30" s="15" t="s">
        <v>18</v>
      </c>
      <c r="B30" s="41">
        <v>150</v>
      </c>
      <c r="C30" s="20"/>
      <c r="E30" s="64" t="s">
        <v>34</v>
      </c>
      <c r="F30" s="65"/>
    </row>
    <row r="31" spans="1:6" ht="18.600000000000001" thickBot="1" x14ac:dyDescent="0.4">
      <c r="A31" s="15" t="s">
        <v>19</v>
      </c>
      <c r="B31" s="41">
        <v>0</v>
      </c>
      <c r="C31" s="20"/>
      <c r="E31" s="43" t="s">
        <v>35</v>
      </c>
      <c r="F31" s="44"/>
    </row>
    <row r="32" spans="1:6" ht="18.600000000000001" thickBot="1" x14ac:dyDescent="0.4">
      <c r="A32" s="15" t="s">
        <v>17</v>
      </c>
      <c r="B32" s="41">
        <v>7658</v>
      </c>
      <c r="C32" s="20"/>
      <c r="E32" s="45"/>
      <c r="F32" s="45"/>
    </row>
    <row r="33" spans="1:6" x14ac:dyDescent="0.35">
      <c r="A33" s="15" t="s">
        <v>21</v>
      </c>
      <c r="B33" s="42">
        <v>11</v>
      </c>
      <c r="E33" s="46" t="s">
        <v>46</v>
      </c>
      <c r="F33" s="47"/>
    </row>
    <row r="34" spans="1:6" x14ac:dyDescent="0.35">
      <c r="A34" s="15" t="s">
        <v>6</v>
      </c>
      <c r="B34" s="41">
        <v>5.3</v>
      </c>
      <c r="E34" s="48" t="s">
        <v>36</v>
      </c>
      <c r="F34" s="49"/>
    </row>
    <row r="35" spans="1:6" ht="18.600000000000001" thickBot="1" x14ac:dyDescent="0.4">
      <c r="A35" s="15" t="s">
        <v>13</v>
      </c>
      <c r="B35" s="41">
        <v>150</v>
      </c>
      <c r="E35" s="50" t="s">
        <v>37</v>
      </c>
      <c r="F35" s="51"/>
    </row>
    <row r="36" spans="1:6" ht="18.600000000000001" thickBot="1" x14ac:dyDescent="0.4">
      <c r="A36" s="15" t="s">
        <v>14</v>
      </c>
      <c r="B36" s="41">
        <v>300</v>
      </c>
      <c r="C36" s="4"/>
      <c r="E36" s="45"/>
      <c r="F36" s="45"/>
    </row>
    <row r="37" spans="1:6" x14ac:dyDescent="0.35">
      <c r="A37" s="15" t="s">
        <v>48</v>
      </c>
      <c r="B37" s="41">
        <v>35</v>
      </c>
      <c r="C37" s="4"/>
      <c r="E37" s="53" t="s">
        <v>38</v>
      </c>
      <c r="F37" s="54"/>
    </row>
    <row r="38" spans="1:6" x14ac:dyDescent="0.35">
      <c r="A38" s="14" t="str">
        <f>IF(B38&gt;0,"Valor da Edição Básica (Minuto)","")</f>
        <v>Valor da Edição Básica (Minuto)</v>
      </c>
      <c r="B38" s="33">
        <f>B30/220</f>
        <v>0.68181818181818177</v>
      </c>
      <c r="E38" s="55" t="s">
        <v>39</v>
      </c>
      <c r="F38" s="56"/>
    </row>
    <row r="39" spans="1:6" ht="18.75" customHeight="1" x14ac:dyDescent="0.35">
      <c r="A39" s="14" t="str">
        <f>IF(B39&gt;0,"Valor da Edição Profissional (Minuto)","")</f>
        <v>Valor da Edição Profissional (Minuto)</v>
      </c>
      <c r="B39" s="33">
        <f>B30/220*2</f>
        <v>1.3636363636363635</v>
      </c>
      <c r="E39" s="57" t="s">
        <v>40</v>
      </c>
      <c r="F39" s="58"/>
    </row>
    <row r="40" spans="1:6" ht="18.600000000000001" thickBot="1" x14ac:dyDescent="0.4">
      <c r="A40" s="14" t="str">
        <f>IF(B40&gt;0,"Valor de 1 Foto Aérea","")</f>
        <v>Valor de 1 Foto Aérea</v>
      </c>
      <c r="B40" s="32">
        <f>B29/220/2</f>
        <v>0.45454545454545453</v>
      </c>
      <c r="E40" s="50" t="s">
        <v>41</v>
      </c>
      <c r="F40" s="51"/>
    </row>
    <row r="41" spans="1:6" x14ac:dyDescent="0.35">
      <c r="A41" s="14" t="str">
        <f>IF(B41&gt;0,"Valor da filmagem (Por Minuto)","")</f>
        <v/>
      </c>
      <c r="B41" s="32">
        <f>B31/220/6</f>
        <v>0</v>
      </c>
    </row>
    <row r="42" spans="1:6" x14ac:dyDescent="0.35">
      <c r="A42" s="14" t="str">
        <f>IF(B42&gt;0,"Valor do vôo (Por Minuto)","")</f>
        <v>Valor do vôo (Por Minuto)</v>
      </c>
      <c r="B42" s="32">
        <f>B32/220/8</f>
        <v>4.351136363636364</v>
      </c>
    </row>
    <row r="44" spans="1:6" x14ac:dyDescent="0.35">
      <c r="A44" s="52" t="str">
        <f>IF(B3&gt;0,"RESUMO DOS LUCROS","")</f>
        <v/>
      </c>
      <c r="B44" s="52"/>
    </row>
    <row r="45" spans="1:6" x14ac:dyDescent="0.35">
      <c r="A45" s="29" t="e">
        <f>IF(C17,"Despesa de Equipamento:","")</f>
        <v>#VALUE!</v>
      </c>
      <c r="B45" s="27" t="str">
        <f>IF(B27&gt;0,C17,"")</f>
        <v/>
      </c>
    </row>
    <row r="46" spans="1:6" x14ac:dyDescent="0.35">
      <c r="A46" s="26" t="str">
        <f>IF(B46&gt;0,"Matéria prima (DVD, Pen-drive):","")</f>
        <v/>
      </c>
      <c r="B46" s="28">
        <f>SUM(C12:C13)</f>
        <v>0</v>
      </c>
    </row>
    <row r="47" spans="1:6" x14ac:dyDescent="0.35">
      <c r="A47" s="29" t="str">
        <f>IF(B47&gt;0,"Despesa com veículo + viagem:","")</f>
        <v/>
      </c>
      <c r="B47" s="28">
        <f>SUM(C4:C7)</f>
        <v>0</v>
      </c>
    </row>
    <row r="48" spans="1:6" x14ac:dyDescent="0.35">
      <c r="A48" s="29" t="str">
        <f>IF(B15&gt;0,"Despesa com funcionário (Extra):","")</f>
        <v/>
      </c>
      <c r="B48" s="27" t="str">
        <f>IF(C15&gt;0,C15,"")</f>
        <v/>
      </c>
    </row>
    <row r="49" spans="1:2" x14ac:dyDescent="0.35">
      <c r="A49" s="29" t="str">
        <f>IF(B5&gt;0,"Diária de Transporte:","")</f>
        <v/>
      </c>
      <c r="B49" s="27" t="str">
        <f>IF(B5&gt;0,B26,"")</f>
        <v/>
      </c>
    </row>
    <row r="50" spans="1:2" ht="19.8" x14ac:dyDescent="0.35">
      <c r="A50" s="30" t="e">
        <f>IF(B50&gt;0,"Lucro Líquido (Média):","")</f>
        <v>#VALUE!</v>
      </c>
      <c r="B50" s="31" t="e">
        <f>F11-(SUM(B43:SOB48))</f>
        <v>#VALUE!</v>
      </c>
    </row>
    <row r="51" spans="1:2" x14ac:dyDescent="0.35">
      <c r="A51" s="14"/>
      <c r="B51" s="14"/>
    </row>
    <row r="52" spans="1:2" x14ac:dyDescent="0.35">
      <c r="A52" s="14"/>
      <c r="B52" s="14"/>
    </row>
    <row r="53" spans="1:2" x14ac:dyDescent="0.35">
      <c r="A53" s="14"/>
      <c r="B53" s="14"/>
    </row>
    <row r="54" spans="1:2" x14ac:dyDescent="0.35">
      <c r="A54" s="14"/>
      <c r="B54" s="14"/>
    </row>
    <row r="55" spans="1:2" x14ac:dyDescent="0.35">
      <c r="A55" s="14"/>
      <c r="B55" s="14"/>
    </row>
    <row r="56" spans="1:2" x14ac:dyDescent="0.35">
      <c r="A56" s="14"/>
      <c r="B56" s="14"/>
    </row>
    <row r="57" spans="1:2" x14ac:dyDescent="0.35">
      <c r="A57" s="14"/>
      <c r="B57" s="14"/>
    </row>
    <row r="58" spans="1:2" x14ac:dyDescent="0.35">
      <c r="A58" s="14"/>
      <c r="B58" s="14"/>
    </row>
    <row r="59" spans="1:2" x14ac:dyDescent="0.35">
      <c r="A59" s="14"/>
      <c r="B59" s="14"/>
    </row>
    <row r="60" spans="1:2" x14ac:dyDescent="0.35">
      <c r="A60" s="14"/>
      <c r="B60" s="14"/>
    </row>
    <row r="61" spans="1:2" x14ac:dyDescent="0.35">
      <c r="A61" s="14"/>
      <c r="B61" s="14"/>
    </row>
    <row r="62" spans="1:2" x14ac:dyDescent="0.35">
      <c r="A62" s="14"/>
      <c r="B62" s="14"/>
    </row>
    <row r="63" spans="1:2" x14ac:dyDescent="0.35">
      <c r="A63" s="14"/>
      <c r="B63" s="14"/>
    </row>
    <row r="64" spans="1:2" x14ac:dyDescent="0.35">
      <c r="A64" s="14"/>
      <c r="B64" s="14"/>
    </row>
    <row r="65" spans="1:2" x14ac:dyDescent="0.35">
      <c r="A65" s="14"/>
      <c r="B65" s="14"/>
    </row>
    <row r="66" spans="1:2" x14ac:dyDescent="0.35">
      <c r="A66" s="14"/>
      <c r="B66" s="14"/>
    </row>
    <row r="67" spans="1:2" x14ac:dyDescent="0.35">
      <c r="A67" s="14"/>
      <c r="B67" s="14"/>
    </row>
    <row r="68" spans="1:2" x14ac:dyDescent="0.35">
      <c r="A68" s="14"/>
      <c r="B68" s="14"/>
    </row>
    <row r="69" spans="1:2" x14ac:dyDescent="0.35">
      <c r="A69" s="14"/>
      <c r="B69" s="14"/>
    </row>
    <row r="70" spans="1:2" x14ac:dyDescent="0.35">
      <c r="A70" s="14"/>
      <c r="B70" s="14"/>
    </row>
    <row r="71" spans="1:2" x14ac:dyDescent="0.35">
      <c r="A71" s="14"/>
      <c r="B71" s="14"/>
    </row>
    <row r="72" spans="1:2" x14ac:dyDescent="0.35">
      <c r="A72" s="14"/>
      <c r="B72" s="14"/>
    </row>
    <row r="73" spans="1:2" x14ac:dyDescent="0.35">
      <c r="A73" s="14"/>
      <c r="B73" s="14"/>
    </row>
    <row r="74" spans="1:2" x14ac:dyDescent="0.35">
      <c r="A74" s="14"/>
      <c r="B74" s="14"/>
    </row>
    <row r="75" spans="1:2" x14ac:dyDescent="0.35">
      <c r="A75" s="14"/>
      <c r="B75" s="14"/>
    </row>
    <row r="76" spans="1:2" x14ac:dyDescent="0.35">
      <c r="A76" s="14"/>
      <c r="B76" s="14"/>
    </row>
    <row r="77" spans="1:2" x14ac:dyDescent="0.35">
      <c r="A77" s="14"/>
      <c r="B77" s="14"/>
    </row>
    <row r="78" spans="1:2" x14ac:dyDescent="0.35">
      <c r="A78" s="14"/>
      <c r="B78" s="14"/>
    </row>
    <row r="79" spans="1:2" x14ac:dyDescent="0.35">
      <c r="A79" s="14"/>
      <c r="B79" s="14"/>
    </row>
    <row r="80" spans="1:2" x14ac:dyDescent="0.35">
      <c r="A80" s="14"/>
      <c r="B80" s="14"/>
    </row>
    <row r="81" spans="1:2" x14ac:dyDescent="0.35">
      <c r="A81" s="14"/>
      <c r="B81" s="14"/>
    </row>
    <row r="82" spans="1:2" x14ac:dyDescent="0.35">
      <c r="A82" s="14"/>
      <c r="B82" s="14"/>
    </row>
    <row r="83" spans="1:2" x14ac:dyDescent="0.35">
      <c r="A83" s="14"/>
      <c r="B83" s="14"/>
    </row>
    <row r="84" spans="1:2" x14ac:dyDescent="0.35">
      <c r="A84" s="14"/>
      <c r="B84" s="14"/>
    </row>
    <row r="85" spans="1:2" x14ac:dyDescent="0.35">
      <c r="A85" s="14"/>
      <c r="B85" s="14"/>
    </row>
    <row r="86" spans="1:2" x14ac:dyDescent="0.35">
      <c r="A86" s="14"/>
      <c r="B86" s="14"/>
    </row>
    <row r="87" spans="1:2" x14ac:dyDescent="0.35">
      <c r="A87" s="14"/>
      <c r="B87" s="14"/>
    </row>
    <row r="88" spans="1:2" x14ac:dyDescent="0.35">
      <c r="A88" s="14"/>
      <c r="B88" s="14"/>
    </row>
    <row r="89" spans="1:2" x14ac:dyDescent="0.35">
      <c r="A89" s="14"/>
      <c r="B89" s="14"/>
    </row>
    <row r="90" spans="1:2" x14ac:dyDescent="0.35">
      <c r="A90" s="14"/>
      <c r="B90" s="14"/>
    </row>
    <row r="91" spans="1:2" x14ac:dyDescent="0.35">
      <c r="A91" s="14"/>
      <c r="B91" s="14"/>
    </row>
    <row r="92" spans="1:2" x14ac:dyDescent="0.35">
      <c r="A92" s="14"/>
      <c r="B92" s="14"/>
    </row>
    <row r="93" spans="1:2" x14ac:dyDescent="0.35">
      <c r="A93" s="14"/>
      <c r="B93" s="14"/>
    </row>
    <row r="94" spans="1:2" x14ac:dyDescent="0.35">
      <c r="A94" s="14"/>
      <c r="B94" s="14"/>
    </row>
    <row r="95" spans="1:2" x14ac:dyDescent="0.35">
      <c r="A95" s="14"/>
      <c r="B95" s="14"/>
    </row>
    <row r="96" spans="1:2" x14ac:dyDescent="0.35">
      <c r="A96" s="14"/>
      <c r="B96" s="14"/>
    </row>
    <row r="97" spans="1:2" x14ac:dyDescent="0.35">
      <c r="A97" s="14"/>
      <c r="B97" s="14"/>
    </row>
    <row r="98" spans="1:2" x14ac:dyDescent="0.35">
      <c r="A98" s="14"/>
      <c r="B98" s="14"/>
    </row>
    <row r="99" spans="1:2" x14ac:dyDescent="0.35">
      <c r="A99" s="14"/>
      <c r="B99" s="14"/>
    </row>
    <row r="100" spans="1:2" x14ac:dyDescent="0.35">
      <c r="A100" s="14"/>
      <c r="B100" s="14"/>
    </row>
    <row r="101" spans="1:2" x14ac:dyDescent="0.35">
      <c r="A101" s="14"/>
      <c r="B101" s="14"/>
    </row>
    <row r="102" spans="1:2" x14ac:dyDescent="0.35">
      <c r="A102" s="14"/>
      <c r="B102" s="14"/>
    </row>
    <row r="103" spans="1:2" x14ac:dyDescent="0.35">
      <c r="A103" s="14"/>
      <c r="B103" s="14"/>
    </row>
    <row r="104" spans="1:2" x14ac:dyDescent="0.35">
      <c r="A104" s="14"/>
      <c r="B104" s="14"/>
    </row>
    <row r="105" spans="1:2" x14ac:dyDescent="0.35">
      <c r="A105" s="14"/>
      <c r="B105" s="14"/>
    </row>
    <row r="106" spans="1:2" x14ac:dyDescent="0.35">
      <c r="A106" s="14"/>
      <c r="B106" s="14"/>
    </row>
    <row r="107" spans="1:2" x14ac:dyDescent="0.35">
      <c r="A107" s="14"/>
      <c r="B107" s="14"/>
    </row>
    <row r="108" spans="1:2" x14ac:dyDescent="0.35">
      <c r="A108" s="14"/>
      <c r="B108" s="14"/>
    </row>
    <row r="109" spans="1:2" x14ac:dyDescent="0.35">
      <c r="A109" s="14"/>
      <c r="B109" s="14"/>
    </row>
    <row r="110" spans="1:2" x14ac:dyDescent="0.35">
      <c r="A110" s="14"/>
      <c r="B110" s="14"/>
    </row>
    <row r="111" spans="1:2" x14ac:dyDescent="0.35">
      <c r="A111" s="14"/>
      <c r="B111" s="14"/>
    </row>
    <row r="112" spans="1:2" x14ac:dyDescent="0.35">
      <c r="A112" s="14"/>
      <c r="B112" s="14"/>
    </row>
    <row r="113" spans="1:2" x14ac:dyDescent="0.35">
      <c r="A113" s="14"/>
      <c r="B113" s="14"/>
    </row>
    <row r="114" spans="1:2" x14ac:dyDescent="0.35">
      <c r="A114" s="14"/>
      <c r="B114" s="14"/>
    </row>
    <row r="115" spans="1:2" x14ac:dyDescent="0.35">
      <c r="A115" s="14"/>
      <c r="B115" s="14"/>
    </row>
    <row r="116" spans="1:2" x14ac:dyDescent="0.35">
      <c r="A116" s="14"/>
      <c r="B116" s="14"/>
    </row>
    <row r="117" spans="1:2" x14ac:dyDescent="0.35">
      <c r="A117" s="14"/>
      <c r="B117" s="14"/>
    </row>
    <row r="118" spans="1:2" x14ac:dyDescent="0.35">
      <c r="A118" s="14"/>
      <c r="B118" s="14"/>
    </row>
    <row r="119" spans="1:2" x14ac:dyDescent="0.35">
      <c r="A119" s="14"/>
      <c r="B119" s="14"/>
    </row>
    <row r="120" spans="1:2" x14ac:dyDescent="0.35">
      <c r="A120" s="14"/>
      <c r="B120" s="14"/>
    </row>
    <row r="121" spans="1:2" x14ac:dyDescent="0.35">
      <c r="A121" s="14"/>
      <c r="B121" s="14"/>
    </row>
    <row r="122" spans="1:2" x14ac:dyDescent="0.35">
      <c r="A122" s="14"/>
      <c r="B122" s="14"/>
    </row>
    <row r="123" spans="1:2" x14ac:dyDescent="0.35">
      <c r="A123" s="14"/>
      <c r="B123" s="14"/>
    </row>
    <row r="124" spans="1:2" x14ac:dyDescent="0.35">
      <c r="A124" s="14"/>
      <c r="B124" s="14"/>
    </row>
    <row r="125" spans="1:2" x14ac:dyDescent="0.35">
      <c r="A125" s="14"/>
      <c r="B125" s="14"/>
    </row>
    <row r="126" spans="1:2" x14ac:dyDescent="0.35">
      <c r="A126" s="14"/>
      <c r="B126" s="14"/>
    </row>
    <row r="127" spans="1:2" x14ac:dyDescent="0.35">
      <c r="A127" s="14"/>
      <c r="B127" s="14"/>
    </row>
    <row r="128" spans="1:2" x14ac:dyDescent="0.35">
      <c r="A128" s="14"/>
      <c r="B128" s="14"/>
    </row>
    <row r="129" spans="1:2" x14ac:dyDescent="0.35">
      <c r="A129" s="14"/>
      <c r="B129" s="14"/>
    </row>
    <row r="130" spans="1:2" x14ac:dyDescent="0.35">
      <c r="A130" s="14"/>
      <c r="B130" s="14"/>
    </row>
  </sheetData>
  <sheetProtection algorithmName="SHA-512" hashValue="DsyJEiygO8vc8e1Q8/0RofWWq3OW/gJqq2z1/yRmHh8onU2KIOzwiMXRkB9RVR6du9y6Q0zJxlfWBZbacOgHAw==" saltValue="fzJE73qgI6XEZw2sFslbNw==" spinCount="100000" sheet="1" objects="1" scenarios="1" selectLockedCells="1"/>
  <mergeCells count="33">
    <mergeCell ref="B23:C23"/>
    <mergeCell ref="E30:F30"/>
    <mergeCell ref="E16:F16"/>
    <mergeCell ref="B2:C2"/>
    <mergeCell ref="E26:F26"/>
    <mergeCell ref="E27:F27"/>
    <mergeCell ref="E28:F28"/>
    <mergeCell ref="E29:F29"/>
    <mergeCell ref="B24:C24"/>
    <mergeCell ref="B25:C25"/>
    <mergeCell ref="B22:C22"/>
    <mergeCell ref="E1:F1"/>
    <mergeCell ref="E2:F2"/>
    <mergeCell ref="E5:F5"/>
    <mergeCell ref="E15:F15"/>
    <mergeCell ref="E25:F25"/>
    <mergeCell ref="E17:F17"/>
    <mergeCell ref="E18:F18"/>
    <mergeCell ref="E19:F19"/>
    <mergeCell ref="E24:F24"/>
    <mergeCell ref="E22:F22"/>
    <mergeCell ref="E20:F20"/>
    <mergeCell ref="A44:B44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</mergeCells>
  <conditionalFormatting sqref="F11">
    <cfRule type="cellIs" dxfId="35" priority="54" operator="greaterThan">
      <formula>$F$12</formula>
    </cfRule>
  </conditionalFormatting>
  <conditionalFormatting sqref="B16">
    <cfRule type="notContainsBlanks" dxfId="34" priority="58">
      <formula>LEN(TRIM(B16))&gt;0</formula>
    </cfRule>
  </conditionalFormatting>
  <conditionalFormatting sqref="C16">
    <cfRule type="notContainsBlanks" dxfId="33" priority="59">
      <formula>LEN(TRIM(C16))&gt;0</formula>
    </cfRule>
  </conditionalFormatting>
  <conditionalFormatting sqref="B17">
    <cfRule type="notContainsBlanks" dxfId="32" priority="57">
      <formula>LEN(TRIM(B17))&gt;0</formula>
    </cfRule>
  </conditionalFormatting>
  <conditionalFormatting sqref="C17">
    <cfRule type="notContainsBlanks" dxfId="31" priority="38">
      <formula>LEN(TRIM(C17))&gt;0</formula>
    </cfRule>
  </conditionalFormatting>
  <conditionalFormatting sqref="B18">
    <cfRule type="notContainsBlanks" dxfId="30" priority="37">
      <formula>LEN(TRIM(B18))&gt;0</formula>
    </cfRule>
  </conditionalFormatting>
  <conditionalFormatting sqref="C19 B20:C20">
    <cfRule type="notContainsBlanks" dxfId="29" priority="34">
      <formula>LEN(TRIM(B19))&gt;0</formula>
    </cfRule>
  </conditionalFormatting>
  <conditionalFormatting sqref="B19">
    <cfRule type="notContainsBlanks" dxfId="28" priority="33">
      <formula>LEN(TRIM(B19))&gt;0</formula>
    </cfRule>
  </conditionalFormatting>
  <conditionalFormatting sqref="E19:F19">
    <cfRule type="notContainsBlanks" dxfId="27" priority="32">
      <formula>LEN(TRIM(E19))&gt;0</formula>
    </cfRule>
  </conditionalFormatting>
  <conditionalFormatting sqref="E20:F20">
    <cfRule type="notContainsBlanks" dxfId="26" priority="31">
      <formula>LEN(TRIM(E20))&gt;0</formula>
    </cfRule>
  </conditionalFormatting>
  <conditionalFormatting sqref="E15:F15">
    <cfRule type="notContainsBlanks" dxfId="25" priority="30">
      <formula>LEN(TRIM(E15))&gt;0</formula>
    </cfRule>
  </conditionalFormatting>
  <conditionalFormatting sqref="E16:F16">
    <cfRule type="notContainsBlanks" dxfId="24" priority="29">
      <formula>LEN(TRIM(E16))&gt;0</formula>
    </cfRule>
  </conditionalFormatting>
  <conditionalFormatting sqref="E17:F17">
    <cfRule type="notContainsBlanks" dxfId="23" priority="28">
      <formula>LEN(TRIM(E17))&gt;0</formula>
    </cfRule>
  </conditionalFormatting>
  <conditionalFormatting sqref="E6">
    <cfRule type="notContainsBlanks" dxfId="22" priority="64">
      <formula>LEN(TRIM(E6))&gt;0</formula>
    </cfRule>
  </conditionalFormatting>
  <conditionalFormatting sqref="E7">
    <cfRule type="notContainsBlanks" dxfId="21" priority="26">
      <formula>LEN(TRIM(E7))&gt;0</formula>
    </cfRule>
  </conditionalFormatting>
  <conditionalFormatting sqref="E8">
    <cfRule type="notContainsBlanks" dxfId="20" priority="25">
      <formula>LEN(TRIM(E8))&gt;0</formula>
    </cfRule>
  </conditionalFormatting>
  <conditionalFormatting sqref="F6">
    <cfRule type="notContainsBlanks" dxfId="19" priority="65">
      <formula>LEN(TRIM(F6))&gt;0</formula>
    </cfRule>
  </conditionalFormatting>
  <conditionalFormatting sqref="F7">
    <cfRule type="notContainsBlanks" dxfId="18" priority="23">
      <formula>LEN(TRIM(F7))&gt;0</formula>
    </cfRule>
  </conditionalFormatting>
  <conditionalFormatting sqref="F8">
    <cfRule type="notContainsBlanks" dxfId="17" priority="22">
      <formula>LEN(TRIM(F8))&gt;0</formula>
    </cfRule>
  </conditionalFormatting>
  <conditionalFormatting sqref="F3">
    <cfRule type="containsText" dxfId="16" priority="21" operator="containsText" text="Será decidida">
      <formula>NOT(ISERROR(SEARCH("Será decidida",F3)))</formula>
    </cfRule>
  </conditionalFormatting>
  <conditionalFormatting sqref="A44:B44">
    <cfRule type="notContainsBlanks" dxfId="15" priority="20">
      <formula>LEN(TRIM(A44))&gt;0</formula>
    </cfRule>
  </conditionalFormatting>
  <conditionalFormatting sqref="B46:B47">
    <cfRule type="cellIs" dxfId="14" priority="19" operator="greaterThan">
      <formula>0.1</formula>
    </cfRule>
  </conditionalFormatting>
  <conditionalFormatting sqref="A47:A49">
    <cfRule type="notContainsBlanks" dxfId="13" priority="16">
      <formula>LEN(TRIM(A47))&gt;0</formula>
    </cfRule>
    <cfRule type="notContainsErrors" dxfId="12" priority="17">
      <formula>NOT(ISERROR(A47))</formula>
    </cfRule>
  </conditionalFormatting>
  <conditionalFormatting sqref="A46 A38:A42">
    <cfRule type="notContainsBlanks" dxfId="11" priority="15">
      <formula>LEN(TRIM(A38))&gt;0</formula>
    </cfRule>
  </conditionalFormatting>
  <conditionalFormatting sqref="A45">
    <cfRule type="notContainsErrors" dxfId="10" priority="63">
      <formula>NOT(ISERROR(A45))</formula>
    </cfRule>
  </conditionalFormatting>
  <conditionalFormatting sqref="B45">
    <cfRule type="notContainsBlanks" dxfId="9" priority="13">
      <formula>LEN(TRIM(B45))&gt;0</formula>
    </cfRule>
  </conditionalFormatting>
  <conditionalFormatting sqref="B48:B49">
    <cfRule type="notContainsBlanks" dxfId="8" priority="11">
      <formula>LEN(TRIM(B48))&gt;0</formula>
    </cfRule>
  </conditionalFormatting>
  <conditionalFormatting sqref="A50">
    <cfRule type="notContainsErrors" dxfId="7" priority="62">
      <formula>NOT(ISERROR(A50))</formula>
    </cfRule>
  </conditionalFormatting>
  <conditionalFormatting sqref="B50">
    <cfRule type="notContainsErrors" dxfId="6" priority="61">
      <formula>NOT(ISERROR(B50))</formula>
    </cfRule>
  </conditionalFormatting>
  <conditionalFormatting sqref="B40">
    <cfRule type="cellIs" dxfId="5" priority="7" operator="greaterThan">
      <formula>0.01</formula>
    </cfRule>
  </conditionalFormatting>
  <conditionalFormatting sqref="B42">
    <cfRule type="cellIs" dxfId="4" priority="6" operator="greaterThan">
      <formula>0.01</formula>
    </cfRule>
  </conditionalFormatting>
  <conditionalFormatting sqref="B41">
    <cfRule type="cellIs" dxfId="3" priority="5" operator="greaterThan">
      <formula>0.01</formula>
    </cfRule>
  </conditionalFormatting>
  <conditionalFormatting sqref="B38">
    <cfRule type="cellIs" dxfId="2" priority="4" operator="greaterThan">
      <formula>0.01</formula>
    </cfRule>
  </conditionalFormatting>
  <conditionalFormatting sqref="B39">
    <cfRule type="cellIs" dxfId="1" priority="3" operator="greaterThan">
      <formula>0.01</formula>
    </cfRule>
  </conditionalFormatting>
  <conditionalFormatting sqref="C3 C5:C15">
    <cfRule type="notContainsBlanks" dxfId="0" priority="1">
      <formula>LEN(TRIM(C3))&gt;0</formula>
    </cfRule>
  </conditionalFormatting>
  <hyperlinks>
    <hyperlink ref="E35" r:id="rId1" xr:uid="{00000000-0004-0000-0000-000000000000}"/>
    <hyperlink ref="E39" r:id="rId2" xr:uid="{00000000-0004-0000-0000-000001000000}"/>
    <hyperlink ref="E40" r:id="rId3" xr:uid="{00000000-0004-0000-0000-000002000000}"/>
    <hyperlink ref="E39:F39" r:id="rId4" tooltip="Visite e Inscreva no canal: Wesley Correa Leal" display="www.youtube.com.br/wesleycorrealeal" xr:uid="{00000000-0004-0000-0000-000003000000}"/>
    <hyperlink ref="E40:F40" r:id="rId5" tooltip="Visite e Inscreva no canal: Wesley Correa Leal" display="http://goo.gl/Ft9PTC" xr:uid="{00000000-0004-0000-0000-000004000000}"/>
    <hyperlink ref="E35:F35" r:id="rId6" tooltip="Acesse e atualize sua Planilha..." display="www.wclinformatica.com/drone/planilha/" xr:uid="{00000000-0004-0000-0000-000005000000}"/>
  </hyperlinks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Serviços de Filmagem (Drones)</vt:lpstr>
      <vt:lpstr>'Serviços de Filmagem (Drones)'!Area_de_impressao</vt:lpstr>
    </vt:vector>
  </TitlesOfParts>
  <Manager>Wesley Correa Leal</Manager>
  <Company>WCL Sistemas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Orçamento (Drones)</dc:title>
  <dc:subject>Orçamento para Trabalhos/Serviços</dc:subject>
  <dc:creator>Wesley Correa Leal</dc:creator>
  <cp:keywords>www.wclinformatica.com</cp:keywords>
  <dc:description>Todos os direitos reservados</dc:description>
  <cp:lastModifiedBy>Erison Barros</cp:lastModifiedBy>
  <cp:revision>2</cp:revision>
  <cp:lastPrinted>2018-09-04T16:52:37Z</cp:lastPrinted>
  <dcterms:created xsi:type="dcterms:W3CDTF">2018-01-29T01:50:39Z</dcterms:created>
  <dcterms:modified xsi:type="dcterms:W3CDTF">2023-04-23T14:27:34Z</dcterms:modified>
  <cp:category>Orçamento</cp:category>
  <cp:version>04-09-2018</cp:version>
</cp:coreProperties>
</file>