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36" documentId="8_{9E2BD556-6EAB-4357-8D8E-EAE2083B450D}" xr6:coauthVersionLast="47" xr6:coauthVersionMax="47" xr10:uidLastSave="{ADF30057-FE08-43E4-8886-9D6516E1810F}"/>
  <bookViews>
    <workbookView minimized="1" xWindow="1500" yWindow="1500" windowWidth="17280" windowHeight="8880" xr2:uid="{915341F2-1DC5-4212-B51B-CFAA45D5C26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1" i="1"/>
  <c r="F20" i="1"/>
  <c r="F19" i="1"/>
  <c r="F18" i="1"/>
  <c r="E22" i="1" s="1"/>
  <c r="F15" i="1"/>
  <c r="F14" i="1"/>
  <c r="F13" i="1"/>
  <c r="F12" i="1"/>
  <c r="E16" i="1" s="1"/>
  <c r="F6" i="1"/>
  <c r="F3" i="1"/>
  <c r="F7" i="1"/>
  <c r="F9" i="1"/>
  <c r="F8" i="1"/>
  <c r="E10" i="1" l="1"/>
  <c r="E4" i="1"/>
</calcChain>
</file>

<file path=xl/sharedStrings.xml><?xml version="1.0" encoding="utf-8"?>
<sst xmlns="http://schemas.openxmlformats.org/spreadsheetml/2006/main" count="58" uniqueCount="26">
  <si>
    <t>ITENS</t>
  </si>
  <si>
    <t>DESCRIÇÃO</t>
  </si>
  <si>
    <t>UND</t>
  </si>
  <si>
    <t>QUANT.</t>
  </si>
  <si>
    <t>PREÇO UNITÁRIIO</t>
  </si>
  <si>
    <t>PREÇO</t>
  </si>
  <si>
    <t>1.0</t>
  </si>
  <si>
    <t xml:space="preserve">Mobilização </t>
  </si>
  <si>
    <t>1.1</t>
  </si>
  <si>
    <t>Mobilização de equipamentos e pessoas para realização do levantamento para adquação do levantamento para atender as especificações do Manual de Georreferenciamento</t>
  </si>
  <si>
    <t>VERBA</t>
  </si>
  <si>
    <t>2.0</t>
  </si>
  <si>
    <t>2.1</t>
  </si>
  <si>
    <t>Serviços de campo para medição e Georreferenciamento dos vértices definidores do perímetro total conforme estabelece o Manual Técnico de Georreferenciamento Imóveis Rurais 2022.</t>
  </si>
  <si>
    <t>hectares</t>
  </si>
  <si>
    <t>2.2</t>
  </si>
  <si>
    <t>Serviços de Gabinete: processamento e análise de dados, elaboração de planilhas eletrônicas, relatórios, cálculos.</t>
  </si>
  <si>
    <t>2.3</t>
  </si>
  <si>
    <t>Serviço de Gabinete: Criação de Requerimentos e peças técnicas (Elaboração de planta em CAD e cálculos necessários com impressão em formato ABNT em 3 vias com a elaboração do memorial descritivo, com Registro de ART junto ao CREA, Honorários de responsabilidade técnica e consultoria) para subsidiar a averbação das matriculas Remanescente e desmembrada</t>
  </si>
  <si>
    <t>Serviço de Reconhecimento dos Limites Presentes da Matricula  para levantamento em in-loco.</t>
  </si>
  <si>
    <t>2.4</t>
  </si>
  <si>
    <t>Valor Total</t>
  </si>
  <si>
    <t>SUB-TOTAL</t>
  </si>
  <si>
    <t>Georreferenciamento - Área  1</t>
  </si>
  <si>
    <t>Georreferenciamento - Área  2</t>
  </si>
  <si>
    <t>Georreferenciamento - Área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</si>
</sst>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2"/>
      <color rgb="FF000000"/>
      <name val="Arial"/>
      <family val="2"/>
    </font>
    <font>
      <sz val="9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8" fontId="4" fillId="0" borderId="4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4" fontId="4" fillId="0" borderId="9" xfId="1" applyFont="1" applyBorder="1" applyAlignment="1">
      <alignment horizontal="center" vertical="center" wrapText="1"/>
    </xf>
    <xf numFmtId="0" fontId="0" fillId="4" borderId="0" xfId="0" applyFill="1"/>
    <xf numFmtId="0" fontId="2" fillId="5" borderId="10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8" fontId="4" fillId="5" borderId="9" xfId="1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vertical="top" wrapText="1"/>
    </xf>
    <xf numFmtId="44" fontId="7" fillId="4" borderId="0" xfId="0" applyNumberFormat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AF9C-9C08-483A-9C5A-A9043D27E687}">
  <dimension ref="A1:F23"/>
  <sheetViews>
    <sheetView tabSelected="1" workbookViewId="0">
      <selection activeCell="F23" sqref="A1:F23"/>
    </sheetView>
  </sheetViews>
  <sheetFormatPr defaultRowHeight="14.4" x14ac:dyDescent="0.3"/>
  <cols>
    <col min="2" max="2" width="40.109375" customWidth="1"/>
    <col min="3" max="3" width="9.44140625" customWidth="1"/>
    <col min="4" max="4" width="6.33203125" bestFit="1" customWidth="1"/>
    <col min="5" max="5" width="16.109375" customWidth="1"/>
    <col min="6" max="6" width="17.77734375" customWidth="1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5" t="s">
        <v>5</v>
      </c>
    </row>
    <row r="2" spans="1:6" ht="15.6" thickBot="1" x14ac:dyDescent="0.35">
      <c r="A2" s="4" t="s">
        <v>6</v>
      </c>
      <c r="B2" s="5" t="s">
        <v>7</v>
      </c>
      <c r="C2" s="6"/>
      <c r="D2" s="6"/>
      <c r="E2" s="7"/>
      <c r="F2" s="16"/>
    </row>
    <row r="3" spans="1:6" ht="48.6" thickBot="1" x14ac:dyDescent="0.35">
      <c r="A3" s="8" t="s">
        <v>8</v>
      </c>
      <c r="B3" s="9" t="s">
        <v>9</v>
      </c>
      <c r="C3" s="10" t="s">
        <v>10</v>
      </c>
      <c r="D3" s="10">
        <v>1</v>
      </c>
      <c r="E3" s="19">
        <v>1000</v>
      </c>
      <c r="F3" s="17">
        <f>D3*E3</f>
        <v>1000</v>
      </c>
    </row>
    <row r="4" spans="1:6" ht="15" thickBot="1" x14ac:dyDescent="0.35">
      <c r="A4" s="21" t="s">
        <v>22</v>
      </c>
      <c r="B4" s="22"/>
      <c r="C4" s="22"/>
      <c r="D4" s="23"/>
      <c r="E4" s="24">
        <f>F3</f>
        <v>1000</v>
      </c>
      <c r="F4" s="17"/>
    </row>
    <row r="5" spans="1:6" ht="15.6" thickBot="1" x14ac:dyDescent="0.35">
      <c r="A5" s="11" t="s">
        <v>11</v>
      </c>
      <c r="B5" s="12" t="s">
        <v>23</v>
      </c>
      <c r="C5" s="13"/>
      <c r="D5" s="13"/>
      <c r="E5" s="14"/>
      <c r="F5" s="18"/>
    </row>
    <row r="6" spans="1:6" ht="24.6" thickBot="1" x14ac:dyDescent="0.35">
      <c r="A6" s="8" t="s">
        <v>12</v>
      </c>
      <c r="B6" s="9" t="s">
        <v>19</v>
      </c>
      <c r="C6" s="10" t="s">
        <v>14</v>
      </c>
      <c r="D6" s="10">
        <v>52</v>
      </c>
      <c r="E6" s="19">
        <v>25</v>
      </c>
      <c r="F6" s="17">
        <f>D6*E6</f>
        <v>1300</v>
      </c>
    </row>
    <row r="7" spans="1:6" ht="48.6" thickBot="1" x14ac:dyDescent="0.35">
      <c r="A7" s="8" t="s">
        <v>15</v>
      </c>
      <c r="B7" s="9" t="s">
        <v>13</v>
      </c>
      <c r="C7" s="10" t="s">
        <v>14</v>
      </c>
      <c r="D7" s="10">
        <v>52</v>
      </c>
      <c r="E7" s="19">
        <v>15</v>
      </c>
      <c r="F7" s="17">
        <f>D7*E7</f>
        <v>780</v>
      </c>
    </row>
    <row r="8" spans="1:6" ht="36.6" thickBot="1" x14ac:dyDescent="0.35">
      <c r="A8" s="8" t="s">
        <v>17</v>
      </c>
      <c r="B8" s="9" t="s">
        <v>16</v>
      </c>
      <c r="C8" s="10" t="s">
        <v>14</v>
      </c>
      <c r="D8" s="10">
        <v>52</v>
      </c>
      <c r="E8" s="19">
        <v>35</v>
      </c>
      <c r="F8" s="17">
        <f>D8*E8</f>
        <v>1820</v>
      </c>
    </row>
    <row r="9" spans="1:6" ht="84.6" thickBot="1" x14ac:dyDescent="0.35">
      <c r="A9" s="8" t="s">
        <v>20</v>
      </c>
      <c r="B9" s="9" t="s">
        <v>18</v>
      </c>
      <c r="C9" s="10" t="s">
        <v>10</v>
      </c>
      <c r="D9" s="10">
        <v>1</v>
      </c>
      <c r="E9" s="19">
        <v>350</v>
      </c>
      <c r="F9" s="17">
        <f>D9*E9</f>
        <v>350</v>
      </c>
    </row>
    <row r="10" spans="1:6" ht="15" thickBot="1" x14ac:dyDescent="0.35">
      <c r="A10" s="21" t="s">
        <v>22</v>
      </c>
      <c r="B10" s="22"/>
      <c r="C10" s="22"/>
      <c r="D10" s="23"/>
      <c r="E10" s="24">
        <f>SUM(F6:F9)</f>
        <v>4250</v>
      </c>
      <c r="F10" s="17"/>
    </row>
    <row r="11" spans="1:6" ht="15.6" thickBot="1" x14ac:dyDescent="0.35">
      <c r="A11" s="11" t="s">
        <v>11</v>
      </c>
      <c r="B11" s="12" t="s">
        <v>24</v>
      </c>
      <c r="C11" s="13"/>
      <c r="D11" s="13"/>
      <c r="E11" s="14"/>
      <c r="F11" s="18"/>
    </row>
    <row r="12" spans="1:6" ht="24.6" thickBot="1" x14ac:dyDescent="0.35">
      <c r="A12" s="8" t="s">
        <v>12</v>
      </c>
      <c r="B12" s="9" t="s">
        <v>19</v>
      </c>
      <c r="C12" s="10" t="s">
        <v>14</v>
      </c>
      <c r="D12" s="10">
        <v>22</v>
      </c>
      <c r="E12" s="19">
        <v>25</v>
      </c>
      <c r="F12" s="17">
        <f>D12*E12</f>
        <v>550</v>
      </c>
    </row>
    <row r="13" spans="1:6" ht="48.6" thickBot="1" x14ac:dyDescent="0.35">
      <c r="A13" s="8" t="s">
        <v>15</v>
      </c>
      <c r="B13" s="9" t="s">
        <v>13</v>
      </c>
      <c r="C13" s="10" t="s">
        <v>14</v>
      </c>
      <c r="D13" s="10">
        <v>22</v>
      </c>
      <c r="E13" s="19">
        <v>15</v>
      </c>
      <c r="F13" s="17">
        <f>D13*E13</f>
        <v>330</v>
      </c>
    </row>
    <row r="14" spans="1:6" ht="36.6" thickBot="1" x14ac:dyDescent="0.35">
      <c r="A14" s="8" t="s">
        <v>17</v>
      </c>
      <c r="B14" s="9" t="s">
        <v>16</v>
      </c>
      <c r="C14" s="10" t="s">
        <v>14</v>
      </c>
      <c r="D14" s="10">
        <v>22</v>
      </c>
      <c r="E14" s="19">
        <v>35</v>
      </c>
      <c r="F14" s="17">
        <f>D14*E14</f>
        <v>770</v>
      </c>
    </row>
    <row r="15" spans="1:6" ht="84.6" thickBot="1" x14ac:dyDescent="0.35">
      <c r="A15" s="8" t="s">
        <v>20</v>
      </c>
      <c r="B15" s="9" t="s">
        <v>18</v>
      </c>
      <c r="C15" s="10" t="s">
        <v>10</v>
      </c>
      <c r="D15" s="10">
        <v>1</v>
      </c>
      <c r="E15" s="19">
        <v>350</v>
      </c>
      <c r="F15" s="17">
        <f>D15*E15</f>
        <v>350</v>
      </c>
    </row>
    <row r="16" spans="1:6" ht="15" thickBot="1" x14ac:dyDescent="0.35">
      <c r="A16" s="21" t="s">
        <v>22</v>
      </c>
      <c r="B16" s="22"/>
      <c r="C16" s="22"/>
      <c r="D16" s="23"/>
      <c r="E16" s="24">
        <f>SUM(F12:F15)</f>
        <v>2000</v>
      </c>
      <c r="F16" s="17"/>
    </row>
    <row r="17" spans="1:6" ht="15.6" thickBot="1" x14ac:dyDescent="0.35">
      <c r="A17" s="11" t="s">
        <v>11</v>
      </c>
      <c r="B17" s="12" t="s">
        <v>25</v>
      </c>
      <c r="C17" s="13"/>
      <c r="D17" s="13"/>
      <c r="E17" s="14"/>
      <c r="F17" s="18"/>
    </row>
    <row r="18" spans="1:6" ht="24.6" thickBot="1" x14ac:dyDescent="0.35">
      <c r="A18" s="8" t="s">
        <v>12</v>
      </c>
      <c r="B18" s="9" t="s">
        <v>19</v>
      </c>
      <c r="C18" s="10" t="s">
        <v>14</v>
      </c>
      <c r="D18" s="10">
        <v>7</v>
      </c>
      <c r="E18" s="19">
        <v>25</v>
      </c>
      <c r="F18" s="17">
        <f>D18*E18</f>
        <v>175</v>
      </c>
    </row>
    <row r="19" spans="1:6" ht="48.6" thickBot="1" x14ac:dyDescent="0.35">
      <c r="A19" s="8" t="s">
        <v>15</v>
      </c>
      <c r="B19" s="9" t="s">
        <v>13</v>
      </c>
      <c r="C19" s="10" t="s">
        <v>14</v>
      </c>
      <c r="D19" s="10">
        <v>7</v>
      </c>
      <c r="E19" s="19">
        <v>15</v>
      </c>
      <c r="F19" s="17">
        <f>D19*E19</f>
        <v>105</v>
      </c>
    </row>
    <row r="20" spans="1:6" ht="36.6" thickBot="1" x14ac:dyDescent="0.35">
      <c r="A20" s="8" t="s">
        <v>17</v>
      </c>
      <c r="B20" s="9" t="s">
        <v>16</v>
      </c>
      <c r="C20" s="10" t="s">
        <v>14</v>
      </c>
      <c r="D20" s="10">
        <v>7</v>
      </c>
      <c r="E20" s="19">
        <v>35</v>
      </c>
      <c r="F20" s="17">
        <f>D20*E20</f>
        <v>245</v>
      </c>
    </row>
    <row r="21" spans="1:6" ht="84.6" thickBot="1" x14ac:dyDescent="0.35">
      <c r="A21" s="8" t="s">
        <v>20</v>
      </c>
      <c r="B21" s="9" t="s">
        <v>18</v>
      </c>
      <c r="C21" s="10" t="s">
        <v>10</v>
      </c>
      <c r="D21" s="10">
        <v>7</v>
      </c>
      <c r="E21" s="19">
        <v>350</v>
      </c>
      <c r="F21" s="17">
        <f>D21*E21</f>
        <v>2450</v>
      </c>
    </row>
    <row r="22" spans="1:6" ht="15" thickBot="1" x14ac:dyDescent="0.35">
      <c r="A22" s="21" t="s">
        <v>22</v>
      </c>
      <c r="B22" s="22"/>
      <c r="C22" s="22"/>
      <c r="D22" s="23"/>
      <c r="E22" s="24">
        <f>SUM(F18:F21)</f>
        <v>2975</v>
      </c>
      <c r="F22" s="17"/>
    </row>
    <row r="23" spans="1:6" ht="18" x14ac:dyDescent="0.35">
      <c r="A23" s="20"/>
      <c r="B23" s="25" t="s">
        <v>21</v>
      </c>
      <c r="C23" s="20"/>
      <c r="D23" s="20"/>
      <c r="E23" s="20"/>
      <c r="F23" s="26">
        <f>SUM(F2:F22)</f>
        <v>10225</v>
      </c>
    </row>
  </sheetData>
  <mergeCells count="4">
    <mergeCell ref="A22:D22"/>
    <mergeCell ref="A4:D4"/>
    <mergeCell ref="A10:D10"/>
    <mergeCell ref="A16:D16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Erison Barros</cp:lastModifiedBy>
  <dcterms:created xsi:type="dcterms:W3CDTF">2024-02-19T18:30:40Z</dcterms:created>
  <dcterms:modified xsi:type="dcterms:W3CDTF">2024-02-23T22:12:51Z</dcterms:modified>
</cp:coreProperties>
</file>