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426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d.docs.live.net/6e16e4d501a0b833/PROPOSTA/ASSENTAMENTOS_JURISDIÇÃO_SR-29/"/>
    </mc:Choice>
  </mc:AlternateContent>
  <bookViews>
    <workbookView xWindow="0" yWindow="0" windowWidth="20490" windowHeight="7530"/>
  </bookViews>
  <sheets>
    <sheet name="LICITACAO" sheetId="1" r:id="rId1"/>
  </sheets>
  <definedNames>
    <definedName name="_xlnm._FilterDatabase" localSheetId="0" hidden="1">LICITACAO!$A$1:$O$53</definedName>
  </definedNames>
  <calcPr calcId="0"/>
</workbook>
</file>

<file path=xl/calcChain.xml><?xml version="1.0" encoding="utf-8"?>
<calcChain xmlns="http://schemas.openxmlformats.org/spreadsheetml/2006/main">
  <c r="L56" i="1" l="1"/>
  <c r="O54" i="1"/>
  <c r="P54" i="1"/>
  <c r="K54" i="1"/>
  <c r="L54" i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30" i="1"/>
  <c r="L31" i="1"/>
  <c r="L32" i="1"/>
  <c r="L33" i="1"/>
  <c r="L34" i="1"/>
  <c r="L35" i="1"/>
  <c r="L36" i="1"/>
  <c r="L37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47" i="1"/>
  <c r="L47" i="1" s="1"/>
  <c r="O47" i="1" s="1"/>
  <c r="L29" i="1" l="1"/>
  <c r="K38" i="1"/>
  <c r="L38" i="1" s="1"/>
  <c r="O38" i="1" s="1"/>
  <c r="K48" i="1"/>
  <c r="L48" i="1" s="1"/>
  <c r="O48" i="1" s="1"/>
  <c r="K49" i="1"/>
  <c r="L49" i="1" s="1"/>
  <c r="O49" i="1" s="1"/>
  <c r="K39" i="1"/>
  <c r="L39" i="1" s="1"/>
  <c r="O39" i="1" s="1"/>
  <c r="K42" i="1"/>
  <c r="L42" i="1" s="1"/>
  <c r="O42" i="1" s="1"/>
  <c r="K53" i="1"/>
  <c r="L53" i="1" s="1"/>
  <c r="O53" i="1" s="1"/>
  <c r="K51" i="1"/>
  <c r="L51" i="1" s="1"/>
  <c r="O51" i="1" s="1"/>
  <c r="K46" i="1"/>
  <c r="L46" i="1" s="1"/>
  <c r="O46" i="1" s="1"/>
  <c r="K45" i="1"/>
  <c r="L45" i="1" s="1"/>
  <c r="O45" i="1" s="1"/>
  <c r="K52" i="1"/>
  <c r="L52" i="1" s="1"/>
  <c r="O52" i="1" s="1"/>
  <c r="K41" i="1"/>
  <c r="L41" i="1" s="1"/>
  <c r="O41" i="1" s="1"/>
  <c r="K40" i="1"/>
  <c r="L40" i="1" s="1"/>
  <c r="O40" i="1" s="1"/>
  <c r="K50" i="1"/>
  <c r="L50" i="1" s="1"/>
  <c r="O50" i="1" s="1"/>
  <c r="K43" i="1"/>
  <c r="K44" i="1"/>
  <c r="L44" i="1" s="1"/>
  <c r="O44" i="1" s="1"/>
  <c r="L43" i="1" l="1"/>
  <c r="O43" i="1" s="1"/>
</calcChain>
</file>

<file path=xl/sharedStrings.xml><?xml version="1.0" encoding="utf-8"?>
<sst xmlns="http://schemas.openxmlformats.org/spreadsheetml/2006/main" count="328" uniqueCount="147">
  <si>
    <t>cd_sipra</t>
  </si>
  <si>
    <t>modalid</t>
  </si>
  <si>
    <t>nomeproj</t>
  </si>
  <si>
    <t>MF0075000</t>
  </si>
  <si>
    <t>PA</t>
  </si>
  <si>
    <t>PA SAO PAULO</t>
  </si>
  <si>
    <t>PETROLINA</t>
  </si>
  <si>
    <t>III</t>
  </si>
  <si>
    <t>MF0285000</t>
  </si>
  <si>
    <t>PA NOVA ESPERANCA II</t>
  </si>
  <si>
    <t>ARARIPINA</t>
  </si>
  <si>
    <t>GRANITO</t>
  </si>
  <si>
    <t>MF0173000</t>
  </si>
  <si>
    <t>PA CARNAUBA DO AJUDANTE</t>
  </si>
  <si>
    <t>PAJEU</t>
  </si>
  <si>
    <t>SERRA TALHADA</t>
  </si>
  <si>
    <t>II</t>
  </si>
  <si>
    <t>MF0303000</t>
  </si>
  <si>
    <t>PA PATATIVA DO ASSARE</t>
  </si>
  <si>
    <t>OURICURI</t>
  </si>
  <si>
    <t>MF0259000</t>
  </si>
  <si>
    <t>PA IRMA DOROTHY</t>
  </si>
  <si>
    <t>SALGUEIRO</t>
  </si>
  <si>
    <t>SERRITA</t>
  </si>
  <si>
    <t>MF0276000</t>
  </si>
  <si>
    <t>PA BOA VISTA</t>
  </si>
  <si>
    <t>MF0339000</t>
  </si>
  <si>
    <t>PA LOPES</t>
  </si>
  <si>
    <t>MF0229000</t>
  </si>
  <si>
    <t>PA VALERIANO DIAS</t>
  </si>
  <si>
    <t>PARNAMIRIM</t>
  </si>
  <si>
    <t>MF0168000</t>
  </si>
  <si>
    <t>PA GILVAN SANTOS</t>
  </si>
  <si>
    <t>MF0172000</t>
  </si>
  <si>
    <t>PA MAE MARIANA</t>
  </si>
  <si>
    <t>SANTA CRUZ</t>
  </si>
  <si>
    <t>MF0231000</t>
  </si>
  <si>
    <t>PA ABEL MOREIRA</t>
  </si>
  <si>
    <t>MF0184000</t>
  </si>
  <si>
    <t>MF0199000</t>
  </si>
  <si>
    <t>PA LYNDOPHO SILVA</t>
  </si>
  <si>
    <t>MF0096000</t>
  </si>
  <si>
    <t>PA ANTONIO CONSELHEIRO I</t>
  </si>
  <si>
    <t>ITAPARICA</t>
  </si>
  <si>
    <t>TACARATU</t>
  </si>
  <si>
    <t>MF0241000</t>
  </si>
  <si>
    <t>PA ABREU E LIMA I</t>
  </si>
  <si>
    <t>LAGOA GRANDE</t>
  </si>
  <si>
    <t>MF0267000</t>
  </si>
  <si>
    <t>PA HAVAI</t>
  </si>
  <si>
    <t>SANTA MARIA DA BOA VISTA</t>
  </si>
  <si>
    <t>MF0198000</t>
  </si>
  <si>
    <t>PA RIO PONTAL</t>
  </si>
  <si>
    <t>MF0131000</t>
  </si>
  <si>
    <t>PA ANTONIO CONSELHEIRO III</t>
  </si>
  <si>
    <t>MF0135000</t>
  </si>
  <si>
    <t>PA MARTIRES DA RESISTENCIA II</t>
  </si>
  <si>
    <t>MF0206000</t>
  </si>
  <si>
    <t>PA ESTRELA D'ALVA</t>
  </si>
  <si>
    <t>MF0275000</t>
  </si>
  <si>
    <t>PA DENIS SANTANA</t>
  </si>
  <si>
    <t>MF0207000</t>
  </si>
  <si>
    <t>PA BEGARD</t>
  </si>
  <si>
    <t>MF0100000</t>
  </si>
  <si>
    <t>PA ESPERANCA</t>
  </si>
  <si>
    <t>MF0057000</t>
  </si>
  <si>
    <t>PA RIACHO DO NAVIO</t>
  </si>
  <si>
    <t>FLORESTA</t>
  </si>
  <si>
    <t>MF0169000</t>
  </si>
  <si>
    <t>PA LAGOA DA BARAUNA</t>
  </si>
  <si>
    <t>MF0287000</t>
  </si>
  <si>
    <t>PA PROGRESSO</t>
  </si>
  <si>
    <t>MF0158000</t>
  </si>
  <si>
    <t>PA MARIA OTILIA</t>
  </si>
  <si>
    <t>SERTAO DO MOXOTO</t>
  </si>
  <si>
    <t>INAJA</t>
  </si>
  <si>
    <t>MF0279000</t>
  </si>
  <si>
    <t>PA POÃ?O VERDE II</t>
  </si>
  <si>
    <t>I</t>
  </si>
  <si>
    <t>MF0083000</t>
  </si>
  <si>
    <t>PA LAGOA DAS CARAIBAS</t>
  </si>
  <si>
    <t>MF0290000</t>
  </si>
  <si>
    <t>PA CACIMBA DA TORRE GLEBA NORDESTE</t>
  </si>
  <si>
    <t>JUAZEIRO</t>
  </si>
  <si>
    <t>CURACA</t>
  </si>
  <si>
    <t>MF0291000</t>
  </si>
  <si>
    <t>PA CACIMBA DA TORRE GLEBA CENTRO LESTE</t>
  </si>
  <si>
    <t>MF0302000</t>
  </si>
  <si>
    <t>PA JOSE ALMEIDA</t>
  </si>
  <si>
    <t>MF0299000</t>
  </si>
  <si>
    <t>PA JUNCO</t>
  </si>
  <si>
    <t>MF0309000</t>
  </si>
  <si>
    <t>PA ARAGUATI</t>
  </si>
  <si>
    <t>MF0294000</t>
  </si>
  <si>
    <t>PA IVAN SOUTO DE OLIVEIRA</t>
  </si>
  <si>
    <t>MF0311000</t>
  </si>
  <si>
    <t>PA PORTELINHA</t>
  </si>
  <si>
    <t>MF0171000</t>
  </si>
  <si>
    <t>PA CURRALINHO DOS ANGICOS</t>
  </si>
  <si>
    <t>MF0165000</t>
  </si>
  <si>
    <t>PA PIRAMBEBA</t>
  </si>
  <si>
    <t>BETANIA</t>
  </si>
  <si>
    <t>MF0084000</t>
  </si>
  <si>
    <t>PA BAIXA DO JUAZEIRO</t>
  </si>
  <si>
    <t>MF0079000</t>
  </si>
  <si>
    <t>PA BOM CONSELHO</t>
  </si>
  <si>
    <t>MF0138000</t>
  </si>
  <si>
    <t>PA CARAIBAS III</t>
  </si>
  <si>
    <t>IBIMIRIM</t>
  </si>
  <si>
    <t>MF0274000</t>
  </si>
  <si>
    <t>PA CUSTODIA</t>
  </si>
  <si>
    <t>BELEM DE SAO FRANCISCO</t>
  </si>
  <si>
    <t>MF0237000</t>
  </si>
  <si>
    <t>PA JOSUE DE CASTRO</t>
  </si>
  <si>
    <t>MF0211000</t>
  </si>
  <si>
    <t>PA MORORO DOS PEIXOTOS</t>
  </si>
  <si>
    <t>TERRA NOVA</t>
  </si>
  <si>
    <t>MF0155000</t>
  </si>
  <si>
    <t>PA PANELAS</t>
  </si>
  <si>
    <t>MF0162000</t>
  </si>
  <si>
    <t>PA POÃ?O VERDE</t>
  </si>
  <si>
    <t>MF0120000</t>
  </si>
  <si>
    <t>PA PROVINICIA DO UIGE</t>
  </si>
  <si>
    <t>MF0186000</t>
  </si>
  <si>
    <t>PA SERRA BRANCA</t>
  </si>
  <si>
    <t>MF0252000</t>
  </si>
  <si>
    <t>PA TIMBURUNA</t>
  </si>
  <si>
    <t>MF0185000</t>
  </si>
  <si>
    <t>PA TRES CONQUISTAS</t>
  </si>
  <si>
    <t>MF0182000</t>
  </si>
  <si>
    <t>PA JOSIAS BARROS</t>
  </si>
  <si>
    <t>MF0140000</t>
  </si>
  <si>
    <t>PA SAO BENEDITO</t>
  </si>
  <si>
    <t>MIRANDIBA</t>
  </si>
  <si>
    <t>BLOCO</t>
  </si>
  <si>
    <t>municipio</t>
  </si>
  <si>
    <t>PARC FAM</t>
  </si>
  <si>
    <t>OUT PARC</t>
  </si>
  <si>
    <t>ÁREA(HA)</t>
  </si>
  <si>
    <t>PER_Nº VERT</t>
  </si>
  <si>
    <t>PARC_VERTICE</t>
  </si>
  <si>
    <t>TOTAL VERTICE</t>
  </si>
  <si>
    <t>DIAS P/EQUIPE</t>
  </si>
  <si>
    <t>DIAS_TRANSPORTE</t>
  </si>
  <si>
    <t>PROD P/ DIA</t>
  </si>
  <si>
    <t>microregiao</t>
  </si>
  <si>
    <t xml:space="preserve">MARCOS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</si>
</sst>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4" formatCode="#,##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3" fontId="0" fillId="0" borderId="0" xfId="0" applyNumberFormat="1"/>
    <xf numFmtId="0" fontId="16" fillId="33" borderId="0" xfId="0" applyFont="1" applyFill="1"/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174" fontId="0" fillId="0" borderId="0" xfId="0" applyNumberFormat="1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0" fillId="0" borderId="10" xfId="0" applyBorder="1"/>
    <xf numFmtId="0" fontId="0" fillId="0" borderId="11" xfId="0" applyBorder="1"/>
    <xf numFmtId="3" fontId="0" fillId="0" borderId="11" xfId="0" applyNumberFormat="1" applyBorder="1"/>
    <xf numFmtId="3" fontId="0" fillId="0" borderId="11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2" fontId="0" fillId="0" borderId="12" xfId="0" applyNumberFormat="1" applyBorder="1" applyAlignment="1">
      <alignment horizontal="center"/>
    </xf>
    <xf numFmtId="3" fontId="0" fillId="0" borderId="0" xfId="0" applyNumberFormat="1" applyFill="1" applyBorder="1" applyAlignment="1">
      <alignment horizont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6"/>
  <sheetViews>
    <sheetView tabSelected="1" topLeftCell="E1" workbookViewId="0">
      <selection activeCell="K9" sqref="K9"/>
    </sheetView>
  </sheetViews>
  <sheetFormatPr defaultRowHeight="15" x14ac:dyDescent="0.25"/>
  <cols>
    <col min="1" max="1" width="10.7109375" bestFit="1" customWidth="1"/>
    <col min="3" max="3" width="32" customWidth="1"/>
    <col min="4" max="4" width="26.85546875" customWidth="1"/>
    <col min="5" max="6" width="19.85546875" customWidth="1"/>
    <col min="7" max="7" width="10.7109375" customWidth="1"/>
    <col min="8" max="8" width="10.28515625" bestFit="1" customWidth="1"/>
    <col min="9" max="9" width="12.7109375" customWidth="1"/>
    <col min="10" max="10" width="13.5703125" customWidth="1"/>
    <col min="11" max="11" width="16.28515625" bestFit="1" customWidth="1"/>
    <col min="12" max="12" width="16.5703125" bestFit="1" customWidth="1"/>
    <col min="13" max="13" width="17.85546875" customWidth="1"/>
    <col min="14" max="14" width="14.42578125" customWidth="1"/>
    <col min="15" max="15" width="15.140625" customWidth="1"/>
    <col min="16" max="16" width="11.5703125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135</v>
      </c>
      <c r="E1" s="2" t="s">
        <v>145</v>
      </c>
      <c r="F1" s="2" t="s">
        <v>138</v>
      </c>
      <c r="G1" s="2" t="s">
        <v>134</v>
      </c>
      <c r="H1" s="2" t="s">
        <v>136</v>
      </c>
      <c r="I1" s="2" t="s">
        <v>137</v>
      </c>
      <c r="J1" s="2" t="s">
        <v>139</v>
      </c>
      <c r="K1" s="2" t="s">
        <v>140</v>
      </c>
      <c r="L1" s="2" t="s">
        <v>141</v>
      </c>
      <c r="M1" s="2" t="s">
        <v>143</v>
      </c>
      <c r="N1" s="2" t="s">
        <v>144</v>
      </c>
      <c r="O1" s="2" t="s">
        <v>142</v>
      </c>
    </row>
    <row r="2" spans="1:15" x14ac:dyDescent="0.25">
      <c r="A2" t="s">
        <v>3</v>
      </c>
      <c r="B2" t="s">
        <v>4</v>
      </c>
      <c r="C2" t="s">
        <v>5</v>
      </c>
      <c r="D2" t="s">
        <v>6</v>
      </c>
      <c r="E2" t="s">
        <v>6</v>
      </c>
      <c r="F2" s="6">
        <v>352.66590000000002</v>
      </c>
      <c r="G2" s="7" t="s">
        <v>7</v>
      </c>
      <c r="H2" s="7">
        <v>20</v>
      </c>
      <c r="I2" s="7">
        <v>3</v>
      </c>
      <c r="J2" s="8">
        <v>19</v>
      </c>
      <c r="K2" s="8">
        <f t="shared" ref="K2:K29" si="0">(H2+I2)*3</f>
        <v>69</v>
      </c>
      <c r="L2" s="3">
        <f t="shared" ref="L2:L28" si="1">J2+K2</f>
        <v>88</v>
      </c>
      <c r="M2" s="3">
        <v>2</v>
      </c>
      <c r="N2" s="4">
        <v>54</v>
      </c>
      <c r="O2" s="5">
        <f t="shared" ref="O2:O19" si="2">(L2+M2)/N2</f>
        <v>1.6666666666666667</v>
      </c>
    </row>
    <row r="3" spans="1:15" x14ac:dyDescent="0.25">
      <c r="A3" t="s">
        <v>8</v>
      </c>
      <c r="B3" t="s">
        <v>4</v>
      </c>
      <c r="C3" t="s">
        <v>9</v>
      </c>
      <c r="D3" t="s">
        <v>11</v>
      </c>
      <c r="E3" t="s">
        <v>10</v>
      </c>
      <c r="F3">
        <v>993.16880000000003</v>
      </c>
      <c r="G3" s="7" t="s">
        <v>7</v>
      </c>
      <c r="H3" s="7">
        <v>22</v>
      </c>
      <c r="I3" s="7">
        <v>2</v>
      </c>
      <c r="J3" s="8">
        <v>60</v>
      </c>
      <c r="K3" s="8">
        <f t="shared" si="0"/>
        <v>72</v>
      </c>
      <c r="L3" s="3">
        <f t="shared" si="1"/>
        <v>132</v>
      </c>
      <c r="M3" s="3">
        <v>2</v>
      </c>
      <c r="N3" s="4">
        <v>54</v>
      </c>
      <c r="O3" s="5">
        <f t="shared" si="2"/>
        <v>2.4814814814814814</v>
      </c>
    </row>
    <row r="4" spans="1:15" x14ac:dyDescent="0.25">
      <c r="A4" t="s">
        <v>12</v>
      </c>
      <c r="B4" t="s">
        <v>4</v>
      </c>
      <c r="C4" t="s">
        <v>13</v>
      </c>
      <c r="D4" t="s">
        <v>15</v>
      </c>
      <c r="E4" t="s">
        <v>14</v>
      </c>
      <c r="F4">
        <v>347.01799999999997</v>
      </c>
      <c r="G4" s="7" t="s">
        <v>16</v>
      </c>
      <c r="H4" s="7">
        <v>11</v>
      </c>
      <c r="I4" s="7">
        <v>2</v>
      </c>
      <c r="J4" s="8">
        <v>1557</v>
      </c>
      <c r="K4" s="8">
        <f t="shared" si="0"/>
        <v>39</v>
      </c>
      <c r="L4" s="3">
        <f t="shared" si="1"/>
        <v>1596</v>
      </c>
      <c r="M4" s="3">
        <v>2</v>
      </c>
      <c r="N4" s="4">
        <v>54</v>
      </c>
      <c r="O4" s="5">
        <f t="shared" si="2"/>
        <v>29.592592592592592</v>
      </c>
    </row>
    <row r="5" spans="1:15" x14ac:dyDescent="0.25">
      <c r="A5" t="s">
        <v>17</v>
      </c>
      <c r="B5" t="s">
        <v>4</v>
      </c>
      <c r="C5" t="s">
        <v>18</v>
      </c>
      <c r="D5" t="s">
        <v>19</v>
      </c>
      <c r="E5" t="s">
        <v>10</v>
      </c>
      <c r="F5">
        <v>650</v>
      </c>
      <c r="G5" s="7" t="s">
        <v>7</v>
      </c>
      <c r="H5" s="7">
        <v>32</v>
      </c>
      <c r="I5" s="7">
        <v>3</v>
      </c>
      <c r="J5" s="8">
        <v>48</v>
      </c>
      <c r="K5" s="8">
        <f t="shared" si="0"/>
        <v>105</v>
      </c>
      <c r="L5" s="3">
        <f t="shared" si="1"/>
        <v>153</v>
      </c>
      <c r="M5" s="3">
        <v>2</v>
      </c>
      <c r="N5" s="4">
        <v>54</v>
      </c>
      <c r="O5" s="5">
        <f t="shared" si="2"/>
        <v>2.8703703703703702</v>
      </c>
    </row>
    <row r="6" spans="1:15" x14ac:dyDescent="0.25">
      <c r="A6" t="s">
        <v>20</v>
      </c>
      <c r="B6" t="s">
        <v>4</v>
      </c>
      <c r="C6" t="s">
        <v>21</v>
      </c>
      <c r="D6" t="s">
        <v>23</v>
      </c>
      <c r="E6" t="s">
        <v>22</v>
      </c>
      <c r="F6" s="6">
        <v>189.3854</v>
      </c>
      <c r="G6" s="7" t="s">
        <v>7</v>
      </c>
      <c r="H6" s="7">
        <v>14</v>
      </c>
      <c r="I6" s="7">
        <v>1</v>
      </c>
      <c r="J6" s="8">
        <v>17</v>
      </c>
      <c r="K6" s="8">
        <f t="shared" si="0"/>
        <v>45</v>
      </c>
      <c r="L6" s="3">
        <f t="shared" si="1"/>
        <v>62</v>
      </c>
      <c r="M6" s="3">
        <v>2</v>
      </c>
      <c r="N6" s="4">
        <v>54</v>
      </c>
      <c r="O6" s="5">
        <f t="shared" si="2"/>
        <v>1.1851851851851851</v>
      </c>
    </row>
    <row r="7" spans="1:15" x14ac:dyDescent="0.25">
      <c r="A7" t="s">
        <v>24</v>
      </c>
      <c r="B7" t="s">
        <v>4</v>
      </c>
      <c r="C7" t="s">
        <v>25</v>
      </c>
      <c r="D7" t="s">
        <v>15</v>
      </c>
      <c r="E7" t="s">
        <v>14</v>
      </c>
      <c r="F7">
        <v>205.15899999999999</v>
      </c>
      <c r="G7" s="7" t="s">
        <v>16</v>
      </c>
      <c r="H7" s="7">
        <v>8</v>
      </c>
      <c r="I7" s="7">
        <v>1</v>
      </c>
      <c r="J7" s="8">
        <v>10</v>
      </c>
      <c r="K7" s="8">
        <f t="shared" si="0"/>
        <v>27</v>
      </c>
      <c r="L7" s="3">
        <f t="shared" si="1"/>
        <v>37</v>
      </c>
      <c r="M7" s="3">
        <v>2</v>
      </c>
      <c r="N7" s="4">
        <v>54</v>
      </c>
      <c r="O7" s="5">
        <f t="shared" si="2"/>
        <v>0.72222222222222221</v>
      </c>
    </row>
    <row r="8" spans="1:15" x14ac:dyDescent="0.25">
      <c r="A8" t="s">
        <v>26</v>
      </c>
      <c r="B8" t="s">
        <v>4</v>
      </c>
      <c r="C8" t="s">
        <v>27</v>
      </c>
      <c r="D8" t="s">
        <v>19</v>
      </c>
      <c r="E8" t="s">
        <v>10</v>
      </c>
      <c r="F8">
        <v>1128.7385999999999</v>
      </c>
      <c r="G8" s="7" t="s">
        <v>7</v>
      </c>
      <c r="H8" s="7">
        <v>24</v>
      </c>
      <c r="I8" s="7">
        <v>3</v>
      </c>
      <c r="J8" s="8">
        <v>36</v>
      </c>
      <c r="K8" s="8">
        <f t="shared" si="0"/>
        <v>81</v>
      </c>
      <c r="L8" s="3">
        <f t="shared" si="1"/>
        <v>117</v>
      </c>
      <c r="M8" s="3">
        <v>2</v>
      </c>
      <c r="N8" s="4">
        <v>54</v>
      </c>
      <c r="O8" s="5">
        <f t="shared" si="2"/>
        <v>2.2037037037037037</v>
      </c>
    </row>
    <row r="9" spans="1:15" x14ac:dyDescent="0.25">
      <c r="A9" t="s">
        <v>28</v>
      </c>
      <c r="B9" t="s">
        <v>4</v>
      </c>
      <c r="C9" t="s">
        <v>29</v>
      </c>
      <c r="D9" t="s">
        <v>30</v>
      </c>
      <c r="E9" t="s">
        <v>22</v>
      </c>
      <c r="F9">
        <v>919.64750000000004</v>
      </c>
      <c r="G9" s="7" t="s">
        <v>7</v>
      </c>
      <c r="H9" s="7">
        <v>69</v>
      </c>
      <c r="I9" s="7">
        <v>3</v>
      </c>
      <c r="J9" s="8">
        <v>1321</v>
      </c>
      <c r="K9" s="8">
        <f t="shared" si="0"/>
        <v>216</v>
      </c>
      <c r="L9" s="3">
        <f t="shared" si="1"/>
        <v>1537</v>
      </c>
      <c r="M9" s="3">
        <v>2</v>
      </c>
      <c r="N9" s="4">
        <v>54</v>
      </c>
      <c r="O9" s="5">
        <f t="shared" si="2"/>
        <v>28.5</v>
      </c>
    </row>
    <row r="10" spans="1:15" x14ac:dyDescent="0.25">
      <c r="A10" t="s">
        <v>31</v>
      </c>
      <c r="B10" t="s">
        <v>4</v>
      </c>
      <c r="C10" t="s">
        <v>32</v>
      </c>
      <c r="D10" t="s">
        <v>15</v>
      </c>
      <c r="E10" t="s">
        <v>14</v>
      </c>
      <c r="F10">
        <v>1008.0969</v>
      </c>
      <c r="G10" s="7" t="s">
        <v>16</v>
      </c>
      <c r="H10" s="7">
        <v>40</v>
      </c>
      <c r="I10" s="7">
        <v>3</v>
      </c>
      <c r="J10" s="8">
        <v>47</v>
      </c>
      <c r="K10" s="8">
        <f t="shared" si="0"/>
        <v>129</v>
      </c>
      <c r="L10" s="3">
        <f t="shared" si="1"/>
        <v>176</v>
      </c>
      <c r="M10" s="3">
        <v>2</v>
      </c>
      <c r="N10" s="4">
        <v>54</v>
      </c>
      <c r="O10" s="5">
        <f t="shared" si="2"/>
        <v>3.2962962962962963</v>
      </c>
    </row>
    <row r="11" spans="1:15" x14ac:dyDescent="0.25">
      <c r="A11" t="s">
        <v>33</v>
      </c>
      <c r="B11" t="s">
        <v>4</v>
      </c>
      <c r="C11" t="s">
        <v>34</v>
      </c>
      <c r="D11" t="s">
        <v>35</v>
      </c>
      <c r="E11" t="s">
        <v>10</v>
      </c>
      <c r="F11">
        <v>1218.0917999999999</v>
      </c>
      <c r="G11" s="7" t="s">
        <v>7</v>
      </c>
      <c r="H11" s="7">
        <v>30</v>
      </c>
      <c r="I11" s="7">
        <v>3</v>
      </c>
      <c r="J11" s="8">
        <v>52</v>
      </c>
      <c r="K11" s="8">
        <f t="shared" si="0"/>
        <v>99</v>
      </c>
      <c r="L11" s="3">
        <f t="shared" si="1"/>
        <v>151</v>
      </c>
      <c r="M11" s="3">
        <v>2</v>
      </c>
      <c r="N11" s="4">
        <v>54</v>
      </c>
      <c r="O11" s="5">
        <f t="shared" si="2"/>
        <v>2.8333333333333335</v>
      </c>
    </row>
    <row r="12" spans="1:15" x14ac:dyDescent="0.25">
      <c r="A12" t="s">
        <v>36</v>
      </c>
      <c r="B12" t="s">
        <v>4</v>
      </c>
      <c r="C12" t="s">
        <v>37</v>
      </c>
      <c r="D12" t="s">
        <v>30</v>
      </c>
      <c r="E12" t="s">
        <v>22</v>
      </c>
      <c r="F12">
        <v>513.65250000000003</v>
      </c>
      <c r="G12" s="7" t="s">
        <v>7</v>
      </c>
      <c r="H12" s="7">
        <v>30</v>
      </c>
      <c r="I12" s="7">
        <v>5</v>
      </c>
      <c r="J12" s="8">
        <v>470</v>
      </c>
      <c r="K12" s="8">
        <f t="shared" si="0"/>
        <v>105</v>
      </c>
      <c r="L12" s="3">
        <f t="shared" si="1"/>
        <v>575</v>
      </c>
      <c r="M12" s="3">
        <v>2</v>
      </c>
      <c r="N12" s="4">
        <v>54</v>
      </c>
      <c r="O12" s="5">
        <f t="shared" si="2"/>
        <v>10.685185185185185</v>
      </c>
    </row>
    <row r="13" spans="1:15" x14ac:dyDescent="0.25">
      <c r="A13" t="s">
        <v>38</v>
      </c>
      <c r="B13" t="s">
        <v>4</v>
      </c>
      <c r="C13" t="s">
        <v>25</v>
      </c>
      <c r="D13" t="s">
        <v>35</v>
      </c>
      <c r="E13" t="s">
        <v>10</v>
      </c>
      <c r="F13">
        <v>1233.7971</v>
      </c>
      <c r="G13" s="7" t="s">
        <v>7</v>
      </c>
      <c r="H13" s="7">
        <v>30</v>
      </c>
      <c r="I13" s="7">
        <v>3</v>
      </c>
      <c r="J13" s="8">
        <v>19</v>
      </c>
      <c r="K13" s="8">
        <f t="shared" si="0"/>
        <v>99</v>
      </c>
      <c r="L13" s="3">
        <f t="shared" si="1"/>
        <v>118</v>
      </c>
      <c r="M13" s="3">
        <v>2</v>
      </c>
      <c r="N13" s="4">
        <v>54</v>
      </c>
      <c r="O13" s="5">
        <f t="shared" si="2"/>
        <v>2.2222222222222223</v>
      </c>
    </row>
    <row r="14" spans="1:15" x14ac:dyDescent="0.25">
      <c r="A14" t="s">
        <v>39</v>
      </c>
      <c r="B14" t="s">
        <v>4</v>
      </c>
      <c r="C14" t="s">
        <v>40</v>
      </c>
      <c r="D14" t="s">
        <v>6</v>
      </c>
      <c r="E14" t="s">
        <v>6</v>
      </c>
      <c r="F14">
        <v>945.52319999999997</v>
      </c>
      <c r="G14" s="7" t="s">
        <v>7</v>
      </c>
      <c r="H14" s="7">
        <v>33</v>
      </c>
      <c r="I14" s="7">
        <v>3</v>
      </c>
      <c r="J14" s="8">
        <v>62</v>
      </c>
      <c r="K14" s="8">
        <f t="shared" si="0"/>
        <v>108</v>
      </c>
      <c r="L14" s="3">
        <f t="shared" si="1"/>
        <v>170</v>
      </c>
      <c r="M14" s="3">
        <v>2</v>
      </c>
      <c r="N14" s="4">
        <v>54</v>
      </c>
      <c r="O14" s="5">
        <f t="shared" si="2"/>
        <v>3.1851851851851851</v>
      </c>
    </row>
    <row r="15" spans="1:15" x14ac:dyDescent="0.25">
      <c r="A15" t="s">
        <v>41</v>
      </c>
      <c r="B15" t="s">
        <v>4</v>
      </c>
      <c r="C15" t="s">
        <v>42</v>
      </c>
      <c r="D15" t="s">
        <v>44</v>
      </c>
      <c r="E15" t="s">
        <v>43</v>
      </c>
      <c r="F15">
        <v>9125.4082999999991</v>
      </c>
      <c r="G15" s="7" t="s">
        <v>16</v>
      </c>
      <c r="H15" s="7">
        <v>300</v>
      </c>
      <c r="I15" s="7">
        <v>3</v>
      </c>
      <c r="J15" s="8">
        <v>85</v>
      </c>
      <c r="K15" s="8">
        <f t="shared" si="0"/>
        <v>909</v>
      </c>
      <c r="L15" s="3">
        <f t="shared" si="1"/>
        <v>994</v>
      </c>
      <c r="M15" s="3">
        <v>2</v>
      </c>
      <c r="N15" s="4">
        <v>54</v>
      </c>
      <c r="O15" s="5">
        <f t="shared" si="2"/>
        <v>18.444444444444443</v>
      </c>
    </row>
    <row r="16" spans="1:15" x14ac:dyDescent="0.25">
      <c r="A16" t="s">
        <v>45</v>
      </c>
      <c r="B16" t="s">
        <v>4</v>
      </c>
      <c r="C16" t="s">
        <v>46</v>
      </c>
      <c r="D16" t="s">
        <v>47</v>
      </c>
      <c r="E16" t="s">
        <v>6</v>
      </c>
      <c r="F16">
        <v>1837.6767</v>
      </c>
      <c r="G16" s="7" t="s">
        <v>7</v>
      </c>
      <c r="H16" s="7">
        <v>50</v>
      </c>
      <c r="I16" s="7">
        <v>5</v>
      </c>
      <c r="J16" s="8">
        <v>30</v>
      </c>
      <c r="K16" s="8">
        <f t="shared" si="0"/>
        <v>165</v>
      </c>
      <c r="L16" s="3">
        <f t="shared" si="1"/>
        <v>195</v>
      </c>
      <c r="M16" s="3">
        <v>2</v>
      </c>
      <c r="N16" s="4">
        <v>54</v>
      </c>
      <c r="O16" s="5">
        <f t="shared" si="2"/>
        <v>3.6481481481481484</v>
      </c>
    </row>
    <row r="17" spans="1:15" x14ac:dyDescent="0.25">
      <c r="A17" t="s">
        <v>48</v>
      </c>
      <c r="B17" t="s">
        <v>4</v>
      </c>
      <c r="C17" t="s">
        <v>49</v>
      </c>
      <c r="D17" t="s">
        <v>50</v>
      </c>
      <c r="E17" t="s">
        <v>6</v>
      </c>
      <c r="F17">
        <v>404.0326</v>
      </c>
      <c r="G17" s="7" t="s">
        <v>7</v>
      </c>
      <c r="H17" s="7">
        <v>8</v>
      </c>
      <c r="I17" s="7">
        <v>4</v>
      </c>
      <c r="J17" s="8">
        <v>17</v>
      </c>
      <c r="K17" s="8">
        <f t="shared" si="0"/>
        <v>36</v>
      </c>
      <c r="L17" s="3">
        <f t="shared" si="1"/>
        <v>53</v>
      </c>
      <c r="M17" s="3">
        <v>2</v>
      </c>
      <c r="N17" s="4">
        <v>54</v>
      </c>
      <c r="O17" s="5">
        <f t="shared" si="2"/>
        <v>1.0185185185185186</v>
      </c>
    </row>
    <row r="18" spans="1:15" x14ac:dyDescent="0.25">
      <c r="A18" t="s">
        <v>51</v>
      </c>
      <c r="B18" t="s">
        <v>4</v>
      </c>
      <c r="C18" t="s">
        <v>52</v>
      </c>
      <c r="D18" t="s">
        <v>6</v>
      </c>
      <c r="E18" t="s">
        <v>6</v>
      </c>
      <c r="F18">
        <v>1044.6080999999999</v>
      </c>
      <c r="G18" s="7" t="s">
        <v>7</v>
      </c>
      <c r="H18" s="7">
        <v>35</v>
      </c>
      <c r="I18" s="7">
        <v>5</v>
      </c>
      <c r="J18" s="8">
        <v>25</v>
      </c>
      <c r="K18" s="8">
        <f t="shared" si="0"/>
        <v>120</v>
      </c>
      <c r="L18" s="3">
        <f t="shared" si="1"/>
        <v>145</v>
      </c>
      <c r="M18" s="3">
        <v>2</v>
      </c>
      <c r="N18" s="4">
        <v>54</v>
      </c>
      <c r="O18" s="5">
        <f t="shared" si="2"/>
        <v>2.7222222222222223</v>
      </c>
    </row>
    <row r="19" spans="1:15" x14ac:dyDescent="0.25">
      <c r="A19" t="s">
        <v>53</v>
      </c>
      <c r="B19" t="s">
        <v>4</v>
      </c>
      <c r="C19" t="s">
        <v>54</v>
      </c>
      <c r="D19" t="s">
        <v>44</v>
      </c>
      <c r="E19" t="s">
        <v>43</v>
      </c>
      <c r="F19">
        <v>1400.8915</v>
      </c>
      <c r="G19" s="7" t="s">
        <v>16</v>
      </c>
      <c r="H19" s="7">
        <v>114</v>
      </c>
      <c r="I19" s="7">
        <v>3</v>
      </c>
      <c r="J19" s="8">
        <v>32</v>
      </c>
      <c r="K19" s="8">
        <f t="shared" si="0"/>
        <v>351</v>
      </c>
      <c r="L19" s="3">
        <f t="shared" si="1"/>
        <v>383</v>
      </c>
      <c r="M19" s="3">
        <v>2</v>
      </c>
      <c r="N19" s="4">
        <v>54</v>
      </c>
      <c r="O19" s="5">
        <f t="shared" si="2"/>
        <v>7.1296296296296298</v>
      </c>
    </row>
    <row r="20" spans="1:15" x14ac:dyDescent="0.25">
      <c r="A20" t="s">
        <v>55</v>
      </c>
      <c r="B20" t="s">
        <v>4</v>
      </c>
      <c r="C20" t="s">
        <v>56</v>
      </c>
      <c r="D20" t="s">
        <v>50</v>
      </c>
      <c r="E20" t="s">
        <v>6</v>
      </c>
      <c r="F20">
        <v>1196.962</v>
      </c>
      <c r="G20" s="7" t="s">
        <v>7</v>
      </c>
      <c r="H20" s="7">
        <v>39</v>
      </c>
      <c r="I20" s="7">
        <v>4</v>
      </c>
      <c r="J20" s="8">
        <v>26</v>
      </c>
      <c r="K20" s="8">
        <f t="shared" si="0"/>
        <v>129</v>
      </c>
      <c r="L20" s="3">
        <f t="shared" si="1"/>
        <v>155</v>
      </c>
      <c r="M20" s="3">
        <v>2</v>
      </c>
      <c r="N20" s="4">
        <v>54</v>
      </c>
      <c r="O20" s="5">
        <f t="shared" ref="O20:O37" si="3">(L20+M20)/N20</f>
        <v>2.9074074074074074</v>
      </c>
    </row>
    <row r="21" spans="1:15" x14ac:dyDescent="0.25">
      <c r="A21" t="s">
        <v>57</v>
      </c>
      <c r="B21" t="s">
        <v>4</v>
      </c>
      <c r="C21" t="s">
        <v>58</v>
      </c>
      <c r="D21" t="s">
        <v>50</v>
      </c>
      <c r="E21" t="s">
        <v>6</v>
      </c>
      <c r="F21">
        <v>1320.6741</v>
      </c>
      <c r="G21" s="7" t="s">
        <v>7</v>
      </c>
      <c r="H21" s="7">
        <v>20</v>
      </c>
      <c r="I21" s="7">
        <v>3</v>
      </c>
      <c r="J21" s="8">
        <v>21</v>
      </c>
      <c r="K21" s="8">
        <f t="shared" si="0"/>
        <v>69</v>
      </c>
      <c r="L21" s="3">
        <f t="shared" si="1"/>
        <v>90</v>
      </c>
      <c r="M21" s="3">
        <v>2</v>
      </c>
      <c r="N21" s="4">
        <v>54</v>
      </c>
      <c r="O21" s="5">
        <f t="shared" si="3"/>
        <v>1.7037037037037037</v>
      </c>
    </row>
    <row r="22" spans="1:15" x14ac:dyDescent="0.25">
      <c r="A22" t="s">
        <v>59</v>
      </c>
      <c r="B22" t="s">
        <v>4</v>
      </c>
      <c r="C22" t="s">
        <v>60</v>
      </c>
      <c r="D22" t="s">
        <v>50</v>
      </c>
      <c r="E22" t="s">
        <v>6</v>
      </c>
      <c r="F22" s="1">
        <v>10011240</v>
      </c>
      <c r="G22" s="7" t="s">
        <v>7</v>
      </c>
      <c r="H22" s="7">
        <v>30</v>
      </c>
      <c r="I22" s="7">
        <v>5</v>
      </c>
      <c r="J22" s="8">
        <v>10</v>
      </c>
      <c r="K22" s="8">
        <f t="shared" si="0"/>
        <v>105</v>
      </c>
      <c r="L22" s="3">
        <f t="shared" si="1"/>
        <v>115</v>
      </c>
      <c r="M22" s="3">
        <v>2</v>
      </c>
      <c r="N22" s="4">
        <v>54</v>
      </c>
      <c r="O22" s="5">
        <f t="shared" si="3"/>
        <v>2.1666666666666665</v>
      </c>
    </row>
    <row r="23" spans="1:15" x14ac:dyDescent="0.25">
      <c r="A23" t="s">
        <v>61</v>
      </c>
      <c r="B23" t="s">
        <v>4</v>
      </c>
      <c r="C23" t="s">
        <v>62</v>
      </c>
      <c r="D23" t="s">
        <v>50</v>
      </c>
      <c r="E23" t="s">
        <v>6</v>
      </c>
      <c r="F23">
        <v>1320.0169000000001</v>
      </c>
      <c r="G23" s="7" t="s">
        <v>7</v>
      </c>
      <c r="H23" s="7">
        <v>20</v>
      </c>
      <c r="I23" s="7">
        <v>3</v>
      </c>
      <c r="J23" s="8">
        <v>30</v>
      </c>
      <c r="K23" s="8">
        <f t="shared" si="0"/>
        <v>69</v>
      </c>
      <c r="L23" s="3">
        <f t="shared" si="1"/>
        <v>99</v>
      </c>
      <c r="M23" s="3">
        <v>2</v>
      </c>
      <c r="N23" s="4">
        <v>54</v>
      </c>
      <c r="O23" s="5">
        <f t="shared" si="3"/>
        <v>1.8703703703703705</v>
      </c>
    </row>
    <row r="24" spans="1:15" x14ac:dyDescent="0.25">
      <c r="A24" t="s">
        <v>63</v>
      </c>
      <c r="B24" t="s">
        <v>4</v>
      </c>
      <c r="C24" t="s">
        <v>64</v>
      </c>
      <c r="D24" t="s">
        <v>6</v>
      </c>
      <c r="E24" t="s">
        <v>6</v>
      </c>
      <c r="F24">
        <v>959.7</v>
      </c>
      <c r="G24" s="7" t="s">
        <v>7</v>
      </c>
      <c r="H24" s="7">
        <v>26</v>
      </c>
      <c r="I24" s="7">
        <v>4</v>
      </c>
      <c r="J24" s="8">
        <v>76</v>
      </c>
      <c r="K24" s="8">
        <f t="shared" si="0"/>
        <v>90</v>
      </c>
      <c r="L24" s="3">
        <f t="shared" si="1"/>
        <v>166</v>
      </c>
      <c r="M24" s="3">
        <v>2</v>
      </c>
      <c r="N24" s="4">
        <v>54</v>
      </c>
      <c r="O24" s="5">
        <f t="shared" si="3"/>
        <v>3.1111111111111112</v>
      </c>
    </row>
    <row r="25" spans="1:15" x14ac:dyDescent="0.25">
      <c r="A25" t="s">
        <v>65</v>
      </c>
      <c r="B25" t="s">
        <v>4</v>
      </c>
      <c r="C25" t="s">
        <v>66</v>
      </c>
      <c r="D25" t="s">
        <v>67</v>
      </c>
      <c r="E25" t="s">
        <v>43</v>
      </c>
      <c r="F25">
        <v>214.91849999999999</v>
      </c>
      <c r="G25" s="7" t="s">
        <v>16</v>
      </c>
      <c r="H25" s="7">
        <v>6</v>
      </c>
      <c r="I25" s="7">
        <v>2</v>
      </c>
      <c r="J25" s="8">
        <v>50</v>
      </c>
      <c r="K25" s="8">
        <f t="shared" si="0"/>
        <v>24</v>
      </c>
      <c r="L25" s="3">
        <f t="shared" si="1"/>
        <v>74</v>
      </c>
      <c r="M25" s="3">
        <v>2</v>
      </c>
      <c r="N25" s="4">
        <v>54</v>
      </c>
      <c r="O25" s="5">
        <f t="shared" si="3"/>
        <v>1.4074074074074074</v>
      </c>
    </row>
    <row r="26" spans="1:15" x14ac:dyDescent="0.25">
      <c r="A26" t="s">
        <v>68</v>
      </c>
      <c r="B26" t="s">
        <v>4</v>
      </c>
      <c r="C26" t="s">
        <v>69</v>
      </c>
      <c r="D26" t="s">
        <v>47</v>
      </c>
      <c r="E26" t="s">
        <v>6</v>
      </c>
      <c r="F26">
        <v>608.28160000000003</v>
      </c>
      <c r="G26" s="7" t="s">
        <v>7</v>
      </c>
      <c r="H26" s="7">
        <v>12</v>
      </c>
      <c r="I26" s="7">
        <v>3</v>
      </c>
      <c r="J26" s="8">
        <v>24</v>
      </c>
      <c r="K26" s="8">
        <f t="shared" si="0"/>
        <v>45</v>
      </c>
      <c r="L26" s="3">
        <f t="shared" si="1"/>
        <v>69</v>
      </c>
      <c r="M26" s="3">
        <v>2</v>
      </c>
      <c r="N26" s="4">
        <v>54</v>
      </c>
      <c r="O26" s="5">
        <f t="shared" si="3"/>
        <v>1.3148148148148149</v>
      </c>
    </row>
    <row r="27" spans="1:15" x14ac:dyDescent="0.25">
      <c r="A27" t="s">
        <v>70</v>
      </c>
      <c r="B27" t="s">
        <v>4</v>
      </c>
      <c r="C27" t="s">
        <v>71</v>
      </c>
      <c r="D27" t="s">
        <v>50</v>
      </c>
      <c r="E27" t="s">
        <v>6</v>
      </c>
      <c r="F27">
        <v>669.2962</v>
      </c>
      <c r="G27" s="7" t="s">
        <v>7</v>
      </c>
      <c r="H27" s="7">
        <v>12</v>
      </c>
      <c r="I27" s="7">
        <v>4</v>
      </c>
      <c r="J27" s="8">
        <v>17</v>
      </c>
      <c r="K27" s="8">
        <f t="shared" si="0"/>
        <v>48</v>
      </c>
      <c r="L27" s="3">
        <f t="shared" si="1"/>
        <v>65</v>
      </c>
      <c r="M27" s="3">
        <v>2</v>
      </c>
      <c r="N27" s="4">
        <v>54</v>
      </c>
      <c r="O27" s="5">
        <f t="shared" si="3"/>
        <v>1.2407407407407407</v>
      </c>
    </row>
    <row r="28" spans="1:15" x14ac:dyDescent="0.25">
      <c r="A28" t="s">
        <v>72</v>
      </c>
      <c r="B28" t="s">
        <v>4</v>
      </c>
      <c r="C28" t="s">
        <v>73</v>
      </c>
      <c r="D28" t="s">
        <v>75</v>
      </c>
      <c r="E28" t="s">
        <v>74</v>
      </c>
      <c r="F28">
        <v>1700</v>
      </c>
      <c r="G28" s="7" t="s">
        <v>16</v>
      </c>
      <c r="H28" s="7">
        <v>50</v>
      </c>
      <c r="I28" s="7">
        <v>2</v>
      </c>
      <c r="J28" s="8">
        <v>11</v>
      </c>
      <c r="K28" s="8">
        <f t="shared" si="0"/>
        <v>156</v>
      </c>
      <c r="L28" s="3">
        <f t="shared" si="1"/>
        <v>167</v>
      </c>
      <c r="M28" s="3">
        <v>2</v>
      </c>
      <c r="N28" s="4">
        <v>54</v>
      </c>
      <c r="O28" s="5">
        <f t="shared" si="3"/>
        <v>3.1296296296296298</v>
      </c>
    </row>
    <row r="29" spans="1:15" x14ac:dyDescent="0.25">
      <c r="A29" t="s">
        <v>76</v>
      </c>
      <c r="B29" t="s">
        <v>4</v>
      </c>
      <c r="C29" t="s">
        <v>77</v>
      </c>
      <c r="D29" t="s">
        <v>75</v>
      </c>
      <c r="E29" t="s">
        <v>74</v>
      </c>
      <c r="F29">
        <v>253.64789999999999</v>
      </c>
      <c r="G29" s="7" t="s">
        <v>78</v>
      </c>
      <c r="H29" s="7">
        <v>16</v>
      </c>
      <c r="I29" s="7">
        <v>4</v>
      </c>
      <c r="J29" s="8">
        <v>81</v>
      </c>
      <c r="K29" s="8">
        <f t="shared" si="0"/>
        <v>60</v>
      </c>
      <c r="L29" s="3">
        <f>J29+K29</f>
        <v>141</v>
      </c>
      <c r="M29" s="3">
        <v>2</v>
      </c>
      <c r="N29" s="4">
        <v>54</v>
      </c>
      <c r="O29" s="5">
        <f t="shared" si="3"/>
        <v>2.6481481481481484</v>
      </c>
    </row>
    <row r="30" spans="1:15" x14ac:dyDescent="0.25">
      <c r="A30" t="s">
        <v>79</v>
      </c>
      <c r="B30" t="s">
        <v>4</v>
      </c>
      <c r="C30" t="s">
        <v>80</v>
      </c>
      <c r="D30" t="s">
        <v>47</v>
      </c>
      <c r="E30" t="s">
        <v>6</v>
      </c>
      <c r="F30">
        <v>1177.4594999999999</v>
      </c>
      <c r="G30" s="7" t="s">
        <v>7</v>
      </c>
      <c r="H30" s="7">
        <v>20</v>
      </c>
      <c r="I30" s="7">
        <v>4</v>
      </c>
      <c r="J30" s="8">
        <v>64</v>
      </c>
      <c r="K30" s="8">
        <f t="shared" ref="K30:K37" si="4">(H30+I30)*3</f>
        <v>72</v>
      </c>
      <c r="L30" s="3">
        <f t="shared" ref="L30:L37" si="5">J30+K30</f>
        <v>136</v>
      </c>
      <c r="M30" s="3">
        <v>2</v>
      </c>
      <c r="N30" s="4">
        <v>54</v>
      </c>
      <c r="O30" s="5">
        <f t="shared" si="3"/>
        <v>2.5555555555555554</v>
      </c>
    </row>
    <row r="31" spans="1:15" x14ac:dyDescent="0.25">
      <c r="A31" t="s">
        <v>81</v>
      </c>
      <c r="B31" t="s">
        <v>4</v>
      </c>
      <c r="C31" t="s">
        <v>82</v>
      </c>
      <c r="D31" t="s">
        <v>84</v>
      </c>
      <c r="E31" t="s">
        <v>83</v>
      </c>
      <c r="F31">
        <v>4373.1544000000004</v>
      </c>
      <c r="G31" s="7" t="s">
        <v>7</v>
      </c>
      <c r="H31" s="7">
        <v>23</v>
      </c>
      <c r="I31" s="7">
        <v>3</v>
      </c>
      <c r="J31" s="8">
        <v>580</v>
      </c>
      <c r="K31" s="8">
        <f t="shared" si="4"/>
        <v>78</v>
      </c>
      <c r="L31" s="3">
        <f t="shared" si="5"/>
        <v>658</v>
      </c>
      <c r="M31" s="3">
        <v>2</v>
      </c>
      <c r="N31" s="4">
        <v>54</v>
      </c>
      <c r="O31" s="5">
        <f t="shared" si="3"/>
        <v>12.222222222222221</v>
      </c>
    </row>
    <row r="32" spans="1:15" x14ac:dyDescent="0.25">
      <c r="A32" t="s">
        <v>85</v>
      </c>
      <c r="B32" t="s">
        <v>4</v>
      </c>
      <c r="C32" t="s">
        <v>86</v>
      </c>
      <c r="D32" t="s">
        <v>84</v>
      </c>
      <c r="E32" t="s">
        <v>83</v>
      </c>
      <c r="F32">
        <v>3791.7078000000001</v>
      </c>
      <c r="G32" s="7" t="s">
        <v>7</v>
      </c>
      <c r="H32" s="7">
        <v>28</v>
      </c>
      <c r="I32" s="7">
        <v>3</v>
      </c>
      <c r="J32" s="8">
        <v>741</v>
      </c>
      <c r="K32" s="8">
        <f t="shared" si="4"/>
        <v>93</v>
      </c>
      <c r="L32" s="3">
        <f t="shared" si="5"/>
        <v>834</v>
      </c>
      <c r="M32" s="3">
        <v>2</v>
      </c>
      <c r="N32" s="4">
        <v>54</v>
      </c>
      <c r="O32" s="5">
        <f t="shared" si="3"/>
        <v>15.481481481481481</v>
      </c>
    </row>
    <row r="33" spans="1:15" x14ac:dyDescent="0.25">
      <c r="A33" t="s">
        <v>87</v>
      </c>
      <c r="B33" t="s">
        <v>4</v>
      </c>
      <c r="C33" t="s">
        <v>88</v>
      </c>
      <c r="D33" t="s">
        <v>6</v>
      </c>
      <c r="E33" t="s">
        <v>6</v>
      </c>
      <c r="F33">
        <v>1602.8751999999999</v>
      </c>
      <c r="G33" s="7" t="s">
        <v>7</v>
      </c>
      <c r="H33" s="7">
        <v>100</v>
      </c>
      <c r="I33" s="7">
        <v>3</v>
      </c>
      <c r="J33" s="8">
        <v>62</v>
      </c>
      <c r="K33" s="8">
        <f t="shared" si="4"/>
        <v>309</v>
      </c>
      <c r="L33" s="3">
        <f t="shared" si="5"/>
        <v>371</v>
      </c>
      <c r="M33" s="3">
        <v>2</v>
      </c>
      <c r="N33" s="4">
        <v>54</v>
      </c>
      <c r="O33" s="5">
        <f t="shared" si="3"/>
        <v>6.9074074074074074</v>
      </c>
    </row>
    <row r="34" spans="1:15" x14ac:dyDescent="0.25">
      <c r="A34" t="s">
        <v>89</v>
      </c>
      <c r="B34" t="s">
        <v>4</v>
      </c>
      <c r="C34" t="s">
        <v>90</v>
      </c>
      <c r="D34" t="s">
        <v>50</v>
      </c>
      <c r="E34" t="s">
        <v>6</v>
      </c>
      <c r="F34">
        <v>1776.2574</v>
      </c>
      <c r="G34" s="7" t="s">
        <v>7</v>
      </c>
      <c r="H34" s="7">
        <v>14</v>
      </c>
      <c r="I34" s="7">
        <v>2</v>
      </c>
      <c r="J34" s="8">
        <v>21</v>
      </c>
      <c r="K34" s="8">
        <f t="shared" si="4"/>
        <v>48</v>
      </c>
      <c r="L34" s="3">
        <f t="shared" si="5"/>
        <v>69</v>
      </c>
      <c r="M34" s="3">
        <v>2</v>
      </c>
      <c r="N34" s="4">
        <v>54</v>
      </c>
      <c r="O34" s="5">
        <f t="shared" si="3"/>
        <v>1.3148148148148149</v>
      </c>
    </row>
    <row r="35" spans="1:15" x14ac:dyDescent="0.25">
      <c r="A35" t="s">
        <v>91</v>
      </c>
      <c r="B35" t="s">
        <v>4</v>
      </c>
      <c r="C35" t="s">
        <v>92</v>
      </c>
      <c r="D35" t="s">
        <v>30</v>
      </c>
      <c r="E35" t="s">
        <v>22</v>
      </c>
      <c r="F35">
        <v>199.41409999999999</v>
      </c>
      <c r="G35" s="7" t="s">
        <v>7</v>
      </c>
      <c r="H35" s="7">
        <v>5</v>
      </c>
      <c r="I35" s="7">
        <v>4</v>
      </c>
      <c r="J35" s="8">
        <v>9</v>
      </c>
      <c r="K35" s="8">
        <f t="shared" si="4"/>
        <v>27</v>
      </c>
      <c r="L35" s="3">
        <f t="shared" si="5"/>
        <v>36</v>
      </c>
      <c r="M35" s="3">
        <v>2</v>
      </c>
      <c r="N35" s="4">
        <v>54</v>
      </c>
      <c r="O35" s="5">
        <f t="shared" si="3"/>
        <v>0.70370370370370372</v>
      </c>
    </row>
    <row r="36" spans="1:15" x14ac:dyDescent="0.25">
      <c r="A36" t="s">
        <v>93</v>
      </c>
      <c r="B36" t="s">
        <v>4</v>
      </c>
      <c r="C36" t="s">
        <v>94</v>
      </c>
      <c r="D36" t="s">
        <v>15</v>
      </c>
      <c r="E36" t="s">
        <v>14</v>
      </c>
      <c r="F36">
        <v>947.77030000000002</v>
      </c>
      <c r="G36" s="7" t="s">
        <v>16</v>
      </c>
      <c r="H36" s="7">
        <v>57</v>
      </c>
      <c r="I36" s="7">
        <v>2</v>
      </c>
      <c r="J36" s="8">
        <v>46</v>
      </c>
      <c r="K36" s="8">
        <f t="shared" si="4"/>
        <v>177</v>
      </c>
      <c r="L36" s="3">
        <f t="shared" si="5"/>
        <v>223</v>
      </c>
      <c r="M36" s="3">
        <v>2</v>
      </c>
      <c r="N36" s="4">
        <v>54</v>
      </c>
      <c r="O36" s="5">
        <f t="shared" si="3"/>
        <v>4.166666666666667</v>
      </c>
    </row>
    <row r="37" spans="1:15" x14ac:dyDescent="0.25">
      <c r="A37" t="s">
        <v>95</v>
      </c>
      <c r="B37" t="s">
        <v>4</v>
      </c>
      <c r="C37" t="s">
        <v>96</v>
      </c>
      <c r="D37" t="s">
        <v>50</v>
      </c>
      <c r="E37" t="s">
        <v>6</v>
      </c>
      <c r="F37">
        <v>153.18270000000001</v>
      </c>
      <c r="G37" s="7" t="s">
        <v>7</v>
      </c>
      <c r="H37" s="7">
        <v>4</v>
      </c>
      <c r="I37" s="7">
        <v>3</v>
      </c>
      <c r="J37" s="8">
        <v>7</v>
      </c>
      <c r="K37" s="8">
        <f t="shared" si="4"/>
        <v>21</v>
      </c>
      <c r="L37" s="3">
        <f t="shared" si="5"/>
        <v>28</v>
      </c>
      <c r="M37" s="3">
        <v>2</v>
      </c>
      <c r="N37" s="4">
        <v>54</v>
      </c>
      <c r="O37" s="5">
        <f t="shared" si="3"/>
        <v>0.55555555555555558</v>
      </c>
    </row>
    <row r="38" spans="1:15" x14ac:dyDescent="0.25">
      <c r="A38" t="s">
        <v>97</v>
      </c>
      <c r="B38" t="s">
        <v>4</v>
      </c>
      <c r="C38" t="s">
        <v>98</v>
      </c>
      <c r="D38" t="s">
        <v>67</v>
      </c>
      <c r="E38" t="s">
        <v>43</v>
      </c>
      <c r="F38">
        <v>3402.1667000000002</v>
      </c>
      <c r="G38" s="7" t="s">
        <v>78</v>
      </c>
      <c r="H38" s="7">
        <v>50</v>
      </c>
      <c r="I38" s="7">
        <v>3</v>
      </c>
      <c r="J38" s="8">
        <v>81</v>
      </c>
      <c r="K38" s="8">
        <f>(H38+I38)*3</f>
        <v>159</v>
      </c>
      <c r="L38" s="3">
        <f>J38+K38</f>
        <v>240</v>
      </c>
      <c r="M38" s="3">
        <v>2</v>
      </c>
      <c r="N38" s="4">
        <v>54</v>
      </c>
      <c r="O38" s="5">
        <f t="shared" ref="O38:O47" si="6">(L38+M38)/N38</f>
        <v>4.4814814814814818</v>
      </c>
    </row>
    <row r="39" spans="1:15" x14ac:dyDescent="0.25">
      <c r="A39" t="s">
        <v>99</v>
      </c>
      <c r="B39" t="s">
        <v>4</v>
      </c>
      <c r="C39" t="s">
        <v>100</v>
      </c>
      <c r="D39" t="s">
        <v>101</v>
      </c>
      <c r="E39" t="s">
        <v>74</v>
      </c>
      <c r="F39">
        <v>1225.4372000000001</v>
      </c>
      <c r="G39" s="7" t="s">
        <v>78</v>
      </c>
      <c r="H39" s="7">
        <v>30</v>
      </c>
      <c r="I39" s="7">
        <v>3</v>
      </c>
      <c r="J39" s="8">
        <v>64</v>
      </c>
      <c r="K39" s="8">
        <f>(H39+I39)*3</f>
        <v>99</v>
      </c>
      <c r="L39" s="3">
        <f>J39+K39</f>
        <v>163</v>
      </c>
      <c r="M39" s="3">
        <v>2</v>
      </c>
      <c r="N39" s="4">
        <v>54</v>
      </c>
      <c r="O39" s="5">
        <f t="shared" si="6"/>
        <v>3.0555555555555554</v>
      </c>
    </row>
    <row r="40" spans="1:15" x14ac:dyDescent="0.25">
      <c r="A40" t="s">
        <v>102</v>
      </c>
      <c r="B40" t="s">
        <v>4</v>
      </c>
      <c r="C40" t="s">
        <v>103</v>
      </c>
      <c r="D40" t="s">
        <v>47</v>
      </c>
      <c r="E40" t="s">
        <v>6</v>
      </c>
      <c r="F40">
        <v>1451.0516</v>
      </c>
      <c r="G40" s="7" t="s">
        <v>78</v>
      </c>
      <c r="H40" s="7">
        <v>25</v>
      </c>
      <c r="I40" s="7">
        <v>2</v>
      </c>
      <c r="J40" s="8">
        <v>31</v>
      </c>
      <c r="K40" s="8">
        <f>(H40+I40)*3</f>
        <v>81</v>
      </c>
      <c r="L40" s="3">
        <f>J40+K40</f>
        <v>112</v>
      </c>
      <c r="M40" s="4">
        <v>2</v>
      </c>
      <c r="N40" s="4">
        <v>54</v>
      </c>
      <c r="O40" s="5">
        <f t="shared" si="6"/>
        <v>2.1111111111111112</v>
      </c>
    </row>
    <row r="41" spans="1:15" x14ac:dyDescent="0.25">
      <c r="A41" t="s">
        <v>104</v>
      </c>
      <c r="B41" t="s">
        <v>4</v>
      </c>
      <c r="C41" t="s">
        <v>105</v>
      </c>
      <c r="D41" t="s">
        <v>47</v>
      </c>
      <c r="E41" t="s">
        <v>6</v>
      </c>
      <c r="F41">
        <v>1027.4880000000001</v>
      </c>
      <c r="G41" s="7" t="s">
        <v>78</v>
      </c>
      <c r="H41" s="7">
        <v>20</v>
      </c>
      <c r="I41" s="7">
        <v>3</v>
      </c>
      <c r="J41" s="8">
        <v>53</v>
      </c>
      <c r="K41" s="8">
        <f>(H41+I41)*3</f>
        <v>69</v>
      </c>
      <c r="L41" s="3">
        <f>J41+K41</f>
        <v>122</v>
      </c>
      <c r="M41" s="4">
        <v>2</v>
      </c>
      <c r="N41" s="4">
        <v>54</v>
      </c>
      <c r="O41" s="5">
        <f t="shared" si="6"/>
        <v>2.2962962962962963</v>
      </c>
    </row>
    <row r="42" spans="1:15" x14ac:dyDescent="0.25">
      <c r="A42" t="s">
        <v>106</v>
      </c>
      <c r="B42" t="s">
        <v>4</v>
      </c>
      <c r="C42" t="s">
        <v>107</v>
      </c>
      <c r="D42" t="s">
        <v>108</v>
      </c>
      <c r="E42" t="s">
        <v>74</v>
      </c>
      <c r="F42">
        <v>1485.4623999999999</v>
      </c>
      <c r="G42" s="7" t="s">
        <v>78</v>
      </c>
      <c r="H42" s="7">
        <v>28</v>
      </c>
      <c r="I42" s="7">
        <v>3</v>
      </c>
      <c r="J42" s="8">
        <v>104</v>
      </c>
      <c r="K42" s="8">
        <f>(H42+I42)*3</f>
        <v>93</v>
      </c>
      <c r="L42" s="3">
        <f>J42+K42</f>
        <v>197</v>
      </c>
      <c r="M42" s="4">
        <v>2</v>
      </c>
      <c r="N42" s="4">
        <v>54</v>
      </c>
      <c r="O42" s="5">
        <f t="shared" si="6"/>
        <v>3.6851851851851851</v>
      </c>
    </row>
    <row r="43" spans="1:15" x14ac:dyDescent="0.25">
      <c r="A43" t="s">
        <v>109</v>
      </c>
      <c r="B43" t="s">
        <v>4</v>
      </c>
      <c r="C43" t="s">
        <v>110</v>
      </c>
      <c r="D43" t="s">
        <v>111</v>
      </c>
      <c r="E43" t="s">
        <v>43</v>
      </c>
      <c r="F43">
        <v>1263.0305000000001</v>
      </c>
      <c r="G43" s="7" t="s">
        <v>78</v>
      </c>
      <c r="H43" s="7">
        <v>29</v>
      </c>
      <c r="I43" s="7">
        <v>4</v>
      </c>
      <c r="J43" s="8">
        <v>100</v>
      </c>
      <c r="K43" s="8">
        <f>(H43+I43)*3</f>
        <v>99</v>
      </c>
      <c r="L43" s="3">
        <f>J43+K43</f>
        <v>199</v>
      </c>
      <c r="M43" s="3">
        <v>2</v>
      </c>
      <c r="N43" s="4">
        <v>54</v>
      </c>
      <c r="O43" s="5">
        <f t="shared" si="6"/>
        <v>3.7222222222222223</v>
      </c>
    </row>
    <row r="44" spans="1:15" x14ac:dyDescent="0.25">
      <c r="A44" t="s">
        <v>112</v>
      </c>
      <c r="B44" t="s">
        <v>4</v>
      </c>
      <c r="C44" t="s">
        <v>113</v>
      </c>
      <c r="D44" t="s">
        <v>19</v>
      </c>
      <c r="E44" t="s">
        <v>10</v>
      </c>
      <c r="F44">
        <v>1829.0753999999999</v>
      </c>
      <c r="G44" s="7" t="s">
        <v>78</v>
      </c>
      <c r="H44" s="7">
        <v>50</v>
      </c>
      <c r="I44" s="7">
        <v>4</v>
      </c>
      <c r="J44" s="8">
        <v>59</v>
      </c>
      <c r="K44" s="8">
        <f>(H44+I44)*3</f>
        <v>162</v>
      </c>
      <c r="L44" s="3">
        <f>J44+K44</f>
        <v>221</v>
      </c>
      <c r="M44" s="3">
        <v>2</v>
      </c>
      <c r="N44" s="4">
        <v>54</v>
      </c>
      <c r="O44" s="5">
        <f t="shared" si="6"/>
        <v>4.1296296296296298</v>
      </c>
    </row>
    <row r="45" spans="1:15" x14ac:dyDescent="0.25">
      <c r="A45" t="s">
        <v>114</v>
      </c>
      <c r="B45" t="s">
        <v>4</v>
      </c>
      <c r="C45" t="s">
        <v>115</v>
      </c>
      <c r="D45" t="s">
        <v>116</v>
      </c>
      <c r="E45" t="s">
        <v>6</v>
      </c>
      <c r="F45">
        <v>2056.9459999999999</v>
      </c>
      <c r="G45" s="7" t="s">
        <v>78</v>
      </c>
      <c r="H45" s="7">
        <v>30</v>
      </c>
      <c r="I45" s="7">
        <v>3</v>
      </c>
      <c r="J45" s="8">
        <v>69</v>
      </c>
      <c r="K45" s="8">
        <f>(H45+I45)*3</f>
        <v>99</v>
      </c>
      <c r="L45" s="3">
        <f>J45+K45</f>
        <v>168</v>
      </c>
      <c r="M45" s="3">
        <v>2</v>
      </c>
      <c r="N45" s="4">
        <v>54</v>
      </c>
      <c r="O45" s="5">
        <f t="shared" si="6"/>
        <v>3.1481481481481484</v>
      </c>
    </row>
    <row r="46" spans="1:15" x14ac:dyDescent="0.25">
      <c r="A46" t="s">
        <v>117</v>
      </c>
      <c r="B46" t="s">
        <v>4</v>
      </c>
      <c r="C46" t="s">
        <v>118</v>
      </c>
      <c r="D46" t="s">
        <v>47</v>
      </c>
      <c r="E46" t="s">
        <v>6</v>
      </c>
      <c r="F46">
        <v>2442.2094000000002</v>
      </c>
      <c r="G46" s="7" t="s">
        <v>78</v>
      </c>
      <c r="H46" s="7">
        <v>49</v>
      </c>
      <c r="I46" s="7">
        <v>3</v>
      </c>
      <c r="J46" s="8">
        <v>23</v>
      </c>
      <c r="K46" s="8">
        <f>(H46+I46)*3</f>
        <v>156</v>
      </c>
      <c r="L46" s="3">
        <f>J46+K46</f>
        <v>179</v>
      </c>
      <c r="M46" s="3">
        <v>2</v>
      </c>
      <c r="N46" s="4">
        <v>54</v>
      </c>
      <c r="O46" s="5">
        <f t="shared" si="6"/>
        <v>3.3518518518518516</v>
      </c>
    </row>
    <row r="47" spans="1:15" x14ac:dyDescent="0.25">
      <c r="A47" t="s">
        <v>119</v>
      </c>
      <c r="B47" t="s">
        <v>4</v>
      </c>
      <c r="C47" t="s">
        <v>120</v>
      </c>
      <c r="D47" t="s">
        <v>75</v>
      </c>
      <c r="E47" t="s">
        <v>74</v>
      </c>
      <c r="F47">
        <v>1075.1838</v>
      </c>
      <c r="G47" s="7" t="s">
        <v>78</v>
      </c>
      <c r="H47" s="7">
        <v>53</v>
      </c>
      <c r="I47" s="7">
        <v>4</v>
      </c>
      <c r="J47" s="8">
        <v>40</v>
      </c>
      <c r="K47" s="8">
        <f>(H47+I47)*3</f>
        <v>171</v>
      </c>
      <c r="L47" s="3">
        <f>J47+K47</f>
        <v>211</v>
      </c>
      <c r="M47" s="3">
        <v>2</v>
      </c>
      <c r="N47" s="4">
        <v>54</v>
      </c>
      <c r="O47" s="5">
        <f t="shared" si="6"/>
        <v>3.9444444444444446</v>
      </c>
    </row>
    <row r="48" spans="1:15" x14ac:dyDescent="0.25">
      <c r="A48" t="s">
        <v>121</v>
      </c>
      <c r="B48" t="s">
        <v>4</v>
      </c>
      <c r="C48" t="s">
        <v>122</v>
      </c>
      <c r="D48" t="s">
        <v>75</v>
      </c>
      <c r="E48" t="s">
        <v>74</v>
      </c>
      <c r="F48">
        <v>2866.9812999999999</v>
      </c>
      <c r="G48" s="7" t="s">
        <v>78</v>
      </c>
      <c r="H48" s="7">
        <v>101</v>
      </c>
      <c r="I48" s="7">
        <v>7</v>
      </c>
      <c r="J48" s="8">
        <v>47</v>
      </c>
      <c r="K48" s="8">
        <f>(H48+I48)*3</f>
        <v>324</v>
      </c>
      <c r="L48" s="3">
        <f>J48+K48</f>
        <v>371</v>
      </c>
      <c r="M48" s="3">
        <v>2</v>
      </c>
      <c r="N48" s="4">
        <v>54</v>
      </c>
      <c r="O48" s="5">
        <f t="shared" ref="O48:O54" si="7">(L48+M48)/N48</f>
        <v>6.9074074074074074</v>
      </c>
    </row>
    <row r="49" spans="1:16" x14ac:dyDescent="0.25">
      <c r="A49" t="s">
        <v>123</v>
      </c>
      <c r="B49" t="s">
        <v>4</v>
      </c>
      <c r="C49" t="s">
        <v>124</v>
      </c>
      <c r="D49" t="s">
        <v>101</v>
      </c>
      <c r="E49" t="s">
        <v>74</v>
      </c>
      <c r="F49">
        <v>1342.7132999999999</v>
      </c>
      <c r="G49" s="7" t="s">
        <v>78</v>
      </c>
      <c r="H49" s="7">
        <v>34</v>
      </c>
      <c r="I49" s="7">
        <v>3</v>
      </c>
      <c r="J49" s="8">
        <v>64</v>
      </c>
      <c r="K49" s="8">
        <f>(H49+I49)*3</f>
        <v>111</v>
      </c>
      <c r="L49" s="3">
        <f>J49+K49</f>
        <v>175</v>
      </c>
      <c r="M49" s="3">
        <v>2</v>
      </c>
      <c r="N49" s="4">
        <v>54</v>
      </c>
      <c r="O49" s="5">
        <f t="shared" si="7"/>
        <v>3.2777777777777777</v>
      </c>
    </row>
    <row r="50" spans="1:16" x14ac:dyDescent="0.25">
      <c r="A50" t="s">
        <v>125</v>
      </c>
      <c r="B50" t="s">
        <v>4</v>
      </c>
      <c r="C50" t="s">
        <v>126</v>
      </c>
      <c r="D50" t="s">
        <v>15</v>
      </c>
      <c r="E50" t="s">
        <v>14</v>
      </c>
      <c r="F50">
        <v>2261.6576</v>
      </c>
      <c r="G50" s="7" t="s">
        <v>78</v>
      </c>
      <c r="H50" s="7">
        <v>46</v>
      </c>
      <c r="I50" s="7">
        <v>2</v>
      </c>
      <c r="J50" s="8">
        <v>59</v>
      </c>
      <c r="K50" s="8">
        <f>(H50+I50)*3</f>
        <v>144</v>
      </c>
      <c r="L50" s="3">
        <f>J50+K50</f>
        <v>203</v>
      </c>
      <c r="M50" s="3">
        <v>2</v>
      </c>
      <c r="N50" s="4">
        <v>54</v>
      </c>
      <c r="O50" s="5">
        <f t="shared" si="7"/>
        <v>3.7962962962962963</v>
      </c>
    </row>
    <row r="51" spans="1:16" x14ac:dyDescent="0.25">
      <c r="A51" t="s">
        <v>127</v>
      </c>
      <c r="B51" t="s">
        <v>4</v>
      </c>
      <c r="C51" t="s">
        <v>128</v>
      </c>
      <c r="D51" t="s">
        <v>47</v>
      </c>
      <c r="E51" t="s">
        <v>6</v>
      </c>
      <c r="F51">
        <v>1062.6994</v>
      </c>
      <c r="G51" s="7" t="s">
        <v>78</v>
      </c>
      <c r="H51" s="7">
        <v>2</v>
      </c>
      <c r="I51" s="7">
        <v>3</v>
      </c>
      <c r="J51" s="8">
        <v>63</v>
      </c>
      <c r="K51" s="8">
        <f>(H51+I51)*3</f>
        <v>15</v>
      </c>
      <c r="L51" s="3">
        <f>J51+K51</f>
        <v>78</v>
      </c>
      <c r="M51" s="3">
        <v>2</v>
      </c>
      <c r="N51" s="4">
        <v>54</v>
      </c>
      <c r="O51" s="5">
        <f t="shared" si="7"/>
        <v>1.4814814814814814</v>
      </c>
    </row>
    <row r="52" spans="1:16" x14ac:dyDescent="0.25">
      <c r="A52" t="s">
        <v>129</v>
      </c>
      <c r="B52" t="s">
        <v>4</v>
      </c>
      <c r="C52" t="s">
        <v>130</v>
      </c>
      <c r="D52" t="s">
        <v>50</v>
      </c>
      <c r="E52" t="s">
        <v>6</v>
      </c>
      <c r="F52">
        <v>3231.82</v>
      </c>
      <c r="G52" s="7" t="s">
        <v>78</v>
      </c>
      <c r="H52" s="7">
        <v>66</v>
      </c>
      <c r="I52" s="7">
        <v>4</v>
      </c>
      <c r="J52" s="8">
        <v>131</v>
      </c>
      <c r="K52" s="8">
        <f>(H52+I52)*3</f>
        <v>210</v>
      </c>
      <c r="L52" s="3">
        <f>J52+K52</f>
        <v>341</v>
      </c>
      <c r="M52" s="3">
        <v>2</v>
      </c>
      <c r="N52" s="4">
        <v>54</v>
      </c>
      <c r="O52" s="5">
        <f t="shared" si="7"/>
        <v>6.3518518518518521</v>
      </c>
    </row>
    <row r="53" spans="1:16" ht="15.75" thickBot="1" x14ac:dyDescent="0.3">
      <c r="A53" t="s">
        <v>131</v>
      </c>
      <c r="B53" t="s">
        <v>4</v>
      </c>
      <c r="C53" t="s">
        <v>132</v>
      </c>
      <c r="D53" t="s">
        <v>133</v>
      </c>
      <c r="E53" t="s">
        <v>22</v>
      </c>
      <c r="F53">
        <v>705.37099999999998</v>
      </c>
      <c r="G53" s="7" t="s">
        <v>78</v>
      </c>
      <c r="H53" s="7">
        <v>20</v>
      </c>
      <c r="I53" s="7">
        <v>2</v>
      </c>
      <c r="J53" s="8">
        <v>49</v>
      </c>
      <c r="K53" s="8">
        <f>(H53+I53)*3</f>
        <v>66</v>
      </c>
      <c r="L53" s="3">
        <f>J53+K53</f>
        <v>115</v>
      </c>
      <c r="M53" s="3">
        <v>2</v>
      </c>
      <c r="N53" s="4">
        <v>54</v>
      </c>
      <c r="O53" s="5">
        <f t="shared" si="7"/>
        <v>2.1666666666666665</v>
      </c>
    </row>
    <row r="54" spans="1:16" ht="15.75" thickBot="1" x14ac:dyDescent="0.3">
      <c r="A54" s="9"/>
      <c r="B54" s="10"/>
      <c r="C54" s="10"/>
      <c r="D54" s="10"/>
      <c r="E54" s="10"/>
      <c r="F54" s="10"/>
      <c r="G54" s="10"/>
      <c r="H54" s="10"/>
      <c r="I54" s="10"/>
      <c r="J54" s="11">
        <v>20700</v>
      </c>
      <c r="K54" s="12">
        <f>SUM(K2:K53)</f>
        <v>6453</v>
      </c>
      <c r="L54" s="12">
        <f>J54+K54</f>
        <v>27153</v>
      </c>
      <c r="M54" s="12">
        <v>2</v>
      </c>
      <c r="N54" s="13">
        <v>54</v>
      </c>
      <c r="O54" s="14">
        <f>(L54+M54)/N54</f>
        <v>502.87037037037038</v>
      </c>
      <c r="P54">
        <f>O54/22</f>
        <v>22.857744107744107</v>
      </c>
    </row>
    <row r="56" spans="1:16" x14ac:dyDescent="0.25">
      <c r="I56" t="s">
        <v>146</v>
      </c>
      <c r="L56" s="15">
        <f>L54*0.8</f>
        <v>21722.400000000001</v>
      </c>
    </row>
  </sheetData>
  <autoFilter ref="A1:O53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LICITACAO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Erison</dc:creator>
  <cp:lastModifiedBy>Erison</cp:lastModifiedBy>
  <dcterms:created xsi:type="dcterms:W3CDTF">2016-12-24T04:57:11Z</dcterms:created>
  <dcterms:modified xsi:type="dcterms:W3CDTF">2016-12-24T12:29:10Z</dcterms:modified>
</cp:coreProperties>
</file>