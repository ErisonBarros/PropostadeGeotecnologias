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\PROPOSTA\"/>
    </mc:Choice>
  </mc:AlternateContent>
  <xr:revisionPtr revIDLastSave="0" documentId="13_ncr:1_{FA2BC27C-378B-4F05-94FB-0219CD014774}" xr6:coauthVersionLast="43" xr6:coauthVersionMax="43" xr10:uidLastSave="{00000000-0000-0000-0000-000000000000}"/>
  <bookViews>
    <workbookView xWindow="-120" yWindow="-120" windowWidth="20730" windowHeight="11160" xr2:uid="{1AEA0A1C-42FB-4B30-AB3A-678D5137859B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3" i="1" l="1"/>
  <c r="G12" i="1"/>
  <c r="G11" i="1"/>
  <c r="H5" i="1"/>
  <c r="H12" i="1" l="1"/>
  <c r="H11" i="1"/>
  <c r="H7" i="1"/>
  <c r="H6" i="1"/>
  <c r="H4" i="1"/>
  <c r="H3" i="1"/>
  <c r="D5" i="2" l="1"/>
  <c r="D6" i="2" s="1"/>
  <c r="H9" i="1"/>
  <c r="H13" i="1" s="1"/>
  <c r="H15" i="1" s="1"/>
  <c r="C2" i="2"/>
  <c r="E5" i="2"/>
  <c r="E6" i="2" s="1"/>
  <c r="F6" i="2" s="1"/>
  <c r="C4" i="2" l="1"/>
  <c r="F4" i="2" s="1"/>
  <c r="C3" i="2"/>
  <c r="F3" i="2" s="1"/>
  <c r="D2" i="2"/>
  <c r="D9" i="2" s="1"/>
  <c r="E2" i="2"/>
  <c r="F5" i="2"/>
  <c r="C9" i="2" l="1"/>
  <c r="E7" i="2" s="1"/>
  <c r="E8" i="2" s="1"/>
  <c r="F8" i="2" s="1"/>
  <c r="F2" i="2"/>
  <c r="F7" i="2" l="1"/>
  <c r="G8" i="2" s="1"/>
  <c r="E9" i="2"/>
  <c r="E10" i="2" s="1"/>
</calcChain>
</file>

<file path=xl/sharedStrings.xml><?xml version="1.0" encoding="utf-8"?>
<sst xmlns="http://schemas.openxmlformats.org/spreadsheetml/2006/main" count="48" uniqueCount="34">
  <si>
    <t>ITENS</t>
  </si>
  <si>
    <t>DESCRIÇÃO</t>
  </si>
  <si>
    <t>UND</t>
  </si>
  <si>
    <t>QUANT.</t>
  </si>
  <si>
    <t>PREÇO TOTAL</t>
  </si>
  <si>
    <t>PASSAGEM AÉREA (IDA E VOLTA)</t>
  </si>
  <si>
    <t>DIAS</t>
  </si>
  <si>
    <t>HOSPEDAGEM</t>
  </si>
  <si>
    <t>ALIMENTAÇÃO</t>
  </si>
  <si>
    <t>TOTAL</t>
  </si>
  <si>
    <t>DESPESAS FIXAS</t>
  </si>
  <si>
    <t>ALUGUEL DE VÉICULLO</t>
  </si>
  <si>
    <t>GASOLINA</t>
  </si>
  <si>
    <t>LITROS</t>
  </si>
  <si>
    <t>AUXILIAR</t>
  </si>
  <si>
    <t>VERBA</t>
  </si>
  <si>
    <t>BDI</t>
  </si>
  <si>
    <t>Treinamento da equipe de escritório para reconhecimento e identificação dos limites legais baseado nos documentos comprovatório de domínio da propriedade;</t>
  </si>
  <si>
    <t xml:space="preserve">Acessória em escritório para serviço do georreferenciamento para fins de certificação junto ao INCRA de cerca de 70.000 hectares. </t>
  </si>
  <si>
    <t>Treinamento da equipe de Campo na operação de rastreio com receptores GNSS dupla frequência (CA L1/L2) dos vértices limites de propriedade conforme preconiza a 3º Edição Norma Técnica de Georreferenciamento de Imóveis Rurais – NTGIR;</t>
  </si>
  <si>
    <t xml:space="preserve">Organização e armazenamento de arquivos brutos e formato Rinex dos trabalhos necessários para o credenciado. </t>
  </si>
  <si>
    <t>Processamento diário dos dados de Campo, assim como elaboração de croquis de esclarecimento de dúvidas de campo.</t>
  </si>
  <si>
    <t>Elaboração das Peças Técnicas sobre o serviço de Georreferenciamento para fins de certificação junto ao INCRA sobre o código do credenciado, e auxilio no preenchimento da anotação de responsabilidade técnica (ART).</t>
  </si>
  <si>
    <t>Lançamento da Planilha Técnica (Planilha ODS) no SIGEF com o Token do Credenciado.</t>
  </si>
  <si>
    <t>1º PARTE  -  INICIO</t>
  </si>
  <si>
    <t>2ºPARTE - MEIO</t>
  </si>
  <si>
    <t>3º PARTE - FINAL</t>
  </si>
  <si>
    <t>CLASS</t>
  </si>
  <si>
    <t>COEF.</t>
  </si>
  <si>
    <t>PREÇO UNIT.</t>
  </si>
  <si>
    <t>DESP</t>
  </si>
  <si>
    <t>ENGENHEIRO</t>
  </si>
  <si>
    <t>EQUIPE DE CAMPO</t>
  </si>
  <si>
    <t>MOTORISTA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</si>
</sst>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7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/>
    <xf numFmtId="44" fontId="0" fillId="0" borderId="0" xfId="0" applyNumberFormat="1"/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center"/>
    </xf>
    <xf numFmtId="44" fontId="0" fillId="0" borderId="1" xfId="1" applyFont="1" applyBorder="1"/>
    <xf numFmtId="44" fontId="0" fillId="0" borderId="1" xfId="0" applyNumberFormat="1" applyBorder="1"/>
    <xf numFmtId="44" fontId="3" fillId="3" borderId="1" xfId="1" applyFont="1" applyFill="1" applyBorder="1" applyAlignment="1">
      <alignment horizontal="center"/>
    </xf>
    <xf numFmtId="44" fontId="3" fillId="3" borderId="1" xfId="0" applyNumberFormat="1" applyFont="1" applyFill="1" applyBorder="1"/>
    <xf numFmtId="9" fontId="0" fillId="0" borderId="0" xfId="0" applyNumberFormat="1"/>
    <xf numFmtId="44" fontId="0" fillId="3" borderId="0" xfId="0" applyNumberFormat="1" applyFill="1"/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wrapText="1"/>
    </xf>
    <xf numFmtId="44" fontId="5" fillId="0" borderId="1" xfId="1" applyFont="1" applyBorder="1" applyAlignment="1">
      <alignment horizontal="center" vertical="center"/>
    </xf>
    <xf numFmtId="44" fontId="5" fillId="0" borderId="1" xfId="0" applyNumberFormat="1" applyFont="1" applyBorder="1" applyAlignment="1">
      <alignment horizontal="center" vertical="center"/>
    </xf>
    <xf numFmtId="44" fontId="4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44" fontId="4" fillId="3" borderId="1" xfId="0" applyNumberFormat="1" applyFont="1" applyFill="1" applyBorder="1" applyAlignment="1">
      <alignment horizontal="center" vertical="center"/>
    </xf>
    <xf numFmtId="44" fontId="6" fillId="3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</cellXfs>
  <cellStyles count="3">
    <cellStyle name="Moeda" xfId="1" builtinId="4"/>
    <cellStyle name="Normal" xfId="0" builtinId="0"/>
    <cellStyle name="Normal 2" xfId="2" xr:uid="{58E1CBBD-01C6-4925-9A30-57258D1A65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D7530-BC59-40B7-8615-B65C9A607172}">
  <dimension ref="A1:H17"/>
  <sheetViews>
    <sheetView tabSelected="1" workbookViewId="0">
      <selection activeCell="H18" sqref="H18"/>
    </sheetView>
  </sheetViews>
  <sheetFormatPr defaultRowHeight="15" x14ac:dyDescent="0.25"/>
  <cols>
    <col min="1" max="1" width="6" bestFit="1" customWidth="1"/>
    <col min="2" max="2" width="30" customWidth="1"/>
    <col min="4" max="6" width="10" customWidth="1"/>
    <col min="7" max="7" width="13.28515625" bestFit="1" customWidth="1"/>
    <col min="8" max="8" width="13.5703125" customWidth="1"/>
  </cols>
  <sheetData>
    <row r="1" spans="1:8" x14ac:dyDescent="0.25">
      <c r="A1" s="24" t="s">
        <v>10</v>
      </c>
      <c r="B1" s="24"/>
      <c r="C1" s="24"/>
      <c r="D1" s="24"/>
      <c r="E1" s="24"/>
      <c r="F1" s="24"/>
      <c r="G1" s="24"/>
      <c r="H1" s="24"/>
    </row>
    <row r="2" spans="1:8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27</v>
      </c>
      <c r="F2" s="5" t="s">
        <v>28</v>
      </c>
      <c r="G2" s="5" t="s">
        <v>29</v>
      </c>
      <c r="H2" s="5" t="s">
        <v>4</v>
      </c>
    </row>
    <row r="3" spans="1:8" x14ac:dyDescent="0.25">
      <c r="A3" s="4"/>
      <c r="B3" s="4" t="s">
        <v>5</v>
      </c>
      <c r="C3" s="4" t="s">
        <v>2</v>
      </c>
      <c r="D3" s="6">
        <v>0</v>
      </c>
      <c r="E3" s="6" t="s">
        <v>30</v>
      </c>
      <c r="F3" s="6"/>
      <c r="G3" s="7">
        <v>500</v>
      </c>
      <c r="H3" s="8">
        <f>D3*G3</f>
        <v>0</v>
      </c>
    </row>
    <row r="4" spans="1:8" x14ac:dyDescent="0.25">
      <c r="A4" s="4"/>
      <c r="B4" s="4" t="s">
        <v>11</v>
      </c>
      <c r="C4" s="4" t="s">
        <v>6</v>
      </c>
      <c r="D4" s="6">
        <v>3</v>
      </c>
      <c r="E4" s="6" t="s">
        <v>30</v>
      </c>
      <c r="F4" s="6"/>
      <c r="G4" s="7">
        <v>130</v>
      </c>
      <c r="H4" s="8">
        <f>D4*G4</f>
        <v>390</v>
      </c>
    </row>
    <row r="5" spans="1:8" x14ac:dyDescent="0.25">
      <c r="A5" s="4"/>
      <c r="B5" s="4" t="s">
        <v>12</v>
      </c>
      <c r="C5" s="4" t="s">
        <v>13</v>
      </c>
      <c r="D5" s="6">
        <v>10</v>
      </c>
      <c r="E5" s="6" t="s">
        <v>30</v>
      </c>
      <c r="F5" s="6">
        <v>1.2</v>
      </c>
      <c r="G5" s="7">
        <v>4.5</v>
      </c>
      <c r="H5" s="8">
        <f>F5*D5*G5</f>
        <v>54</v>
      </c>
    </row>
    <row r="6" spans="1:8" x14ac:dyDescent="0.25">
      <c r="A6" s="4"/>
      <c r="B6" s="4" t="s">
        <v>7</v>
      </c>
      <c r="C6" s="4" t="s">
        <v>6</v>
      </c>
      <c r="D6" s="6">
        <v>3</v>
      </c>
      <c r="E6" s="6" t="s">
        <v>30</v>
      </c>
      <c r="F6" s="6"/>
      <c r="G6" s="7">
        <v>80</v>
      </c>
      <c r="H6" s="8">
        <f>D6*G6</f>
        <v>240</v>
      </c>
    </row>
    <row r="7" spans="1:8" x14ac:dyDescent="0.25">
      <c r="A7" s="4"/>
      <c r="B7" s="4" t="s">
        <v>8</v>
      </c>
      <c r="C7" s="4" t="s">
        <v>6</v>
      </c>
      <c r="D7" s="6">
        <v>15</v>
      </c>
      <c r="E7" s="6" t="s">
        <v>30</v>
      </c>
      <c r="F7" s="6"/>
      <c r="G7" s="7">
        <v>60</v>
      </c>
      <c r="H7" s="8">
        <f>D7*G7</f>
        <v>900</v>
      </c>
    </row>
    <row r="8" spans="1:8" ht="4.5" customHeight="1" x14ac:dyDescent="0.25">
      <c r="G8" s="2"/>
    </row>
    <row r="9" spans="1:8" x14ac:dyDescent="0.25">
      <c r="G9" s="9" t="s">
        <v>9</v>
      </c>
      <c r="H9" s="10">
        <f>SUM(H3:H8)</f>
        <v>1584</v>
      </c>
    </row>
    <row r="10" spans="1:8" x14ac:dyDescent="0.25">
      <c r="B10" t="s">
        <v>32</v>
      </c>
      <c r="G10" s="2"/>
    </row>
    <row r="11" spans="1:8" x14ac:dyDescent="0.25">
      <c r="B11" t="s">
        <v>31</v>
      </c>
      <c r="C11" t="s">
        <v>15</v>
      </c>
      <c r="D11" s="1">
        <v>2</v>
      </c>
      <c r="E11" s="1"/>
      <c r="F11" s="1"/>
      <c r="G11" s="2">
        <f>7000/22</f>
        <v>318.18181818181819</v>
      </c>
      <c r="H11" s="3">
        <f>D11*G11</f>
        <v>636.36363636363637</v>
      </c>
    </row>
    <row r="12" spans="1:8" x14ac:dyDescent="0.25">
      <c r="B12" t="s">
        <v>14</v>
      </c>
      <c r="C12" t="s">
        <v>15</v>
      </c>
      <c r="D12" s="1">
        <v>2</v>
      </c>
      <c r="E12" s="1"/>
      <c r="F12" s="1"/>
      <c r="G12" s="2">
        <f>(998/22)</f>
        <v>45.363636363636367</v>
      </c>
      <c r="H12" s="3">
        <f>D12*G12</f>
        <v>90.727272727272734</v>
      </c>
    </row>
    <row r="13" spans="1:8" x14ac:dyDescent="0.25">
      <c r="B13" t="s">
        <v>33</v>
      </c>
      <c r="C13" t="s">
        <v>15</v>
      </c>
      <c r="D13" s="1">
        <v>2</v>
      </c>
      <c r="G13" s="2">
        <f>(998/22)</f>
        <v>45.363636363636367</v>
      </c>
      <c r="H13" s="3">
        <f>H9+H11+H12</f>
        <v>2311.090909090909</v>
      </c>
    </row>
    <row r="14" spans="1:8" x14ac:dyDescent="0.25">
      <c r="G14" s="2" t="s">
        <v>16</v>
      </c>
      <c r="H14" s="11">
        <v>0.15</v>
      </c>
    </row>
    <row r="15" spans="1:8" x14ac:dyDescent="0.25">
      <c r="G15" s="9" t="s">
        <v>9</v>
      </c>
      <c r="H15" s="10">
        <f>H13*1.1</f>
        <v>2542.2000000000003</v>
      </c>
    </row>
    <row r="16" spans="1:8" x14ac:dyDescent="0.25">
      <c r="G16" s="2"/>
    </row>
    <row r="17" spans="7:7" x14ac:dyDescent="0.25">
      <c r="G17" s="2"/>
    </row>
  </sheetData>
  <mergeCells count="1">
    <mergeCell ref="A1:H1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2E134-2165-4EB8-9640-A74C01A86246}">
  <dimension ref="A1:G10"/>
  <sheetViews>
    <sheetView topLeftCell="A4" zoomScale="96" zoomScaleNormal="96" workbookViewId="0">
      <selection activeCell="H3" sqref="H3"/>
    </sheetView>
  </sheetViews>
  <sheetFormatPr defaultRowHeight="15" x14ac:dyDescent="0.25"/>
  <cols>
    <col min="2" max="2" width="36.7109375" customWidth="1"/>
    <col min="3" max="3" width="15" customWidth="1"/>
    <col min="4" max="4" width="13.140625" customWidth="1"/>
    <col min="5" max="5" width="10.7109375" customWidth="1"/>
    <col min="6" max="6" width="14.42578125" customWidth="1"/>
    <col min="7" max="7" width="13.28515625" bestFit="1" customWidth="1"/>
  </cols>
  <sheetData>
    <row r="1" spans="1:7" ht="32.25" customHeight="1" x14ac:dyDescent="0.25">
      <c r="A1" s="13" t="s">
        <v>0</v>
      </c>
      <c r="B1" s="13" t="s">
        <v>1</v>
      </c>
      <c r="C1" s="14" t="s">
        <v>24</v>
      </c>
      <c r="D1" s="14" t="s">
        <v>25</v>
      </c>
      <c r="E1" s="14" t="s">
        <v>26</v>
      </c>
      <c r="F1" s="15" t="s">
        <v>9</v>
      </c>
    </row>
    <row r="2" spans="1:7" ht="34.5" x14ac:dyDescent="0.25">
      <c r="A2" s="16">
        <v>1</v>
      </c>
      <c r="B2" s="17" t="s">
        <v>18</v>
      </c>
      <c r="C2" s="18">
        <f>(Planilha1!H11*1/3)+(Planilha1!H12*1/3)</f>
        <v>242.36363636363637</v>
      </c>
      <c r="D2" s="19">
        <f>C2</f>
        <v>242.36363636363637</v>
      </c>
      <c r="E2" s="19">
        <f>C2</f>
        <v>242.36363636363637</v>
      </c>
      <c r="F2" s="20">
        <f>SUM(C2:E2)</f>
        <v>727.09090909090912</v>
      </c>
    </row>
    <row r="3" spans="1:7" ht="45.75" x14ac:dyDescent="0.25">
      <c r="A3" s="16">
        <v>2</v>
      </c>
      <c r="B3" s="17" t="s">
        <v>17</v>
      </c>
      <c r="C3" s="19">
        <f>(Planilha1!H9/3)/2</f>
        <v>264</v>
      </c>
      <c r="D3" s="19">
        <v>0</v>
      </c>
      <c r="E3" s="19">
        <v>0</v>
      </c>
      <c r="F3" s="20">
        <f t="shared" ref="F3:F8" si="0">SUM(C3:E3)</f>
        <v>264</v>
      </c>
    </row>
    <row r="4" spans="1:7" ht="57" x14ac:dyDescent="0.25">
      <c r="A4" s="16">
        <v>3</v>
      </c>
      <c r="B4" s="17" t="s">
        <v>19</v>
      </c>
      <c r="C4" s="19">
        <f>(Planilha1!H9/3)/2</f>
        <v>264</v>
      </c>
      <c r="D4" s="19">
        <v>0</v>
      </c>
      <c r="E4" s="19">
        <v>0</v>
      </c>
      <c r="F4" s="20">
        <f t="shared" si="0"/>
        <v>264</v>
      </c>
    </row>
    <row r="5" spans="1:7" ht="34.5" x14ac:dyDescent="0.25">
      <c r="A5" s="16">
        <v>4</v>
      </c>
      <c r="B5" s="17" t="s">
        <v>20</v>
      </c>
      <c r="C5" s="19">
        <v>0</v>
      </c>
      <c r="D5" s="19">
        <f>(((Planilha1!H11*1/3)/2)+((Planilha1!H12*1/3))/2)/2</f>
        <v>60.590909090909093</v>
      </c>
      <c r="E5" s="19">
        <f>D5</f>
        <v>60.590909090909093</v>
      </c>
      <c r="F5" s="20">
        <f t="shared" si="0"/>
        <v>121.18181818181819</v>
      </c>
    </row>
    <row r="6" spans="1:7" ht="34.5" x14ac:dyDescent="0.25">
      <c r="A6" s="16">
        <v>5</v>
      </c>
      <c r="B6" s="17" t="s">
        <v>21</v>
      </c>
      <c r="C6" s="19">
        <v>0</v>
      </c>
      <c r="D6" s="19">
        <f>D5</f>
        <v>60.590909090909093</v>
      </c>
      <c r="E6" s="19">
        <f>E5</f>
        <v>60.590909090909093</v>
      </c>
      <c r="F6" s="20">
        <f t="shared" si="0"/>
        <v>121.18181818181819</v>
      </c>
    </row>
    <row r="7" spans="1:7" ht="57" x14ac:dyDescent="0.25">
      <c r="A7" s="16">
        <v>6</v>
      </c>
      <c r="B7" s="17" t="s">
        <v>22</v>
      </c>
      <c r="C7" s="19">
        <v>0</v>
      </c>
      <c r="D7" s="19">
        <v>0</v>
      </c>
      <c r="E7" s="19">
        <f>(F9-(C9+D9+SUM(E2:E6)))/2</f>
        <v>19251.272727272728</v>
      </c>
      <c r="F7" s="20">
        <f t="shared" si="0"/>
        <v>19251.272727272728</v>
      </c>
    </row>
    <row r="8" spans="1:7" ht="23.25" x14ac:dyDescent="0.25">
      <c r="A8" s="16">
        <v>7</v>
      </c>
      <c r="B8" s="17" t="s">
        <v>23</v>
      </c>
      <c r="C8" s="19">
        <v>0</v>
      </c>
      <c r="D8" s="19">
        <v>0</v>
      </c>
      <c r="E8" s="19">
        <f>E7</f>
        <v>19251.272727272728</v>
      </c>
      <c r="F8" s="20">
        <f t="shared" si="0"/>
        <v>19251.272727272728</v>
      </c>
      <c r="G8" s="12">
        <f>SUM(F2:F8)</f>
        <v>40000</v>
      </c>
    </row>
    <row r="9" spans="1:7" x14ac:dyDescent="0.25">
      <c r="A9" s="21"/>
      <c r="B9" s="14" t="s">
        <v>9</v>
      </c>
      <c r="C9" s="22">
        <f>SUM(C2:C8)</f>
        <v>770.36363636363637</v>
      </c>
      <c r="D9" s="22">
        <f>SUM(D2:D8)</f>
        <v>363.54545454545462</v>
      </c>
      <c r="E9" s="22">
        <f>SUM(E2:E8)</f>
        <v>38866.090909090912</v>
      </c>
      <c r="F9" s="23">
        <v>40000</v>
      </c>
    </row>
    <row r="10" spans="1:7" x14ac:dyDescent="0.25">
      <c r="E10" s="12">
        <f>SUM(C9:E9)</f>
        <v>40000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Erison</dc:creator>
  <cp:lastModifiedBy>Erison</cp:lastModifiedBy>
  <dcterms:created xsi:type="dcterms:W3CDTF">2018-11-02T01:39:00Z</dcterms:created>
  <dcterms:modified xsi:type="dcterms:W3CDTF">2019-06-30T21:16:16Z</dcterms:modified>
</cp:coreProperties>
</file>