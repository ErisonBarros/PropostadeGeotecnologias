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240" documentId="13_ncr:1_{2963B4E0-B56A-49E6-8D58-A41CE6476D6F}" xr6:coauthVersionLast="47" xr6:coauthVersionMax="47" xr10:uidLastSave="{9E5A202A-6A0B-4EB1-A4F0-43487BC68CBF}"/>
  <bookViews>
    <workbookView xWindow="-108" yWindow="-108" windowWidth="23256" windowHeight="12576" firstSheet="3" activeTab="5" xr2:uid="{5ED02DB9-6688-43E1-97CF-E94649A5C057}"/>
  </bookViews>
  <sheets>
    <sheet name="OBJETIVOS" sheetId="3" r:id="rId1"/>
    <sheet name="METAS" sheetId="4" r:id="rId2"/>
    <sheet name="CRONOGRAMA" sheetId="5" r:id="rId3"/>
    <sheet name="PESSOAL" sheetId="1" r:id="rId4"/>
    <sheet name="MATERIAL DE CONSUMO" sheetId="2" r:id="rId5"/>
    <sheet name="RESUMO ORÇAMENTÁRIO" sheetId="7" r:id="rId6"/>
    <sheet name="Equipamentos e Outros Materiais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7" l="1"/>
  <c r="F4" i="6"/>
  <c r="F3" i="6"/>
  <c r="F5" i="6" s="1"/>
  <c r="E4" i="7" s="1"/>
  <c r="F3" i="2" l="1"/>
  <c r="F4" i="2"/>
  <c r="F5" i="2"/>
  <c r="F2" i="2"/>
  <c r="F6" i="2"/>
  <c r="F7" i="2"/>
  <c r="F8" i="2"/>
  <c r="F9" i="2"/>
  <c r="F10" i="2"/>
  <c r="F11" i="2"/>
  <c r="F12" i="2"/>
  <c r="F13" i="2"/>
  <c r="F14" i="2"/>
  <c r="F7" i="1"/>
  <c r="G7" i="1"/>
  <c r="G6" i="1"/>
  <c r="F6" i="1"/>
  <c r="F5" i="1"/>
  <c r="F4" i="1"/>
  <c r="G4" i="1"/>
  <c r="F3" i="1"/>
  <c r="G3" i="1"/>
  <c r="F2" i="1"/>
  <c r="G2" i="1"/>
  <c r="F8" i="1" l="1"/>
  <c r="E3" i="7" s="1"/>
  <c r="F15" i="2"/>
  <c r="E2" i="7" s="1"/>
</calcChain>
</file>

<file path=xl/sharedStrings.xml><?xml version="1.0" encoding="utf-8"?>
<sst xmlns="http://schemas.openxmlformats.org/spreadsheetml/2006/main" count="168" uniqueCount="124">
  <si>
    <t>NOME</t>
  </si>
  <si>
    <t>FORMAÇÃO</t>
  </si>
  <si>
    <t>FUNÇÃO DO PROJETO</t>
  </si>
  <si>
    <t>CUSTO TOTAL</t>
  </si>
  <si>
    <t>TOTAL DE HORAS DE PROJETO</t>
  </si>
  <si>
    <t>CONSTRUÇÃO DOS MARCOS</t>
  </si>
  <si>
    <t>AUXILIAR DE LEVANTAMENTO</t>
  </si>
  <si>
    <t>ENG. CARTOGRAFO /AGRIMENSURA</t>
  </si>
  <si>
    <t xml:space="preserve">TÉCNICO </t>
  </si>
  <si>
    <t>VALOR UNITÁRIO</t>
  </si>
  <si>
    <t>TOTAL</t>
  </si>
  <si>
    <t>ITENS</t>
  </si>
  <si>
    <t>ESPECIFICAÇÃO</t>
  </si>
  <si>
    <t>UNID</t>
  </si>
  <si>
    <t>QTDE</t>
  </si>
  <si>
    <t>CUSTO UNIT</t>
  </si>
  <si>
    <t>CUST TOTAL</t>
  </si>
  <si>
    <t>CIMENTO</t>
  </si>
  <si>
    <t>BRITA 2</t>
  </si>
  <si>
    <t>ÁREIA MÉDIA</t>
  </si>
  <si>
    <t>TÁBUA DE PINUS</t>
  </si>
  <si>
    <t xml:space="preserve">ferro 1/4" de 12 metros </t>
  </si>
  <si>
    <t xml:space="preserve">barra </t>
  </si>
  <si>
    <t xml:space="preserve">ferro 3/8" de 12 metros </t>
  </si>
  <si>
    <t xml:space="preserve">pregos 17X27 </t>
  </si>
  <si>
    <t xml:space="preserve">kg </t>
  </si>
  <si>
    <t xml:space="preserve">marcos de concreto pré-moldado </t>
  </si>
  <si>
    <t xml:space="preserve">un </t>
  </si>
  <si>
    <t xml:space="preserve">chapas metálicas de identificação </t>
  </si>
  <si>
    <t xml:space="preserve">base nivelante de alumínio </t>
  </si>
  <si>
    <t xml:space="preserve">dispositivo de centragem forçada </t>
  </si>
  <si>
    <t xml:space="preserve">chapa de identificação do marco principal </t>
  </si>
  <si>
    <t xml:space="preserve">saco </t>
  </si>
  <si>
    <t>m3</t>
  </si>
  <si>
    <t>dúzia</t>
  </si>
  <si>
    <t>I. OBJETO</t>
  </si>
  <si>
    <t>II. OBJETIVO GERAL</t>
  </si>
  <si>
    <t>Construir, rastrear e fornecer as coordenadas geodésicas ajustadas de uma Rede</t>
  </si>
  <si>
    <t>III. OBJETIVOS ESPECÍFICOS</t>
  </si>
  <si>
    <r>
      <t xml:space="preserve">• </t>
    </r>
    <r>
      <rPr>
        <sz val="11"/>
        <color rgb="FF000000"/>
        <rFont val="Helvetica"/>
      </rPr>
      <t>Construir um marco geodésico de 2ª ordem, conforme modelo homologado pelo IBGE</t>
    </r>
  </si>
  <si>
    <t>(Instituto Brasileiro de Geografia e Estatística), conforme normas da CGED</t>
  </si>
  <si>
    <t>(Coordenação de Geodésia) da DGC ( Diretoria de Geociências) do referido órgão, no</t>
  </si>
  <si>
    <t>conforme padrão do IBGE;</t>
  </si>
  <si>
    <t>Rede Municipal de Pontos GPS, no município;</t>
  </si>
  <si>
    <r>
      <t xml:space="preserve">• </t>
    </r>
    <r>
      <rPr>
        <sz val="11"/>
        <color rgb="FF000000"/>
        <rFont val="Helvetica"/>
      </rPr>
      <t>Rastrear o marco geodésico de 2ªa ordem, os 02 marcos de azimute e os 20 marcos</t>
    </r>
  </si>
  <si>
    <t>de canto de quarteirão, conforme especificações normativas do IBGE;</t>
  </si>
  <si>
    <r>
      <t xml:space="preserve">• </t>
    </r>
    <r>
      <rPr>
        <sz val="11"/>
        <color rgb="FF000000"/>
        <rFont val="Helvetica"/>
      </rPr>
      <t>Organizar e encaminhar ao IBGE a documentação necessária à homologaçãodo</t>
    </r>
  </si>
  <si>
    <r>
      <t xml:space="preserve">• </t>
    </r>
    <r>
      <rPr>
        <sz val="11"/>
        <color rgb="FF000000"/>
        <rFont val="Helvetica"/>
      </rPr>
      <t>Apresentar proposta ao poder público municipal, Executivo e Legislativo, do modelo de</t>
    </r>
  </si>
  <si>
    <t>instrumento legal para oficialização da Rede de Referência Cadastral Municipal e</t>
  </si>
  <si>
    <t>Instituição da Base Cartográfica Municipal Urbana, de acordo com a NBR 14.166 e</t>
  </si>
  <si>
    <t>Normas do IBGE.(Base para o Cadastro Urbano), e;</t>
  </si>
  <si>
    <r>
      <t xml:space="preserve">• </t>
    </r>
    <r>
      <rPr>
        <sz val="11"/>
        <color rgb="FF000000"/>
        <rFont val="Helvetica"/>
      </rPr>
      <t>Nivelar todos os marcos em relação ao RN (Referência de Nível) mais próximo, por</t>
    </r>
  </si>
  <si>
    <t>nivelamento geométrico composto, conforme NBR 13.133.</t>
  </si>
  <si>
    <t>Cadastral Municipal, no município de ###############################</t>
  </si>
  <si>
    <t>perímetro urbano do município de #################################</t>
  </si>
  <si>
    <t>Marco Geodésico de 2ª Ordem, em nome da Prefeitura Municipal #####################################;</t>
  </si>
  <si>
    <t>1. Construir, rastrear e nivelar os Marcos da Rede Geodésica.</t>
  </si>
  <si>
    <r>
      <t xml:space="preserve">Comprovação da meta: </t>
    </r>
    <r>
      <rPr>
        <sz val="11"/>
        <color rgb="FF000000"/>
        <rFont val="Helvetica"/>
      </rPr>
      <t>enviar um relatório de ocupação e registros fotográficos.</t>
    </r>
  </si>
  <si>
    <t>2. Elaborar as coordenadas geográficas e geodésicas no Sistema Referencial Brasileiro</t>
  </si>
  <si>
    <t>(SIRGAS/2000).</t>
  </si>
  <si>
    <r>
      <t xml:space="preserve">Comprovação da meta: </t>
    </r>
    <r>
      <rPr>
        <sz val="11"/>
        <color rgb="FF000000"/>
        <rFont val="Helvetica"/>
      </rPr>
      <t>enviar um relatório contendo a descrição das coordenadas</t>
    </r>
  </si>
  <si>
    <t>geográficas e geodésicas e homologação do IBGE.</t>
  </si>
  <si>
    <t>3. Realizar 1 (um) curso, com duração de 4 horas, no mínimo, para 20 participantes,</t>
  </si>
  <si>
    <t>tendo como público alvo a universidade, equipe técnica da Prefeitura Municipal e</t>
  </si>
  <si>
    <t>demais profissionais da área, com a finalidade de preparação para a implantação da</t>
  </si>
  <si>
    <t>Rede Geodésica Municipal.</t>
  </si>
  <si>
    <r>
      <t xml:space="preserve">Comprovação da meta: </t>
    </r>
    <r>
      <rPr>
        <sz val="11"/>
        <color rgb="FF000000"/>
        <rFont val="Helvetica"/>
      </rPr>
      <t>enviar um relatório contendo o material de divulgação do</t>
    </r>
  </si>
  <si>
    <t>curso, a programação do curso, a metodologia, a lista de presença assinada pelos</t>
  </si>
  <si>
    <t>4. Realizar 1 (um) curso, com duração de 4 horas, no mínimo, para 20 participantes,</t>
  </si>
  <si>
    <t>demais profissionais da área, com a finalidade de disseminação da Tecnologia GPS e</t>
  </si>
  <si>
    <t>Cadastro Técnico Multifinalitário Municipal.</t>
  </si>
  <si>
    <t>5. Realizar 1 (um) curso, com duração de 20 horas, no mínimo, para 20 participantes,</t>
  </si>
  <si>
    <t>demais profissionais da área, com a finalidade de testes e aplicações de campo.</t>
  </si>
  <si>
    <t>participantes do curso e registros fotográficos do curso.</t>
  </si>
  <si>
    <t>participantes  do curso e registros fotográficos do curso.</t>
  </si>
  <si>
    <t>participantes  do curso e registros fotográficos</t>
  </si>
  <si>
    <t xml:space="preserve"> METAS</t>
  </si>
  <si>
    <t xml:space="preserve">ATIVIDADES </t>
  </si>
  <si>
    <t>TRIMESTRE</t>
  </si>
  <si>
    <t xml:space="preserve">DESCRIÇÃO </t>
  </si>
  <si>
    <t>Execução do Plano de Aplicação
dos Recursos concedidos através do
convênio</t>
  </si>
  <si>
    <t xml:space="preserve">x </t>
  </si>
  <si>
    <t>x</t>
  </si>
  <si>
    <t xml:space="preserve">X </t>
  </si>
  <si>
    <t>X</t>
  </si>
  <si>
    <t xml:space="preserve">Envio de Relatório para
acompanhamento técnico </t>
  </si>
  <si>
    <t xml:space="preserve">Envio de Relatório Final </t>
  </si>
  <si>
    <t xml:space="preserve">Executar e rastrear o marco
geodésico de 2ª ordem </t>
  </si>
  <si>
    <t xml:space="preserve">Executar e rastrear os dois marcos
de azimute </t>
  </si>
  <si>
    <t xml:space="preserve">Implantar e rastrear os 20 marcos de
rede cadastral </t>
  </si>
  <si>
    <t xml:space="preserve">Processamento dos dados e
oficialização da rede </t>
  </si>
  <si>
    <t xml:space="preserve">Difusão Tecnológica: Preparação
para implantação </t>
  </si>
  <si>
    <t xml:space="preserve">Difusão Tecnológica: Seminário
sobre a Tecnologia GPS </t>
  </si>
  <si>
    <t>Difusão Tecnológica: Prática de
campo - aplicação ligando teoria e
prática</t>
  </si>
  <si>
    <t>Nº</t>
  </si>
  <si>
    <t xml:space="preserve">Prestação de contas financeira </t>
  </si>
  <si>
    <t xml:space="preserve">Implatação de uma rede de Referencia cadastral </t>
  </si>
  <si>
    <r>
      <t xml:space="preserve">• </t>
    </r>
    <r>
      <rPr>
        <sz val="11"/>
        <color rgb="FF000000"/>
        <rFont val="Helvetica"/>
      </rPr>
      <t>Construir os ______marcos de azimute para amarração geodésica do marco principal,</t>
    </r>
  </si>
  <si>
    <r>
      <t xml:space="preserve">• </t>
    </r>
    <r>
      <rPr>
        <sz val="11"/>
        <color rgb="FF000000"/>
        <rFont val="Helvetica"/>
      </rPr>
      <t>Construir _______marcos georreferenciados de canto de quarteirão, para implantação da</t>
    </r>
  </si>
  <si>
    <t>tendo como público alvo a comunidade que vai utilizar a rede, equipe técnica da Prefeitura Municipal e</t>
  </si>
  <si>
    <t>15 dias</t>
  </si>
  <si>
    <t>30 dias</t>
  </si>
  <si>
    <t>45 dias</t>
  </si>
  <si>
    <t>60 dias</t>
  </si>
  <si>
    <t>75 dias</t>
  </si>
  <si>
    <t>90 dias</t>
  </si>
  <si>
    <t>UND</t>
  </si>
  <si>
    <t>VALOR</t>
  </si>
  <si>
    <t>MÊS</t>
  </si>
  <si>
    <t>Arame  galvanizado</t>
  </si>
  <si>
    <t>PEDREIRO/AJUDANTE</t>
  </si>
  <si>
    <t>AJUDANTE</t>
  </si>
  <si>
    <t>MATERIAL</t>
  </si>
  <si>
    <t>MÃO DE OBRA</t>
  </si>
  <si>
    <t>DESCRIÇÃO</t>
  </si>
  <si>
    <t>PREÇO UNIT</t>
  </si>
  <si>
    <t>QUANT</t>
  </si>
  <si>
    <t>R$</t>
  </si>
  <si>
    <t>Equipamentos e Outros Materiais Permanentes</t>
  </si>
  <si>
    <t xml:space="preserve">Nível lazer com tripé e mira com código de barras </t>
  </si>
  <si>
    <t xml:space="preserve">Locação de  Estação Total com tripé e 1 prisma </t>
  </si>
  <si>
    <t>P. UNIT</t>
  </si>
  <si>
    <t>QT</t>
  </si>
  <si>
    <t>Equipamento e Outros Materiais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</si>
</sst>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0000"/>
      <name val="Helvetica"/>
    </font>
    <font>
      <b/>
      <sz val="11"/>
      <color rgb="FF000000"/>
      <name val="Helvetica-Bold"/>
    </font>
    <font>
      <sz val="11"/>
      <color rgb="FF000000"/>
      <name val="Helvetica"/>
    </font>
    <font>
      <sz val="11"/>
      <color rgb="FF000000"/>
      <name val="Symbol"/>
      <family val="1"/>
      <charset val="2"/>
    </font>
    <font>
      <b/>
      <sz val="8"/>
      <color rgb="FF000000"/>
      <name val="Helvetica-Bold"/>
    </font>
    <font>
      <sz val="8"/>
      <color rgb="FF000000"/>
      <name val="Helvetica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44" fontId="0" fillId="0" borderId="1" xfId="1" applyFont="1" applyBorder="1"/>
    <xf numFmtId="44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44" fontId="4" fillId="0" borderId="1" xfId="1" applyFont="1" applyBorder="1" applyAlignment="1">
      <alignment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44" fontId="2" fillId="2" borderId="1" xfId="0" applyNumberFormat="1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16" fontId="8" fillId="2" borderId="1" xfId="0" applyNumberFormat="1" applyFont="1" applyFill="1" applyBorder="1" applyAlignment="1">
      <alignment vertical="center" wrapText="1"/>
    </xf>
    <xf numFmtId="0" fontId="8" fillId="2" borderId="1" xfId="0" applyNumberFormat="1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11" fillId="0" borderId="1" xfId="0" applyFont="1" applyBorder="1" applyAlignment="1">
      <alignment horizontal="center"/>
    </xf>
    <xf numFmtId="44" fontId="10" fillId="0" borderId="1" xfId="0" applyNumberFormat="1" applyFont="1" applyBorder="1"/>
    <xf numFmtId="0" fontId="5" fillId="0" borderId="3" xfId="0" applyFont="1" applyBorder="1"/>
    <xf numFmtId="0" fontId="0" fillId="0" borderId="4" xfId="0" applyBorder="1"/>
    <xf numFmtId="0" fontId="0" fillId="0" borderId="5" xfId="0" applyBorder="1"/>
    <xf numFmtId="0" fontId="6" fillId="0" borderId="6" xfId="0" applyFont="1" applyBorder="1"/>
    <xf numFmtId="0" fontId="0" fillId="0" borderId="0" xfId="0" applyBorder="1"/>
    <xf numFmtId="0" fontId="0" fillId="0" borderId="2" xfId="0" applyBorder="1"/>
    <xf numFmtId="0" fontId="6" fillId="0" borderId="7" xfId="0" applyFont="1" applyBorder="1"/>
    <xf numFmtId="0" fontId="0" fillId="0" borderId="8" xfId="0" applyBorder="1"/>
    <xf numFmtId="0" fontId="0" fillId="0" borderId="9" xfId="0" applyBorder="1"/>
    <xf numFmtId="0" fontId="5" fillId="0" borderId="6" xfId="0" applyFont="1" applyBorder="1"/>
    <xf numFmtId="0" fontId="0" fillId="0" borderId="7" xfId="0" applyBorder="1"/>
    <xf numFmtId="44" fontId="0" fillId="0" borderId="1" xfId="0" applyNumberForma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44" fontId="2" fillId="3" borderId="1" xfId="1" applyFont="1" applyFill="1" applyBorder="1"/>
    <xf numFmtId="8" fontId="8" fillId="0" borderId="0" xfId="0" applyNumberFormat="1" applyFont="1"/>
    <xf numFmtId="0" fontId="9" fillId="0" borderId="1" xfId="0" applyFont="1" applyBorder="1" applyAlignment="1">
      <alignment horizontal="center" wrapText="1"/>
    </xf>
    <xf numFmtId="44" fontId="9" fillId="0" borderId="1" xfId="1" applyFont="1" applyBorder="1" applyAlignment="1">
      <alignment vertical="center" wrapText="1"/>
    </xf>
    <xf numFmtId="44" fontId="9" fillId="0" borderId="1" xfId="0" applyNumberFormat="1" applyFont="1" applyBorder="1" applyAlignment="1">
      <alignment vertical="center" wrapText="1"/>
    </xf>
    <xf numFmtId="44" fontId="2" fillId="3" borderId="1" xfId="0" applyNumberFormat="1" applyFont="1" applyFill="1" applyBorder="1"/>
    <xf numFmtId="0" fontId="8" fillId="2" borderId="1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F33DC-CBFC-4D33-A810-FE1F968FB980}">
  <sheetPr>
    <tabColor theme="5" tint="-0.249977111117893"/>
  </sheetPr>
  <dimension ref="A1:A33"/>
  <sheetViews>
    <sheetView showGridLines="0" topLeftCell="A12" workbookViewId="0">
      <selection activeCell="A33" sqref="A33"/>
    </sheetView>
  </sheetViews>
  <sheetFormatPr defaultRowHeight="14.4"/>
  <cols>
    <col min="1" max="1" width="85.44140625" bestFit="1" customWidth="1"/>
  </cols>
  <sheetData>
    <row r="1" spans="1:1">
      <c r="A1" s="9" t="s">
        <v>35</v>
      </c>
    </row>
    <row r="2" spans="1:1" ht="13.5" customHeight="1">
      <c r="A2" s="10" t="s">
        <v>96</v>
      </c>
    </row>
    <row r="3" spans="1:1" ht="13.5" customHeight="1">
      <c r="A3" s="10"/>
    </row>
    <row r="4" spans="1:1">
      <c r="A4" s="9" t="s">
        <v>36</v>
      </c>
    </row>
    <row r="5" spans="1:1">
      <c r="A5" s="10" t="s">
        <v>37</v>
      </c>
    </row>
    <row r="6" spans="1:1">
      <c r="A6" s="10" t="s">
        <v>53</v>
      </c>
    </row>
    <row r="7" spans="1:1">
      <c r="A7" s="10"/>
    </row>
    <row r="8" spans="1:1">
      <c r="A8" s="9" t="s">
        <v>38</v>
      </c>
    </row>
    <row r="9" spans="1:1">
      <c r="A9" s="11" t="s">
        <v>39</v>
      </c>
    </row>
    <row r="10" spans="1:1">
      <c r="A10" s="10" t="s">
        <v>40</v>
      </c>
    </row>
    <row r="11" spans="1:1">
      <c r="A11" s="10" t="s">
        <v>41</v>
      </c>
    </row>
    <row r="12" spans="1:1">
      <c r="A12" s="10" t="s">
        <v>54</v>
      </c>
    </row>
    <row r="13" spans="1:1">
      <c r="A13" s="10"/>
    </row>
    <row r="14" spans="1:1">
      <c r="A14" s="11" t="s">
        <v>97</v>
      </c>
    </row>
    <row r="15" spans="1:1">
      <c r="A15" s="10" t="s">
        <v>42</v>
      </c>
    </row>
    <row r="16" spans="1:1">
      <c r="A16" s="10"/>
    </row>
    <row r="17" spans="1:1">
      <c r="A17" s="11" t="s">
        <v>98</v>
      </c>
    </row>
    <row r="18" spans="1:1">
      <c r="A18" s="10" t="s">
        <v>43</v>
      </c>
    </row>
    <row r="19" spans="1:1">
      <c r="A19" s="10"/>
    </row>
    <row r="20" spans="1:1">
      <c r="A20" s="11" t="s">
        <v>44</v>
      </c>
    </row>
    <row r="21" spans="1:1">
      <c r="A21" s="10" t="s">
        <v>45</v>
      </c>
    </row>
    <row r="22" spans="1:1">
      <c r="A22" s="10"/>
    </row>
    <row r="23" spans="1:1">
      <c r="A23" s="11" t="s">
        <v>46</v>
      </c>
    </row>
    <row r="24" spans="1:1">
      <c r="A24" s="10" t="s">
        <v>55</v>
      </c>
    </row>
    <row r="25" spans="1:1">
      <c r="A25" s="10"/>
    </row>
    <row r="26" spans="1:1">
      <c r="A26" s="10"/>
    </row>
    <row r="27" spans="1:1">
      <c r="A27" s="11" t="s">
        <v>47</v>
      </c>
    </row>
    <row r="28" spans="1:1">
      <c r="A28" s="10" t="s">
        <v>48</v>
      </c>
    </row>
    <row r="29" spans="1:1">
      <c r="A29" s="10" t="s">
        <v>49</v>
      </c>
    </row>
    <row r="30" spans="1:1">
      <c r="A30" s="10" t="s">
        <v>50</v>
      </c>
    </row>
    <row r="31" spans="1:1">
      <c r="A31" s="10"/>
    </row>
    <row r="32" spans="1:1">
      <c r="A32" s="11" t="s">
        <v>51</v>
      </c>
    </row>
    <row r="33" spans="1:1">
      <c r="A33" s="10" t="s">
        <v>52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3DCD6-C6B6-4BDD-A95D-CC8B382C6584}">
  <sheetPr>
    <tabColor theme="9" tint="-0.249977111117893"/>
  </sheetPr>
  <dimension ref="A1:K28"/>
  <sheetViews>
    <sheetView showGridLines="0" workbookViewId="0">
      <selection activeCell="D14" sqref="D14"/>
    </sheetView>
  </sheetViews>
  <sheetFormatPr defaultRowHeight="14.4"/>
  <sheetData>
    <row r="1" spans="1:11">
      <c r="A1" s="26" t="s">
        <v>76</v>
      </c>
      <c r="B1" s="27"/>
      <c r="C1" s="27"/>
      <c r="D1" s="27"/>
      <c r="E1" s="27"/>
      <c r="F1" s="27"/>
      <c r="G1" s="27"/>
      <c r="H1" s="27"/>
      <c r="I1" s="27"/>
      <c r="J1" s="27"/>
      <c r="K1" s="28"/>
    </row>
    <row r="2" spans="1:11">
      <c r="A2" s="29" t="s">
        <v>56</v>
      </c>
      <c r="B2" s="30"/>
      <c r="C2" s="30"/>
      <c r="D2" s="30"/>
      <c r="E2" s="30"/>
      <c r="F2" s="30"/>
      <c r="G2" s="30"/>
      <c r="H2" s="30"/>
      <c r="I2" s="30"/>
      <c r="J2" s="30"/>
      <c r="K2" s="31"/>
    </row>
    <row r="3" spans="1:11">
      <c r="A3" s="35" t="s">
        <v>57</v>
      </c>
      <c r="B3" s="30"/>
      <c r="C3" s="30"/>
      <c r="D3" s="30"/>
      <c r="E3" s="30"/>
      <c r="F3" s="30"/>
      <c r="G3" s="30"/>
      <c r="H3" s="30"/>
      <c r="I3" s="30"/>
      <c r="J3" s="30"/>
      <c r="K3" s="31"/>
    </row>
    <row r="4" spans="1:11">
      <c r="A4" s="29" t="s">
        <v>58</v>
      </c>
      <c r="B4" s="30"/>
      <c r="C4" s="30"/>
      <c r="D4" s="30"/>
      <c r="E4" s="30"/>
      <c r="F4" s="30"/>
      <c r="G4" s="30"/>
      <c r="H4" s="30"/>
      <c r="I4" s="30"/>
      <c r="J4" s="30"/>
      <c r="K4" s="31"/>
    </row>
    <row r="5" spans="1:11">
      <c r="A5" s="32" t="s">
        <v>59</v>
      </c>
      <c r="B5" s="33"/>
      <c r="C5" s="33"/>
      <c r="D5" s="33"/>
      <c r="E5" s="33"/>
      <c r="F5" s="33"/>
      <c r="G5" s="33"/>
      <c r="H5" s="33"/>
      <c r="I5" s="33"/>
      <c r="J5" s="33"/>
      <c r="K5" s="34"/>
    </row>
    <row r="6" spans="1:11">
      <c r="A6" s="26" t="s">
        <v>60</v>
      </c>
      <c r="B6" s="27"/>
      <c r="C6" s="27"/>
      <c r="D6" s="27"/>
      <c r="E6" s="27"/>
      <c r="F6" s="27"/>
      <c r="G6" s="27"/>
      <c r="H6" s="27"/>
      <c r="I6" s="27"/>
      <c r="J6" s="27"/>
      <c r="K6" s="28"/>
    </row>
    <row r="7" spans="1:11">
      <c r="A7" s="29" t="s">
        <v>61</v>
      </c>
      <c r="B7" s="30"/>
      <c r="C7" s="30"/>
      <c r="D7" s="30"/>
      <c r="E7" s="30"/>
      <c r="F7" s="30"/>
      <c r="G7" s="30"/>
      <c r="H7" s="30"/>
      <c r="I7" s="30"/>
      <c r="J7" s="30"/>
      <c r="K7" s="31"/>
    </row>
    <row r="8" spans="1:11">
      <c r="A8" s="29" t="s">
        <v>62</v>
      </c>
      <c r="B8" s="30"/>
      <c r="C8" s="30"/>
      <c r="D8" s="30"/>
      <c r="E8" s="30"/>
      <c r="F8" s="30"/>
      <c r="G8" s="30"/>
      <c r="H8" s="30"/>
      <c r="I8" s="30"/>
      <c r="J8" s="30"/>
      <c r="K8" s="31"/>
    </row>
    <row r="9" spans="1:11">
      <c r="A9" s="29" t="s">
        <v>99</v>
      </c>
      <c r="B9" s="30"/>
      <c r="C9" s="30"/>
      <c r="D9" s="30"/>
      <c r="E9" s="30"/>
      <c r="F9" s="30"/>
      <c r="G9" s="30"/>
      <c r="H9" s="30"/>
      <c r="I9" s="30"/>
      <c r="J9" s="30"/>
      <c r="K9" s="31"/>
    </row>
    <row r="10" spans="1:11">
      <c r="A10" s="29" t="s">
        <v>64</v>
      </c>
      <c r="B10" s="30"/>
      <c r="C10" s="30"/>
      <c r="D10" s="30"/>
      <c r="E10" s="30"/>
      <c r="F10" s="30"/>
      <c r="G10" s="30"/>
      <c r="H10" s="30"/>
      <c r="I10" s="30"/>
      <c r="J10" s="30"/>
      <c r="K10" s="31"/>
    </row>
    <row r="11" spans="1:11">
      <c r="A11" s="32" t="s">
        <v>65</v>
      </c>
      <c r="B11" s="33"/>
      <c r="C11" s="33"/>
      <c r="D11" s="33"/>
      <c r="E11" s="33"/>
      <c r="F11" s="33"/>
      <c r="G11" s="33"/>
      <c r="H11" s="33"/>
      <c r="I11" s="33"/>
      <c r="J11" s="33"/>
      <c r="K11" s="34"/>
    </row>
    <row r="12" spans="1:11">
      <c r="A12" s="26" t="s">
        <v>66</v>
      </c>
      <c r="B12" s="27"/>
      <c r="C12" s="27"/>
      <c r="D12" s="27"/>
      <c r="E12" s="27"/>
      <c r="F12" s="27"/>
      <c r="G12" s="27"/>
      <c r="H12" s="27"/>
      <c r="I12" s="27"/>
      <c r="J12" s="27"/>
      <c r="K12" s="28"/>
    </row>
    <row r="13" spans="1:11">
      <c r="A13" s="29" t="s">
        <v>67</v>
      </c>
      <c r="B13" s="30"/>
      <c r="C13" s="30"/>
      <c r="D13" s="30"/>
      <c r="E13" s="30"/>
      <c r="F13" s="30"/>
      <c r="G13" s="30"/>
      <c r="H13" s="30"/>
      <c r="I13" s="30"/>
      <c r="J13" s="30"/>
      <c r="K13" s="31"/>
    </row>
    <row r="14" spans="1:11">
      <c r="A14" s="29" t="s">
        <v>73</v>
      </c>
      <c r="B14" s="30"/>
      <c r="C14" s="30"/>
      <c r="D14" s="30"/>
      <c r="E14" s="30"/>
      <c r="F14" s="30"/>
      <c r="G14" s="30"/>
      <c r="H14" s="30"/>
      <c r="I14" s="30"/>
      <c r="J14" s="30"/>
      <c r="K14" s="31"/>
    </row>
    <row r="15" spans="1:11">
      <c r="A15" s="29" t="s">
        <v>68</v>
      </c>
      <c r="B15" s="30"/>
      <c r="C15" s="30"/>
      <c r="D15" s="30"/>
      <c r="E15" s="30"/>
      <c r="F15" s="30"/>
      <c r="G15" s="30"/>
      <c r="H15" s="30"/>
      <c r="I15" s="30"/>
      <c r="J15" s="30"/>
      <c r="K15" s="31"/>
    </row>
    <row r="16" spans="1:11">
      <c r="A16" s="29" t="s">
        <v>63</v>
      </c>
      <c r="B16" s="30"/>
      <c r="C16" s="30"/>
      <c r="D16" s="30"/>
      <c r="E16" s="30"/>
      <c r="F16" s="30"/>
      <c r="G16" s="30"/>
      <c r="H16" s="30"/>
      <c r="I16" s="30"/>
      <c r="J16" s="30"/>
      <c r="K16" s="31"/>
    </row>
    <row r="17" spans="1:11">
      <c r="A17" s="29" t="s">
        <v>69</v>
      </c>
      <c r="B17" s="30"/>
      <c r="C17" s="30"/>
      <c r="D17" s="30"/>
      <c r="E17" s="30"/>
      <c r="F17" s="30"/>
      <c r="G17" s="30"/>
      <c r="H17" s="30"/>
      <c r="I17" s="30"/>
      <c r="J17" s="30"/>
      <c r="K17" s="31"/>
    </row>
    <row r="18" spans="1:11">
      <c r="A18" s="32" t="s">
        <v>70</v>
      </c>
      <c r="B18" s="33"/>
      <c r="C18" s="33"/>
      <c r="D18" s="33"/>
      <c r="E18" s="33"/>
      <c r="F18" s="33"/>
      <c r="G18" s="33"/>
      <c r="H18" s="33"/>
      <c r="I18" s="33"/>
      <c r="J18" s="33"/>
      <c r="K18" s="34"/>
    </row>
    <row r="19" spans="1:11">
      <c r="A19" s="26" t="s">
        <v>66</v>
      </c>
      <c r="B19" s="27"/>
      <c r="C19" s="27"/>
      <c r="D19" s="27"/>
      <c r="E19" s="27"/>
      <c r="F19" s="27"/>
      <c r="G19" s="27"/>
      <c r="H19" s="27"/>
      <c r="I19" s="27"/>
      <c r="J19" s="27"/>
      <c r="K19" s="28"/>
    </row>
    <row r="20" spans="1:11">
      <c r="A20" s="29" t="s">
        <v>67</v>
      </c>
      <c r="B20" s="30"/>
      <c r="C20" s="30"/>
      <c r="D20" s="30"/>
      <c r="E20" s="30"/>
      <c r="F20" s="30"/>
      <c r="G20" s="30"/>
      <c r="H20" s="30"/>
      <c r="I20" s="30"/>
      <c r="J20" s="30"/>
      <c r="K20" s="31"/>
    </row>
    <row r="21" spans="1:11">
      <c r="A21" s="29" t="s">
        <v>74</v>
      </c>
      <c r="B21" s="30"/>
      <c r="C21" s="30"/>
      <c r="D21" s="30"/>
      <c r="E21" s="30"/>
      <c r="F21" s="30"/>
      <c r="G21" s="30"/>
      <c r="H21" s="30"/>
      <c r="I21" s="30"/>
      <c r="J21" s="30"/>
      <c r="K21" s="31"/>
    </row>
    <row r="22" spans="1:11">
      <c r="A22" s="29" t="s">
        <v>71</v>
      </c>
      <c r="B22" s="30"/>
      <c r="C22" s="30"/>
      <c r="D22" s="30"/>
      <c r="E22" s="30"/>
      <c r="F22" s="30"/>
      <c r="G22" s="30"/>
      <c r="H22" s="30"/>
      <c r="I22" s="30"/>
      <c r="J22" s="30"/>
      <c r="K22" s="31"/>
    </row>
    <row r="23" spans="1:11">
      <c r="A23" s="29" t="s">
        <v>63</v>
      </c>
      <c r="B23" s="30"/>
      <c r="C23" s="30"/>
      <c r="D23" s="30"/>
      <c r="E23" s="30"/>
      <c r="F23" s="30"/>
      <c r="G23" s="30"/>
      <c r="H23" s="30"/>
      <c r="I23" s="30"/>
      <c r="J23" s="30"/>
      <c r="K23" s="31"/>
    </row>
    <row r="24" spans="1:11">
      <c r="A24" s="32" t="s">
        <v>72</v>
      </c>
      <c r="B24" s="33"/>
      <c r="C24" s="33"/>
      <c r="D24" s="33"/>
      <c r="E24" s="33"/>
      <c r="F24" s="33"/>
      <c r="G24" s="33"/>
      <c r="H24" s="33"/>
      <c r="I24" s="33"/>
      <c r="J24" s="33"/>
      <c r="K24" s="34"/>
    </row>
    <row r="25" spans="1:11">
      <c r="A25" s="26" t="s">
        <v>66</v>
      </c>
      <c r="B25" s="27"/>
      <c r="C25" s="27"/>
      <c r="D25" s="27"/>
      <c r="E25" s="27"/>
      <c r="F25" s="27"/>
      <c r="G25" s="27"/>
      <c r="H25" s="27"/>
      <c r="I25" s="27"/>
      <c r="J25" s="27"/>
      <c r="K25" s="28"/>
    </row>
    <row r="26" spans="1:11">
      <c r="A26" s="29" t="s">
        <v>67</v>
      </c>
      <c r="B26" s="30"/>
      <c r="C26" s="30"/>
      <c r="D26" s="30"/>
      <c r="E26" s="30"/>
      <c r="F26" s="30"/>
      <c r="G26" s="30"/>
      <c r="H26" s="30"/>
      <c r="I26" s="30"/>
      <c r="J26" s="30"/>
      <c r="K26" s="31"/>
    </row>
    <row r="27" spans="1:11">
      <c r="A27" s="29" t="s">
        <v>75</v>
      </c>
      <c r="B27" s="30"/>
      <c r="C27" s="30"/>
      <c r="D27" s="30"/>
      <c r="E27" s="30"/>
      <c r="F27" s="30"/>
      <c r="G27" s="30"/>
      <c r="H27" s="30"/>
      <c r="I27" s="30"/>
      <c r="J27" s="30"/>
      <c r="K27" s="31"/>
    </row>
    <row r="28" spans="1:11">
      <c r="A28" s="36"/>
      <c r="B28" s="33"/>
      <c r="C28" s="33"/>
      <c r="D28" s="33"/>
      <c r="E28" s="33"/>
      <c r="F28" s="33"/>
      <c r="G28" s="33"/>
      <c r="H28" s="33"/>
      <c r="I28" s="33"/>
      <c r="J28" s="33"/>
      <c r="K28" s="34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ED0A1-00D5-457B-98CC-C6C07F5A2E58}">
  <sheetPr>
    <tabColor theme="6" tint="-0.249977111117893"/>
  </sheetPr>
  <dimension ref="A1:I13"/>
  <sheetViews>
    <sheetView showGridLines="0" workbookViewId="0">
      <selection activeCell="L13" sqref="L13"/>
    </sheetView>
  </sheetViews>
  <sheetFormatPr defaultRowHeight="14.4"/>
  <cols>
    <col min="1" max="1" width="3.33203125" bestFit="1" customWidth="1"/>
    <col min="2" max="2" width="28.88671875" customWidth="1"/>
    <col min="3" max="3" width="7" customWidth="1"/>
    <col min="4" max="4" width="6.88671875" customWidth="1"/>
    <col min="5" max="5" width="6.5546875" customWidth="1"/>
    <col min="6" max="6" width="6.6640625" customWidth="1"/>
    <col min="7" max="7" width="6.109375" customWidth="1"/>
    <col min="8" max="8" width="6.33203125" customWidth="1"/>
    <col min="9" max="9" width="6" customWidth="1"/>
  </cols>
  <sheetData>
    <row r="1" spans="1:9">
      <c r="A1" s="47" t="s">
        <v>77</v>
      </c>
      <c r="B1" s="48"/>
      <c r="C1" s="46" t="s">
        <v>78</v>
      </c>
      <c r="D1" s="46"/>
      <c r="E1" s="46"/>
      <c r="F1" s="46"/>
      <c r="G1" s="46"/>
      <c r="H1" s="46"/>
      <c r="I1" s="46"/>
    </row>
    <row r="2" spans="1:9" ht="18" customHeight="1">
      <c r="A2" s="19" t="s">
        <v>94</v>
      </c>
      <c r="B2" s="20" t="s">
        <v>79</v>
      </c>
      <c r="C2" s="21" t="s">
        <v>100</v>
      </c>
      <c r="D2" s="22" t="s">
        <v>101</v>
      </c>
      <c r="E2" s="22" t="s">
        <v>102</v>
      </c>
      <c r="F2" s="22" t="s">
        <v>103</v>
      </c>
      <c r="G2" s="22" t="s">
        <v>104</v>
      </c>
      <c r="H2" s="22" t="s">
        <v>105</v>
      </c>
      <c r="I2" s="22" t="s">
        <v>10</v>
      </c>
    </row>
    <row r="3" spans="1:9" ht="30.6">
      <c r="A3" s="17">
        <v>1</v>
      </c>
      <c r="B3" s="16" t="s">
        <v>80</v>
      </c>
      <c r="C3" s="18" t="s">
        <v>81</v>
      </c>
      <c r="D3" s="18" t="s">
        <v>82</v>
      </c>
      <c r="E3" s="2"/>
      <c r="F3" s="2"/>
      <c r="G3" s="2"/>
      <c r="H3" s="2"/>
      <c r="I3" s="2"/>
    </row>
    <row r="4" spans="1:9">
      <c r="A4" s="2">
        <v>2</v>
      </c>
      <c r="B4" s="16" t="s">
        <v>95</v>
      </c>
      <c r="C4" s="18" t="s">
        <v>83</v>
      </c>
      <c r="D4" s="18" t="s">
        <v>84</v>
      </c>
      <c r="E4" s="2"/>
      <c r="F4" s="2"/>
      <c r="G4" s="2"/>
      <c r="H4" s="2"/>
      <c r="I4" s="2"/>
    </row>
    <row r="5" spans="1:9" ht="20.399999999999999">
      <c r="A5" s="17">
        <v>3</v>
      </c>
      <c r="B5" s="16" t="s">
        <v>85</v>
      </c>
      <c r="C5" s="18" t="s">
        <v>81</v>
      </c>
      <c r="D5" s="18" t="s">
        <v>81</v>
      </c>
      <c r="E5" s="18" t="s">
        <v>81</v>
      </c>
      <c r="F5" s="18" t="s">
        <v>81</v>
      </c>
      <c r="G5" s="18" t="s">
        <v>81</v>
      </c>
      <c r="H5" s="18" t="s">
        <v>81</v>
      </c>
      <c r="I5" s="18" t="s">
        <v>82</v>
      </c>
    </row>
    <row r="6" spans="1:9">
      <c r="A6" s="2">
        <v>4</v>
      </c>
      <c r="B6" s="16" t="s">
        <v>86</v>
      </c>
      <c r="C6" s="18" t="s">
        <v>84</v>
      </c>
      <c r="D6" s="18"/>
      <c r="E6" s="2"/>
      <c r="F6" s="2"/>
      <c r="G6" s="2"/>
      <c r="H6" s="2"/>
      <c r="I6" s="2"/>
    </row>
    <row r="7" spans="1:9" ht="20.399999999999999">
      <c r="A7" s="17">
        <v>5</v>
      </c>
      <c r="B7" s="16" t="s">
        <v>87</v>
      </c>
      <c r="C7" s="18" t="s">
        <v>81</v>
      </c>
      <c r="D7" s="18" t="s">
        <v>81</v>
      </c>
      <c r="E7" s="18" t="s">
        <v>82</v>
      </c>
      <c r="F7" s="2"/>
      <c r="G7" s="2"/>
      <c r="H7" s="2"/>
      <c r="I7" s="2"/>
    </row>
    <row r="8" spans="1:9" ht="20.399999999999999">
      <c r="A8" s="2">
        <v>6</v>
      </c>
      <c r="B8" s="16" t="s">
        <v>88</v>
      </c>
      <c r="C8" s="18" t="s">
        <v>81</v>
      </c>
      <c r="D8" s="18" t="s">
        <v>82</v>
      </c>
      <c r="E8" s="2"/>
      <c r="F8" s="2"/>
      <c r="G8" s="2"/>
      <c r="H8" s="2"/>
      <c r="I8" s="2"/>
    </row>
    <row r="9" spans="1:9" ht="20.399999999999999">
      <c r="A9" s="17">
        <v>7</v>
      </c>
      <c r="B9" s="16" t="s">
        <v>89</v>
      </c>
      <c r="C9" s="18" t="s">
        <v>81</v>
      </c>
      <c r="D9" s="18" t="s">
        <v>81</v>
      </c>
      <c r="E9" s="18" t="s">
        <v>82</v>
      </c>
      <c r="F9" s="2"/>
      <c r="G9" s="2"/>
      <c r="H9" s="2"/>
      <c r="I9" s="2"/>
    </row>
    <row r="10" spans="1:9" ht="20.399999999999999">
      <c r="A10" s="2">
        <v>8</v>
      </c>
      <c r="B10" s="16" t="s">
        <v>90</v>
      </c>
      <c r="C10" s="18" t="s">
        <v>82</v>
      </c>
      <c r="D10" s="18"/>
      <c r="E10" s="2"/>
      <c r="F10" s="2"/>
      <c r="G10" s="2"/>
      <c r="H10" s="2"/>
      <c r="I10" s="2"/>
    </row>
    <row r="11" spans="1:9" ht="20.399999999999999">
      <c r="A11" s="17">
        <v>9</v>
      </c>
      <c r="B11" s="16" t="s">
        <v>91</v>
      </c>
      <c r="C11" s="18" t="s">
        <v>82</v>
      </c>
      <c r="D11" s="18"/>
      <c r="E11" s="2"/>
      <c r="F11" s="2"/>
      <c r="G11" s="2"/>
      <c r="H11" s="2"/>
      <c r="I11" s="2"/>
    </row>
    <row r="12" spans="1:9" ht="20.399999999999999">
      <c r="A12" s="2">
        <v>10</v>
      </c>
      <c r="B12" s="16" t="s">
        <v>92</v>
      </c>
      <c r="C12" s="18" t="s">
        <v>82</v>
      </c>
      <c r="D12" s="18"/>
      <c r="E12" s="2"/>
      <c r="F12" s="2"/>
      <c r="G12" s="2"/>
      <c r="H12" s="2"/>
      <c r="I12" s="2"/>
    </row>
    <row r="13" spans="1:9" ht="30.6">
      <c r="A13" s="17">
        <v>11</v>
      </c>
      <c r="B13" s="16" t="s">
        <v>93</v>
      </c>
      <c r="C13" s="18" t="s">
        <v>82</v>
      </c>
      <c r="D13" s="18"/>
      <c r="E13" s="2"/>
      <c r="F13" s="2"/>
      <c r="G13" s="2"/>
      <c r="H13" s="2"/>
      <c r="I13" s="2"/>
    </row>
  </sheetData>
  <mergeCells count="2">
    <mergeCell ref="C1:I1"/>
    <mergeCell ref="A1:B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BBFF4-0580-45BB-B6AE-ABFC92A48E40}">
  <sheetPr>
    <tabColor rgb="FF0070C0"/>
  </sheetPr>
  <dimension ref="A1:I8"/>
  <sheetViews>
    <sheetView showGridLines="0" workbookViewId="0">
      <selection activeCell="F2" sqref="F2"/>
    </sheetView>
  </sheetViews>
  <sheetFormatPr defaultRowHeight="14.4"/>
  <cols>
    <col min="2" max="2" width="14.6640625" customWidth="1"/>
    <col min="3" max="3" width="33" bestFit="1" customWidth="1"/>
    <col min="4" max="4" width="19" customWidth="1"/>
    <col min="5" max="5" width="12" customWidth="1"/>
    <col min="6" max="6" width="13.33203125" customWidth="1"/>
    <col min="7" max="7" width="0.44140625" customWidth="1"/>
    <col min="9" max="9" width="10.5546875" bestFit="1" customWidth="1"/>
  </cols>
  <sheetData>
    <row r="1" spans="1:9" ht="20.399999999999999">
      <c r="A1" s="5" t="s">
        <v>0</v>
      </c>
      <c r="B1" s="5" t="s">
        <v>1</v>
      </c>
      <c r="C1" s="5" t="s">
        <v>2</v>
      </c>
      <c r="D1" s="5" t="s">
        <v>9</v>
      </c>
      <c r="E1" s="6" t="s">
        <v>4</v>
      </c>
      <c r="F1" s="5" t="s">
        <v>3</v>
      </c>
    </row>
    <row r="2" spans="1:9">
      <c r="A2" s="1"/>
      <c r="B2" s="1"/>
      <c r="C2" s="1" t="s">
        <v>7</v>
      </c>
      <c r="D2" s="3">
        <v>53.05</v>
      </c>
      <c r="E2" s="2">
        <v>212</v>
      </c>
      <c r="F2" s="3">
        <f t="shared" ref="F2:F7" si="0">D2*E2</f>
        <v>11246.599999999999</v>
      </c>
      <c r="G2">
        <f>11246.6/212</f>
        <v>53.050000000000004</v>
      </c>
    </row>
    <row r="3" spans="1:9">
      <c r="A3" s="1"/>
      <c r="B3" s="1"/>
      <c r="C3" s="1" t="s">
        <v>8</v>
      </c>
      <c r="D3" s="3">
        <v>48.95</v>
      </c>
      <c r="E3" s="2">
        <v>212</v>
      </c>
      <c r="F3" s="3">
        <f t="shared" si="0"/>
        <v>10377.400000000001</v>
      </c>
      <c r="G3">
        <f>10377.4/212</f>
        <v>48.949999999999996</v>
      </c>
    </row>
    <row r="4" spans="1:9">
      <c r="A4" s="1"/>
      <c r="B4" s="1"/>
      <c r="C4" s="1" t="s">
        <v>6</v>
      </c>
      <c r="D4" s="3">
        <v>17.5</v>
      </c>
      <c r="E4" s="2">
        <v>424</v>
      </c>
      <c r="F4" s="3">
        <f t="shared" si="0"/>
        <v>7420</v>
      </c>
      <c r="G4">
        <f>7420/424</f>
        <v>17.5</v>
      </c>
      <c r="I4" s="4"/>
    </row>
    <row r="5" spans="1:9">
      <c r="A5" s="1"/>
      <c r="B5" s="1"/>
      <c r="C5" s="1" t="s">
        <v>6</v>
      </c>
      <c r="D5" s="3">
        <v>17.5</v>
      </c>
      <c r="E5" s="2">
        <v>424</v>
      </c>
      <c r="F5" s="3">
        <f t="shared" si="0"/>
        <v>7420</v>
      </c>
    </row>
    <row r="6" spans="1:9">
      <c r="A6" s="1"/>
      <c r="B6" s="1" t="s">
        <v>110</v>
      </c>
      <c r="C6" s="1" t="s">
        <v>5</v>
      </c>
      <c r="D6" s="3">
        <v>30</v>
      </c>
      <c r="E6" s="2">
        <v>40</v>
      </c>
      <c r="F6" s="3">
        <f t="shared" si="0"/>
        <v>1200</v>
      </c>
      <c r="G6">
        <f>771.2/40</f>
        <v>19.28</v>
      </c>
    </row>
    <row r="7" spans="1:9">
      <c r="A7" s="1"/>
      <c r="B7" s="1" t="s">
        <v>111</v>
      </c>
      <c r="C7" s="1" t="s">
        <v>5</v>
      </c>
      <c r="D7" s="3">
        <v>19.28</v>
      </c>
      <c r="E7" s="2">
        <v>40</v>
      </c>
      <c r="F7" s="3">
        <f t="shared" si="0"/>
        <v>771.2</v>
      </c>
      <c r="G7">
        <f>771.2/40</f>
        <v>19.28</v>
      </c>
    </row>
    <row r="8" spans="1:9">
      <c r="E8" s="13" t="s">
        <v>10</v>
      </c>
      <c r="F8" s="12">
        <f>SUM(F2:F7)</f>
        <v>38435.199999999997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2D90F-640F-499A-AEC2-4E463329263D}">
  <sheetPr>
    <tabColor theme="7" tint="-0.249977111117893"/>
  </sheetPr>
  <dimension ref="A1:F15"/>
  <sheetViews>
    <sheetView showGridLines="0" workbookViewId="0">
      <selection activeCell="J10" sqref="J10"/>
    </sheetView>
  </sheetViews>
  <sheetFormatPr defaultRowHeight="14.4"/>
  <cols>
    <col min="2" max="2" width="43" customWidth="1"/>
    <col min="4" max="4" width="5.6640625" style="23" bestFit="1" customWidth="1"/>
    <col min="5" max="5" width="11.88671875" bestFit="1" customWidth="1"/>
    <col min="6" max="6" width="12.109375" bestFit="1" customWidth="1"/>
  </cols>
  <sheetData>
    <row r="1" spans="1:6">
      <c r="A1" s="14" t="s">
        <v>11</v>
      </c>
      <c r="B1" s="14" t="s">
        <v>12</v>
      </c>
      <c r="C1" s="14" t="s">
        <v>13</v>
      </c>
      <c r="D1" s="14" t="s">
        <v>14</v>
      </c>
      <c r="E1" s="14" t="s">
        <v>15</v>
      </c>
      <c r="F1" s="14" t="s">
        <v>16</v>
      </c>
    </row>
    <row r="2" spans="1:6">
      <c r="A2" s="15">
        <v>1</v>
      </c>
      <c r="B2" s="7" t="s">
        <v>17</v>
      </c>
      <c r="C2" s="1" t="s">
        <v>32</v>
      </c>
      <c r="D2" s="15">
        <v>40</v>
      </c>
      <c r="E2" s="8">
        <v>25</v>
      </c>
      <c r="F2" s="8">
        <f>D2*E2</f>
        <v>1000</v>
      </c>
    </row>
    <row r="3" spans="1:6">
      <c r="A3" s="15">
        <v>2</v>
      </c>
      <c r="B3" s="7" t="s">
        <v>18</v>
      </c>
      <c r="C3" s="1" t="s">
        <v>33</v>
      </c>
      <c r="D3" s="15">
        <v>5</v>
      </c>
      <c r="E3" s="8">
        <v>70</v>
      </c>
      <c r="F3" s="8">
        <f>D3*E3</f>
        <v>350</v>
      </c>
    </row>
    <row r="4" spans="1:6">
      <c r="A4" s="15">
        <v>3</v>
      </c>
      <c r="B4" s="7" t="s">
        <v>19</v>
      </c>
      <c r="C4" s="1" t="s">
        <v>33</v>
      </c>
      <c r="D4" s="15">
        <v>5</v>
      </c>
      <c r="E4" s="8">
        <v>50</v>
      </c>
      <c r="F4" s="8">
        <f>D4*E4</f>
        <v>250</v>
      </c>
    </row>
    <row r="5" spans="1:6">
      <c r="A5" s="15">
        <v>4</v>
      </c>
      <c r="B5" s="7" t="s">
        <v>20</v>
      </c>
      <c r="C5" s="1" t="s">
        <v>34</v>
      </c>
      <c r="D5" s="15">
        <v>1</v>
      </c>
      <c r="E5" s="8">
        <v>500</v>
      </c>
      <c r="F5" s="8">
        <f>D5*E5</f>
        <v>500</v>
      </c>
    </row>
    <row r="6" spans="1:6">
      <c r="A6" s="2">
        <v>5</v>
      </c>
      <c r="B6" s="7" t="s">
        <v>23</v>
      </c>
      <c r="C6" s="7" t="s">
        <v>22</v>
      </c>
      <c r="D6" s="15">
        <v>25</v>
      </c>
      <c r="E6" s="8">
        <v>35</v>
      </c>
      <c r="F6" s="8">
        <f t="shared" ref="F6:F14" si="0">D6*E6</f>
        <v>875</v>
      </c>
    </row>
    <row r="7" spans="1:6">
      <c r="A7" s="2">
        <v>6</v>
      </c>
      <c r="B7" s="7" t="s">
        <v>21</v>
      </c>
      <c r="C7" s="7" t="s">
        <v>22</v>
      </c>
      <c r="D7" s="15">
        <v>25</v>
      </c>
      <c r="E7" s="8">
        <v>14</v>
      </c>
      <c r="F7" s="8">
        <f t="shared" si="0"/>
        <v>350</v>
      </c>
    </row>
    <row r="8" spans="1:6">
      <c r="A8" s="2">
        <v>7</v>
      </c>
      <c r="B8" s="7" t="s">
        <v>24</v>
      </c>
      <c r="C8" s="7" t="s">
        <v>25</v>
      </c>
      <c r="D8" s="15">
        <v>5</v>
      </c>
      <c r="E8" s="8">
        <v>15</v>
      </c>
      <c r="F8" s="8">
        <f t="shared" si="0"/>
        <v>75</v>
      </c>
    </row>
    <row r="9" spans="1:6">
      <c r="A9" s="2">
        <v>8</v>
      </c>
      <c r="B9" s="7" t="s">
        <v>109</v>
      </c>
      <c r="C9" s="7" t="s">
        <v>25</v>
      </c>
      <c r="D9" s="15">
        <v>5</v>
      </c>
      <c r="E9" s="8">
        <v>20</v>
      </c>
      <c r="F9" s="8">
        <f t="shared" si="0"/>
        <v>100</v>
      </c>
    </row>
    <row r="10" spans="1:6">
      <c r="A10" s="2">
        <v>9</v>
      </c>
      <c r="B10" s="7" t="s">
        <v>26</v>
      </c>
      <c r="C10" s="7" t="s">
        <v>27</v>
      </c>
      <c r="D10" s="15">
        <v>27</v>
      </c>
      <c r="E10" s="8">
        <v>30</v>
      </c>
      <c r="F10" s="8">
        <f t="shared" si="0"/>
        <v>810</v>
      </c>
    </row>
    <row r="11" spans="1:6">
      <c r="A11" s="2">
        <v>10</v>
      </c>
      <c r="B11" s="7" t="s">
        <v>28</v>
      </c>
      <c r="C11" s="7" t="s">
        <v>27</v>
      </c>
      <c r="D11" s="15">
        <v>27</v>
      </c>
      <c r="E11" s="8">
        <v>5.5</v>
      </c>
      <c r="F11" s="8">
        <f t="shared" si="0"/>
        <v>148.5</v>
      </c>
    </row>
    <row r="12" spans="1:6">
      <c r="A12" s="2">
        <v>11</v>
      </c>
      <c r="B12" s="7" t="s">
        <v>29</v>
      </c>
      <c r="C12" s="7" t="s">
        <v>27</v>
      </c>
      <c r="D12" s="15">
        <v>1</v>
      </c>
      <c r="E12" s="8">
        <v>250</v>
      </c>
      <c r="F12" s="8">
        <f t="shared" si="0"/>
        <v>250</v>
      </c>
    </row>
    <row r="13" spans="1:6">
      <c r="A13" s="2">
        <v>12</v>
      </c>
      <c r="B13" s="7" t="s">
        <v>30</v>
      </c>
      <c r="C13" s="7" t="s">
        <v>27</v>
      </c>
      <c r="D13" s="15">
        <v>1</v>
      </c>
      <c r="E13" s="8">
        <v>300</v>
      </c>
      <c r="F13" s="8">
        <f t="shared" si="0"/>
        <v>300</v>
      </c>
    </row>
    <row r="14" spans="1:6">
      <c r="A14" s="2">
        <v>13</v>
      </c>
      <c r="B14" s="7" t="s">
        <v>31</v>
      </c>
      <c r="C14" s="7" t="s">
        <v>27</v>
      </c>
      <c r="D14" s="15">
        <v>1</v>
      </c>
      <c r="E14" s="8">
        <v>8.75</v>
      </c>
      <c r="F14" s="8">
        <f t="shared" si="0"/>
        <v>8.75</v>
      </c>
    </row>
    <row r="15" spans="1:6">
      <c r="E15" s="24" t="s">
        <v>10</v>
      </c>
      <c r="F15" s="25">
        <f>SUM(F2:F14)</f>
        <v>5017.25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A9767-5F7E-4293-B6EA-DF1A5FE8B378}">
  <sheetPr>
    <tabColor theme="6" tint="-0.499984740745262"/>
  </sheetPr>
  <dimension ref="A1:E5"/>
  <sheetViews>
    <sheetView tabSelected="1" zoomScale="136" zoomScaleNormal="136" workbookViewId="0">
      <selection activeCell="E5" sqref="E5"/>
    </sheetView>
  </sheetViews>
  <sheetFormatPr defaultRowHeight="14.4"/>
  <cols>
    <col min="2" max="2" width="48.6640625" bestFit="1" customWidth="1"/>
    <col min="3" max="3" width="6" customWidth="1"/>
    <col min="4" max="4" width="9" customWidth="1"/>
    <col min="5" max="5" width="13.33203125" customWidth="1"/>
    <col min="6" max="6" width="15.88671875" customWidth="1"/>
  </cols>
  <sheetData>
    <row r="1" spans="1:5">
      <c r="A1" s="38" t="s">
        <v>11</v>
      </c>
      <c r="B1" s="38" t="s">
        <v>114</v>
      </c>
      <c r="C1" s="38" t="s">
        <v>106</v>
      </c>
      <c r="D1" s="38" t="s">
        <v>116</v>
      </c>
      <c r="E1" s="38" t="s">
        <v>115</v>
      </c>
    </row>
    <row r="2" spans="1:5">
      <c r="A2" s="17">
        <v>2</v>
      </c>
      <c r="B2" s="1" t="s">
        <v>112</v>
      </c>
      <c r="C2" s="3" t="s">
        <v>117</v>
      </c>
      <c r="D2" s="2">
        <v>1</v>
      </c>
      <c r="E2" s="37">
        <f>'MATERIAL DE CONSUMO'!F15</f>
        <v>5017.25</v>
      </c>
    </row>
    <row r="3" spans="1:5">
      <c r="A3" s="17">
        <v>3</v>
      </c>
      <c r="B3" s="1" t="s">
        <v>113</v>
      </c>
      <c r="C3" s="3" t="s">
        <v>117</v>
      </c>
      <c r="D3" s="2">
        <v>1</v>
      </c>
      <c r="E3" s="37">
        <f>PESSOAL!F8</f>
        <v>38435.199999999997</v>
      </c>
    </row>
    <row r="4" spans="1:5">
      <c r="A4" s="17">
        <v>4</v>
      </c>
      <c r="B4" s="1" t="s">
        <v>123</v>
      </c>
      <c r="C4" s="3" t="s">
        <v>117</v>
      </c>
      <c r="D4" s="2">
        <v>1</v>
      </c>
      <c r="E4" s="37">
        <f>'Equipamentos e Outros Materiais'!F5</f>
        <v>5000</v>
      </c>
    </row>
    <row r="5" spans="1:5">
      <c r="A5" s="1"/>
      <c r="B5" s="1"/>
      <c r="C5" s="1"/>
      <c r="D5" s="39" t="s">
        <v>10</v>
      </c>
      <c r="E5" s="40">
        <f>SUM(E2:E4)</f>
        <v>48452.45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98A9E-B03D-4ED7-8B77-605A7A6FCE08}">
  <sheetPr>
    <tabColor theme="5" tint="-0.249977111117893"/>
  </sheetPr>
  <dimension ref="A1:F5"/>
  <sheetViews>
    <sheetView workbookViewId="0">
      <selection activeCell="E29" sqref="E29"/>
    </sheetView>
  </sheetViews>
  <sheetFormatPr defaultRowHeight="14.4"/>
  <cols>
    <col min="1" max="1" width="6" bestFit="1" customWidth="1"/>
    <col min="2" max="2" width="41.88671875" customWidth="1"/>
    <col min="3" max="3" width="4.6640625" customWidth="1"/>
    <col min="4" max="4" width="11.109375" customWidth="1"/>
    <col min="5" max="5" width="16.33203125" customWidth="1"/>
    <col min="6" max="6" width="15.33203125" customWidth="1"/>
  </cols>
  <sheetData>
    <row r="1" spans="1:6">
      <c r="A1" s="49" t="s">
        <v>118</v>
      </c>
      <c r="B1" s="49"/>
      <c r="C1" s="49"/>
      <c r="D1" s="49"/>
      <c r="E1" s="49"/>
      <c r="F1" s="49"/>
    </row>
    <row r="2" spans="1:6">
      <c r="A2" s="39" t="s">
        <v>11</v>
      </c>
      <c r="B2" s="39" t="s">
        <v>114</v>
      </c>
      <c r="C2" s="39" t="s">
        <v>106</v>
      </c>
      <c r="D2" s="39" t="s">
        <v>122</v>
      </c>
      <c r="E2" s="39" t="s">
        <v>121</v>
      </c>
      <c r="F2" s="39" t="s">
        <v>107</v>
      </c>
    </row>
    <row r="3" spans="1:6">
      <c r="A3" s="16">
        <v>1</v>
      </c>
      <c r="B3" s="16" t="s">
        <v>120</v>
      </c>
      <c r="C3" s="18" t="s">
        <v>108</v>
      </c>
      <c r="D3" s="18">
        <v>2</v>
      </c>
      <c r="E3" s="43">
        <v>2000</v>
      </c>
      <c r="F3" s="44">
        <f>D3*E3</f>
        <v>4000</v>
      </c>
    </row>
    <row r="4" spans="1:6">
      <c r="A4" s="16">
        <v>2</v>
      </c>
      <c r="B4" s="16" t="s">
        <v>119</v>
      </c>
      <c r="C4" s="18" t="s">
        <v>108</v>
      </c>
      <c r="D4" s="42">
        <v>1</v>
      </c>
      <c r="E4" s="43">
        <v>1000</v>
      </c>
      <c r="F4" s="44">
        <f>D4*E4</f>
        <v>1000</v>
      </c>
    </row>
    <row r="5" spans="1:6">
      <c r="A5" s="41"/>
      <c r="F5" s="45">
        <f>SUM(F3:F4)</f>
        <v>5000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OBJETIVOS</vt:lpstr>
      <vt:lpstr>METAS</vt:lpstr>
      <vt:lpstr>CRONOGRAMA</vt:lpstr>
      <vt:lpstr>PESSOAL</vt:lpstr>
      <vt:lpstr>MATERIAL DE CONSUMO</vt:lpstr>
      <vt:lpstr>RESUMO ORÇAMENTÁRIO</vt:lpstr>
      <vt:lpstr>Equipamentos e Outros Materiais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Erison</dc:creator>
  <cp:lastModifiedBy>Erison Barros</cp:lastModifiedBy>
  <dcterms:created xsi:type="dcterms:W3CDTF">2019-08-02T14:09:48Z</dcterms:created>
  <dcterms:modified xsi:type="dcterms:W3CDTF">2021-06-23T00:30:37Z</dcterms:modified>
</cp:coreProperties>
</file>